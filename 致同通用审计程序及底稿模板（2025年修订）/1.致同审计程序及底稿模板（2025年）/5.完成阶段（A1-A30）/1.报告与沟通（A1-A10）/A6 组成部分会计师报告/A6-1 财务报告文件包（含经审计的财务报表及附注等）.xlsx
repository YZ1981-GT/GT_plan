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 Data\Desktop\"/>
    </mc:Choice>
  </mc:AlternateContent>
  <bookViews>
    <workbookView xWindow="0" yWindow="0" windowWidth="20388" windowHeight="9396"/>
  </bookViews>
  <sheets>
    <sheet name="目录" sheetId="112" r:id="rId1"/>
    <sheet name="基础信息" sheetId="67" r:id="rId2"/>
    <sheet name="RP 001" sheetId="137" r:id="rId3"/>
    <sheet name="RP 002-1" sheetId="1" r:id="rId4"/>
    <sheet name="RP 002-2" sheetId="2" r:id="rId5"/>
    <sheet name="RP 003 " sheetId="166" r:id="rId6"/>
    <sheet name="RP 004 " sheetId="167" r:id="rId7"/>
    <sheet name="RP 005" sheetId="9" r:id="rId8"/>
    <sheet name="RP 006" sheetId="28" r:id="rId9"/>
    <sheet name="RP 007" sheetId="145" r:id="rId10"/>
    <sheet name="RP 008" sheetId="141" r:id="rId11"/>
    <sheet name="RP 009" sheetId="144" r:id="rId12"/>
    <sheet name="RP 010" sheetId="140" r:id="rId13"/>
    <sheet name="RP 011" sheetId="139" r:id="rId14"/>
    <sheet name="RP 012" sheetId="73" r:id="rId15"/>
    <sheet name="RP 013" sheetId="178" r:id="rId16"/>
    <sheet name="RP 014" sheetId="74" r:id="rId17"/>
    <sheet name="RP 015" sheetId="165" r:id="rId18"/>
    <sheet name="RP 016" sheetId="114" r:id="rId19"/>
    <sheet name="RP 017" sheetId="75" r:id="rId20"/>
    <sheet name="RP 018" sheetId="191" r:id="rId21"/>
    <sheet name="RP 019" sheetId="76" r:id="rId22"/>
    <sheet name="RP 020" sheetId="171" r:id="rId23"/>
    <sheet name="RP 020-1" sheetId="149" r:id="rId24"/>
    <sheet name="RP 020-2" sheetId="77" r:id="rId25"/>
    <sheet name="RP 020-3" sheetId="78" r:id="rId26"/>
    <sheet name="RP 021" sheetId="79" r:id="rId27"/>
    <sheet name="RP 022" sheetId="187" r:id="rId28"/>
    <sheet name="RP 023" sheetId="150" r:id="rId29"/>
    <sheet name="RP 024" sheetId="151" r:id="rId30"/>
    <sheet name="RP 025" sheetId="80" r:id="rId31"/>
    <sheet name="RP 026" sheetId="186" r:id="rId32"/>
    <sheet name="RP 027" sheetId="115" r:id="rId33"/>
    <sheet name="RP 028" sheetId="185" r:id="rId34"/>
    <sheet name="RP 029" sheetId="81" r:id="rId35"/>
    <sheet name="RP 030" sheetId="116" r:id="rId36"/>
    <sheet name="RP 031" sheetId="152" r:id="rId37"/>
    <sheet name="RP 032" sheetId="82" r:id="rId38"/>
    <sheet name="RP 033" sheetId="184" r:id="rId39"/>
    <sheet name="RP 034" sheetId="183" r:id="rId40"/>
    <sheet name="RP 035" sheetId="83" r:id="rId41"/>
    <sheet name="RP 036" sheetId="172" r:id="rId42"/>
    <sheet name="RP 036-1" sheetId="84" r:id="rId43"/>
    <sheet name="RP 036-2" sheetId="155" r:id="rId44"/>
    <sheet name="RP 037" sheetId="173" r:id="rId45"/>
    <sheet name="RP 037-1" sheetId="153" r:id="rId46"/>
    <sheet name="RP 037-2" sheetId="154" r:id="rId47"/>
    <sheet name="RP 038" sheetId="156" r:id="rId48"/>
    <sheet name="RP 039" sheetId="190" r:id="rId49"/>
    <sheet name="RP 040" sheetId="189" r:id="rId50"/>
    <sheet name="RP 041" sheetId="85" r:id="rId51"/>
    <sheet name="RP 042" sheetId="86" r:id="rId52"/>
    <sheet name="RP 043" sheetId="117" r:id="rId53"/>
    <sheet name="RP 044" sheetId="87" r:id="rId54"/>
    <sheet name="RP 045" sheetId="88" r:id="rId55"/>
    <sheet name="RP 046" sheetId="118" r:id="rId56"/>
    <sheet name="RP 047" sheetId="89" r:id="rId57"/>
    <sheet name="RP 048" sheetId="90" r:id="rId58"/>
    <sheet name="RP 049" sheetId="91" r:id="rId59"/>
    <sheet name="RP 050" sheetId="182" r:id="rId60"/>
    <sheet name="RP 051" sheetId="92" r:id="rId61"/>
    <sheet name="RP 052" sheetId="157" r:id="rId62"/>
    <sheet name="RP 053" sheetId="119" r:id="rId63"/>
    <sheet name="RP 054" sheetId="93" r:id="rId64"/>
    <sheet name="RP 055" sheetId="94" r:id="rId65"/>
    <sheet name="RP 056" sheetId="181" r:id="rId66"/>
    <sheet name="RP 057" sheetId="95" r:id="rId67"/>
    <sheet name="RP 058" sheetId="96" r:id="rId68"/>
    <sheet name="RP 059" sheetId="175" r:id="rId69"/>
    <sheet name="RP 059-1" sheetId="158" r:id="rId70"/>
    <sheet name="RP 059-2" sheetId="120" r:id="rId71"/>
    <sheet name="RP 059-3" sheetId="97" r:id="rId72"/>
    <sheet name="RP 060" sheetId="98" r:id="rId73"/>
    <sheet name="RP 061" sheetId="159" r:id="rId74"/>
    <sheet name="RP 062" sheetId="99" r:id="rId75"/>
    <sheet name="RP 063" sheetId="100" r:id="rId76"/>
    <sheet name="RP 064" sheetId="188" r:id="rId77"/>
    <sheet name="RP 065" sheetId="176" r:id="rId78"/>
    <sheet name="RP 065-1" sheetId="101" r:id="rId79"/>
    <sheet name="RP 065-2" sheetId="121" r:id="rId80"/>
    <sheet name="RP 066" sheetId="160" r:id="rId81"/>
    <sheet name="RP 067" sheetId="102" r:id="rId82"/>
    <sheet name="RP 068" sheetId="161" r:id="rId83"/>
    <sheet name="RP 069" sheetId="162" r:id="rId84"/>
    <sheet name="RP 070" sheetId="103" r:id="rId85"/>
    <sheet name="RP 071" sheetId="104" r:id="rId86"/>
    <sheet name="RP 072" sheetId="163" r:id="rId87"/>
    <sheet name="RP 073" sheetId="164" r:id="rId88"/>
    <sheet name="RP 074" sheetId="177" r:id="rId89"/>
    <sheet name="RP 075" sheetId="122" r:id="rId90"/>
    <sheet name="RP 076" sheetId="168" r:id="rId91"/>
    <sheet name="RP 077" sheetId="106" r:id="rId92"/>
    <sheet name="RP 078" sheetId="179" r:id="rId93"/>
    <sheet name="RP 079" sheetId="123" r:id="rId94"/>
    <sheet name="RP 080" sheetId="180" r:id="rId95"/>
    <sheet name="RP 081" sheetId="105" r:id="rId96"/>
    <sheet name="RP 082" sheetId="169" r:id="rId97"/>
    <sheet name="RP 083" sheetId="107" r:id="rId98"/>
    <sheet name="RP 084" sheetId="108" r:id="rId99"/>
    <sheet name="RP 085" sheetId="109" r:id="rId100"/>
    <sheet name="RP 086" sheetId="71" r:id="rId101"/>
    <sheet name="RP 087" sheetId="131" r:id="rId102"/>
    <sheet name="RP 088" sheetId="130" r:id="rId103"/>
    <sheet name="RP 089" sheetId="129" r:id="rId104"/>
    <sheet name="RP 090" sheetId="128" r:id="rId105"/>
    <sheet name="RP 091" sheetId="127" r:id="rId106"/>
    <sheet name="RP 092" sheetId="62" r:id="rId107"/>
    <sheet name="RP 093" sheetId="126" r:id="rId108"/>
    <sheet name="RP 094" sheetId="136" r:id="rId109"/>
    <sheet name="RP 095" sheetId="135" r:id="rId110"/>
    <sheet name="RP 096" sheetId="134" r:id="rId111"/>
    <sheet name="RP 097" sheetId="133" r:id="rId112"/>
    <sheet name="RP 098" sheetId="132" r:id="rId113"/>
  </sheets>
  <externalReferences>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s>
  <definedNames>
    <definedName name="_">[1]低值易耗品!$A$1:$I$225</definedName>
    <definedName name="_.dbf">'[2]12进销存'!$A$3:$Q$235</definedName>
    <definedName name="_0.dbf">[3]累计销售!$A$6:$E$62</definedName>
    <definedName name="_11">[4]其他业务利润!$A$5:$G$12</definedName>
    <definedName name="_999年12月31日股份应收帐款.dbf" localSheetId="90">#REF!</definedName>
    <definedName name="_999年12月31日股份应收帐款.dbf" localSheetId="96">#REF!</definedName>
    <definedName name="_999年12月31日股份应收帐款.dbf">#REF!</definedName>
    <definedName name="_xlnm._FilterDatabase" localSheetId="2" hidden="1">'RP 001'!$A$3:$E$6</definedName>
    <definedName name="a" localSheetId="90">#REF!</definedName>
    <definedName name="a" localSheetId="96">#REF!</definedName>
    <definedName name="a">#REF!</definedName>
    <definedName name="AFSDGEGQ" localSheetId="90">#REF!</definedName>
    <definedName name="AFSDGEGQ" localSheetId="96">#REF!</definedName>
    <definedName name="AFSDGEGQ">#REF!</definedName>
    <definedName name="ASDFA" localSheetId="90">#REF!</definedName>
    <definedName name="ASDFA" localSheetId="96">#REF!</definedName>
    <definedName name="ASDFA">#REF!</definedName>
    <definedName name="ASFDA" localSheetId="90">#REF!</definedName>
    <definedName name="ASFDA" localSheetId="96">#REF!</definedName>
    <definedName name="ASFDA">#REF!</definedName>
    <definedName name="clah" localSheetId="90">#REF!</definedName>
    <definedName name="clah" localSheetId="96">#REF!</definedName>
    <definedName name="clah">#REF!</definedName>
    <definedName name="clz" localSheetId="90">#REF!</definedName>
    <definedName name="clz" localSheetId="96">#REF!</definedName>
    <definedName name="clz">#REF!</definedName>
    <definedName name="_xlnm.Database">[5]Sheet1!$A$1:$L$6066</definedName>
    <definedName name="fuck" localSheetId="90">[6]资产负债表!#REF!</definedName>
    <definedName name="fuck" localSheetId="96">[6]资产负债表!#REF!</definedName>
    <definedName name="fuck">[6]资产负债表!#REF!</definedName>
    <definedName name="OLE_LINK1" localSheetId="112">'RP 098'!$A$32</definedName>
    <definedName name="OLE_LINK2" localSheetId="112">'RP 098'!$A$35</definedName>
    <definedName name="OLE_LINK4" localSheetId="112">'RP 098'!$A$29</definedName>
    <definedName name="OLE_LINK9" localSheetId="112">'RP 098'!$A$33</definedName>
    <definedName name="_xlnm.Print_Area" localSheetId="2">'RP 001'!$A$1:$B$75</definedName>
    <definedName name="_xlnm.Print_Area" localSheetId="3">'RP 002-1'!$A$1:$D$43</definedName>
    <definedName name="_xlnm.Print_Area" localSheetId="4">'RP 002-2'!$A$1:$D$49</definedName>
    <definedName name="_xlnm.Print_Area" localSheetId="5">'RP 003 '!$A$1:$F$62</definedName>
    <definedName name="_xlnm.Print_Area" localSheetId="6">'RP 004 '!$A$1:$I$48</definedName>
    <definedName name="_xlnm.Print_Area" localSheetId="7">'RP 005'!$A$1:$AA$39</definedName>
    <definedName name="_xlnm.Print_Area" localSheetId="8">'RP 006'!$A$1:$U$276</definedName>
    <definedName name="_xlnm.Print_Area" localSheetId="9">'RP 007'!$A$1:$L$40</definedName>
    <definedName name="_xlnm.Print_Area" localSheetId="10">'RP 008'!$A$1:$U$37</definedName>
    <definedName name="_xlnm.Print_Area" localSheetId="11">'RP 009'!$A$1:$G$22</definedName>
    <definedName name="_xlnm.Print_Area" localSheetId="12">'RP 010'!$A$1:$I$44</definedName>
    <definedName name="_xlnm.Print_Area" localSheetId="13">'RP 011'!$A$1:$K$41</definedName>
    <definedName name="_xlnm.Print_Area" localSheetId="14">'RP 012'!$A$1:$D$31</definedName>
    <definedName name="_xlnm.Print_Area" localSheetId="16">'RP 014'!$A$1:$B$22</definedName>
    <definedName name="_xlnm.Print_Area" localSheetId="17">'RP 015'!$A$1:$B$15</definedName>
    <definedName name="_xlnm.Print_Area" localSheetId="18">'RP 016'!$A$1:$D$37</definedName>
    <definedName name="_xlnm.Print_Area" localSheetId="19">'RP 017'!$A$1:$F$89</definedName>
    <definedName name="_xlnm.Print_Area" localSheetId="21">'RP 019'!$A$1:$C$27</definedName>
    <definedName name="_xlnm.Print_Area" localSheetId="23">'RP 020-1'!$A$1:$E$19</definedName>
    <definedName name="_xlnm.Print_Area" localSheetId="24">'RP 020-2'!$A$1:$E$19</definedName>
    <definedName name="_xlnm.Print_Area" localSheetId="25">'RP 020-3'!$A$1:$F$95</definedName>
    <definedName name="_xlnm.Print_Area" localSheetId="26">'RP 021'!$A$1:$G$44</definedName>
    <definedName name="_xlnm.Print_Area" localSheetId="29">'RP 024'!$A$1:$B$16</definedName>
    <definedName name="_xlnm.Print_Area" localSheetId="30">'RP 025'!$A$1:$B$15</definedName>
    <definedName name="_xlnm.Print_Area" localSheetId="32">'RP 027'!$A$1:$K$56</definedName>
    <definedName name="_xlnm.Print_Area" localSheetId="34">'RP 029'!$A$1:$F$26</definedName>
    <definedName name="_xlnm.Print_Area" localSheetId="36">'RP 031'!$A$1:$E$13</definedName>
    <definedName name="_xlnm.Print_Area" localSheetId="37">'RP 032'!$A$1:$L$138</definedName>
    <definedName name="_xlnm.Print_Area" localSheetId="40">'RP 035'!$A$1:$E$73</definedName>
    <definedName name="_xlnm.Print_Area" localSheetId="42">'RP 036-1'!$A$1:$F$88</definedName>
    <definedName name="_xlnm.Print_Area" localSheetId="43">'RP 036-2'!$A$1:$C$11</definedName>
    <definedName name="_xlnm.Print_Area" localSheetId="45">'RP 037-1'!$A$1:$I$36</definedName>
    <definedName name="_xlnm.Print_Area" localSheetId="46">'RP 037-2'!$A$1:$B$14</definedName>
    <definedName name="_xlnm.Print_Area" localSheetId="47">'RP 038'!$A$1:$J$61</definedName>
    <definedName name="_xlnm.Print_Area" localSheetId="50">'RP 041'!$A$1:$F$72</definedName>
    <definedName name="_xlnm.Print_Area" localSheetId="51">'RP 042'!$A$1:$G$20</definedName>
    <definedName name="_xlnm.Print_Area" localSheetId="52">'RP 043'!$A$1:$G$23</definedName>
    <definedName name="_xlnm.Print_Area" localSheetId="53">'RP 044'!$A$1:$F$13</definedName>
    <definedName name="_xlnm.Print_Area" localSheetId="54">'RP 045'!$A$1:$E$49</definedName>
    <definedName name="_xlnm.Print_Area" localSheetId="55">'RP 046'!$A$1:$B$19</definedName>
    <definedName name="_xlnm.Print_Area" localSheetId="56">'RP 047'!$A$1:$F$18</definedName>
    <definedName name="_xlnm.Print_Area" localSheetId="57">'RP 048'!$A$1:$C$11</definedName>
    <definedName name="_xlnm.Print_Area" localSheetId="58">'RP 049'!$A$1:$G$25</definedName>
    <definedName name="_xlnm.Print_Area" localSheetId="60">'RP 051'!$A$1:$B$19</definedName>
    <definedName name="_xlnm.Print_Area" localSheetId="61">'RP 052'!$A$1:$B$14</definedName>
    <definedName name="_xlnm.Print_Area" localSheetId="62">'RP 053'!$A$1:$B$11</definedName>
    <definedName name="_xlnm.Print_Area" localSheetId="63">'RP 054'!$A$1:$C$16</definedName>
    <definedName name="_xlnm.Print_Area" localSheetId="64">'RP 055'!$A$1:$C$27</definedName>
    <definedName name="_xlnm.Print_Area" localSheetId="66">'RP 057'!$A$1:$E$62</definedName>
    <definedName name="_xlnm.Print_Area" localSheetId="67">'RP 058'!$A$1:$E$22</definedName>
    <definedName name="_xlnm.Print_Area" localSheetId="69">'RP 059-1'!$A$1:$C$21</definedName>
    <definedName name="_xlnm.Print_Area" localSheetId="70">'RP 059-2'!$A$1:$C$19</definedName>
    <definedName name="_xlnm.Print_Area" localSheetId="71">'RP 059-3'!$A$1:$C$22</definedName>
    <definedName name="_xlnm.Print_Area" localSheetId="72">'RP 060'!$A$1:$I$48</definedName>
    <definedName name="_xlnm.Print_Area" localSheetId="73">'RP 061'!$A$1:$G$40</definedName>
    <definedName name="_xlnm.Print_Area" localSheetId="74">'RP 062'!$A$1:$E$29</definedName>
    <definedName name="_xlnm.Print_Area" localSheetId="75">'RP 063'!$A$1:$I$45</definedName>
    <definedName name="_xlnm.Print_Area" localSheetId="78">'RP 065-1'!$A$1:$D$19</definedName>
    <definedName name="_xlnm.Print_Area" localSheetId="79">'RP 065-2'!$A$1:$F$14</definedName>
    <definedName name="_xlnm.Print_Area" localSheetId="80">'RP 066'!$A$1:$D$104</definedName>
    <definedName name="_xlnm.Print_Area" localSheetId="81">'RP 067'!$A$1:$C$17</definedName>
    <definedName name="_xlnm.Print_Area" localSheetId="82">'RP 068'!$A$1:$G$24</definedName>
    <definedName name="_xlnm.Print_Area" localSheetId="83">'RP 069'!$A$1:$B$11</definedName>
    <definedName name="_xlnm.Print_Area" localSheetId="84">'RP 070'!$A$1:$E$45</definedName>
    <definedName name="_xlnm.Print_Area" localSheetId="85">'RP 071'!$A$1:$C$17</definedName>
    <definedName name="_xlnm.Print_Area" localSheetId="86">'RP 072'!$A$1:$B$12</definedName>
    <definedName name="_xlnm.Print_Area" localSheetId="87">'RP 073'!$A$1:$B$12</definedName>
    <definedName name="_xlnm.Print_Area" localSheetId="89">'RP 075'!$A$1:$B$17</definedName>
    <definedName name="_xlnm.Print_Area" localSheetId="90">'RP 076'!$A$1:$D$19</definedName>
    <definedName name="_xlnm.Print_Area" localSheetId="91">'RP 077'!$A$1:$B$25</definedName>
    <definedName name="_xlnm.Print_Area" localSheetId="93">'RP 079'!$A$1:$B$12</definedName>
    <definedName name="_xlnm.Print_Area" localSheetId="95">'RP 081'!$A$1:$B$21</definedName>
    <definedName name="_xlnm.Print_Area" localSheetId="96">'RP 082'!$A$1:$C$19</definedName>
    <definedName name="_xlnm.Print_Area" localSheetId="97">'RP 083'!$A$1:$D$19</definedName>
    <definedName name="_xlnm.Print_Area" localSheetId="98">'RP 084'!$A$1:$C$18</definedName>
    <definedName name="_xlnm.Print_Area" localSheetId="99">'RP 085'!$A$1:$B$34</definedName>
    <definedName name="_xlnm.Print_Area" localSheetId="100">'RP 086'!$A$1:$B$21</definedName>
    <definedName name="_xlnm.Print_Area" localSheetId="101">'RP 087'!$A$1:$B$22</definedName>
    <definedName name="_xlnm.Print_Area" localSheetId="102">'RP 088'!$A$1:$B$21</definedName>
    <definedName name="_xlnm.Print_Area" localSheetId="103">'RP 089'!$A$1:$B$21</definedName>
    <definedName name="_xlnm.Print_Area" localSheetId="104">'RP 090'!$A$1:$B$21</definedName>
    <definedName name="_xlnm.Print_Area" localSheetId="105">'RP 091'!$A$1:$B$21</definedName>
    <definedName name="_xlnm.Print_Area" localSheetId="106">'RP 092'!$A$1:$B$83</definedName>
    <definedName name="_xlnm.Print_Area" localSheetId="108">'RP 094'!$A$1:$D$11</definedName>
    <definedName name="_xlnm.Print_Area" localSheetId="109">'RP 095'!$A$1:$D$9</definedName>
    <definedName name="_xlnm.Print_Area" localSheetId="110">'RP 096'!$A$1:$D$11</definedName>
    <definedName name="_xlnm.Print_Area" localSheetId="111">'RP 097'!$A$1:$I$168</definedName>
    <definedName name="_xlnm.Print_Area" localSheetId="112">'RP 098'!$A$1:$B$36</definedName>
    <definedName name="_xlnm.Print_Area" localSheetId="1">基础信息!$A$1:$D$31</definedName>
    <definedName name="_xlnm.Print_Area" localSheetId="0">目录!$A$1:$E$121</definedName>
    <definedName name="Print_Area_MI" localSheetId="5">#REF!</definedName>
    <definedName name="Print_Area_MI" localSheetId="6">#REF!</definedName>
    <definedName name="Print_Area_MI" localSheetId="90">#REF!</definedName>
    <definedName name="Print_Area_MI" localSheetId="96">#REF!</definedName>
    <definedName name="Print_Area_MI">#REF!</definedName>
    <definedName name="_xlnm.Print_Titles" localSheetId="2">'RP 001'!$1:$3</definedName>
    <definedName name="_xlnm.Print_Titles" localSheetId="7">'RP 005'!$A:$A</definedName>
    <definedName name="_xlnm.Print_Titles" localSheetId="8">'RP 006'!$A:$A</definedName>
    <definedName name="_xlnm.Print_Titles" localSheetId="10">'RP 008'!$A:$A</definedName>
    <definedName name="_xlnm.Print_Titles" localSheetId="11">'RP 009'!$A:$B</definedName>
    <definedName name="_xlnm.Print_Titles" localSheetId="12">'RP 010'!$1:$3</definedName>
    <definedName name="_xlnm.Print_Titles" localSheetId="13">'RP 011'!$1:$3</definedName>
    <definedName name="_xlnm.Print_Titles" localSheetId="14">'RP 012'!$1:$3</definedName>
    <definedName name="_xlnm.Print_Titles" localSheetId="19">'RP 017'!$1:$3</definedName>
    <definedName name="_xlnm.Print_Titles" localSheetId="25">'RP 020-3'!$1:$3</definedName>
    <definedName name="_xlnm.Print_Titles" localSheetId="26">'RP 021'!$1:$3</definedName>
    <definedName name="_xlnm.Print_Titles" localSheetId="32">'RP 027'!$1:$3</definedName>
    <definedName name="_xlnm.Print_Titles" localSheetId="34">'RP 029'!$1:$3</definedName>
    <definedName name="_xlnm.Print_Titles" localSheetId="37">'RP 032'!$1:$2</definedName>
    <definedName name="_xlnm.Print_Titles" localSheetId="40">'RP 035'!$1:$3</definedName>
    <definedName name="_xlnm.Print_Titles" localSheetId="42">'RP 036-1'!$1:$3</definedName>
    <definedName name="_xlnm.Print_Titles" localSheetId="50">'RP 041'!$1:$3</definedName>
    <definedName name="_xlnm.Print_Titles" localSheetId="51">'RP 042'!$1:$2</definedName>
    <definedName name="_xlnm.Print_Titles" localSheetId="52">'RP 043'!$1:$3</definedName>
    <definedName name="_xlnm.Print_Titles" localSheetId="53">'RP 044'!$1:$3</definedName>
    <definedName name="_xlnm.Print_Titles" localSheetId="54">'RP 045'!$1:$3</definedName>
    <definedName name="_xlnm.Print_Titles" localSheetId="55">'RP 046'!$1:$3</definedName>
    <definedName name="_xlnm.Print_Titles" localSheetId="56">'RP 047'!$1:$3</definedName>
    <definedName name="_xlnm.Print_Titles" localSheetId="57">'RP 048'!$1:$3</definedName>
    <definedName name="_xlnm.Print_Titles" localSheetId="58">'RP 049'!$1:$3</definedName>
    <definedName name="_xlnm.Print_Titles" localSheetId="60">'RP 051'!$1:$3</definedName>
    <definedName name="_xlnm.Print_Titles" localSheetId="62">'RP 053'!$1:$3</definedName>
    <definedName name="_xlnm.Print_Titles" localSheetId="63">'RP 054'!$1:$2</definedName>
    <definedName name="_xlnm.Print_Titles" localSheetId="64">'RP 055'!$1:$3</definedName>
    <definedName name="_xlnm.Print_Titles" localSheetId="66">'RP 057'!$1:$3</definedName>
    <definedName name="_xlnm.Print_Titles" localSheetId="67">'RP 058'!$1:$3</definedName>
    <definedName name="_xlnm.Print_Titles" localSheetId="70">'RP 059-2'!$1:$2</definedName>
    <definedName name="_xlnm.Print_Titles" localSheetId="72">'RP 060'!$1:$3</definedName>
    <definedName name="_xlnm.Print_Titles" localSheetId="74">'RP 062'!$1:$3</definedName>
    <definedName name="_xlnm.Print_Titles" localSheetId="78">'RP 065-1'!$1:$3</definedName>
    <definedName name="_xlnm.Print_Titles" localSheetId="79">'RP 065-2'!$1:$3</definedName>
    <definedName name="_xlnm.Print_Titles" localSheetId="81">'RP 067'!$1:$3</definedName>
    <definedName name="_xlnm.Print_Titles" localSheetId="84">'RP 070'!$1:$3</definedName>
    <definedName name="_xlnm.Print_Titles" localSheetId="85">'RP 071'!$1:$3</definedName>
    <definedName name="_xlnm.Print_Titles" localSheetId="89">'RP 075'!$1:$3</definedName>
    <definedName name="_xlnm.Print_Titles" localSheetId="90">'RP 076'!$1:$3</definedName>
    <definedName name="_xlnm.Print_Titles" localSheetId="91">'RP 077'!$1:$3</definedName>
    <definedName name="_xlnm.Print_Titles" localSheetId="93">'RP 079'!$1:$3</definedName>
    <definedName name="_xlnm.Print_Titles" localSheetId="95">'RP 081'!$1:$3</definedName>
    <definedName name="_xlnm.Print_Titles" localSheetId="96">'RP 082'!$1:$3</definedName>
    <definedName name="_xlnm.Print_Titles" localSheetId="97">'RP 083'!$1:$3</definedName>
    <definedName name="_xlnm.Print_Titles" localSheetId="98">'RP 084'!$1:$3</definedName>
    <definedName name="_xlnm.Print_Titles" localSheetId="99">'RP 085'!$1:$3</definedName>
    <definedName name="_xlnm.Print_Titles" localSheetId="100">'RP 086'!$1:$3</definedName>
    <definedName name="_xlnm.Print_Titles" localSheetId="101">'RP 087'!$1:$3</definedName>
    <definedName name="_xlnm.Print_Titles" localSheetId="102">'RP 088'!$1:$3</definedName>
    <definedName name="_xlnm.Print_Titles" localSheetId="103">'RP 089'!$1:$3</definedName>
    <definedName name="_xlnm.Print_Titles" localSheetId="104">'RP 090'!$1:$3</definedName>
    <definedName name="_xlnm.Print_Titles" localSheetId="105">'RP 091'!$1:$3</definedName>
    <definedName name="_xlnm.Print_Titles" localSheetId="106">'RP 092'!$1:$3</definedName>
    <definedName name="_xlnm.Print_Titles" localSheetId="107">'RP 093'!$1:$3</definedName>
    <definedName name="_xlnm.Print_Titles" localSheetId="108">'RP 094'!$1:$3</definedName>
    <definedName name="_xlnm.Print_Titles" localSheetId="109">'RP 095'!$1:$3</definedName>
    <definedName name="_xlnm.Print_Titles" localSheetId="110">'RP 096'!$1:$2</definedName>
    <definedName name="_xlnm.Print_Titles" localSheetId="111">'RP 097'!$1:$3</definedName>
    <definedName name="_xlnm.Print_Titles" localSheetId="112">'RP 098'!$1:$2</definedName>
    <definedName name="SD" localSheetId="90">#REF!</definedName>
    <definedName name="SD" localSheetId="96">#REF!</definedName>
    <definedName name="SD">#REF!</definedName>
    <definedName name="SDF" localSheetId="90">#REF!</definedName>
    <definedName name="SDF" localSheetId="96">#REF!</definedName>
    <definedName name="SDF">#REF!</definedName>
    <definedName name="SDFA" localSheetId="90">#REF!</definedName>
    <definedName name="SDFA" localSheetId="96">#REF!</definedName>
    <definedName name="SDFA">#REF!</definedName>
    <definedName name="SDFSD" localSheetId="90">#REF!</definedName>
    <definedName name="SDFSD" localSheetId="96">#REF!</definedName>
    <definedName name="SDFSD">#REF!</definedName>
    <definedName name="SF" localSheetId="90">#REF!</definedName>
    <definedName name="SF" localSheetId="96">#REF!</definedName>
    <definedName name="SF">#REF!</definedName>
    <definedName name="Sheet1" localSheetId="90">#REF!</definedName>
    <definedName name="Sheet1" localSheetId="96">#REF!</definedName>
    <definedName name="Sheet1">#REF!</definedName>
    <definedName name="Sheet10" localSheetId="90">#REF!</definedName>
    <definedName name="Sheet10" localSheetId="96">#REF!</definedName>
    <definedName name="Sheet10">#REF!</definedName>
    <definedName name="Sheet11" localSheetId="90">#REF!</definedName>
    <definedName name="Sheet11" localSheetId="96">#REF!</definedName>
    <definedName name="Sheet11">#REF!</definedName>
    <definedName name="Sheet12" localSheetId="90">#REF!</definedName>
    <definedName name="Sheet12" localSheetId="96">#REF!</definedName>
    <definedName name="Sheet12">#REF!</definedName>
    <definedName name="Sheet2" localSheetId="90">#REF!</definedName>
    <definedName name="Sheet2" localSheetId="96">#REF!</definedName>
    <definedName name="Sheet2">#REF!</definedName>
    <definedName name="Sheet3" localSheetId="90">#REF!</definedName>
    <definedName name="Sheet3" localSheetId="96">#REF!</definedName>
    <definedName name="Sheet3">#REF!</definedName>
    <definedName name="Sheet4" localSheetId="90">#REF!</definedName>
    <definedName name="Sheet4" localSheetId="96">#REF!</definedName>
    <definedName name="Sheet4">#REF!</definedName>
    <definedName name="Sheet5" localSheetId="90">#REF!</definedName>
    <definedName name="Sheet5" localSheetId="96">#REF!</definedName>
    <definedName name="Sheet5">#REF!</definedName>
    <definedName name="Sheet6" localSheetId="90">#REF!</definedName>
    <definedName name="Sheet6" localSheetId="96">#REF!</definedName>
    <definedName name="Sheet6">#REF!</definedName>
    <definedName name="Sheet7" localSheetId="90">#REF!</definedName>
    <definedName name="Sheet7" localSheetId="96">#REF!</definedName>
    <definedName name="Sheet7">#REF!</definedName>
    <definedName name="Sheet8" localSheetId="90">#REF!</definedName>
    <definedName name="Sheet8" localSheetId="96">#REF!</definedName>
    <definedName name="Sheet8">#REF!</definedName>
    <definedName name="Sheet9" localSheetId="90">#REF!</definedName>
    <definedName name="Sheet9" localSheetId="96">#REF!</definedName>
    <definedName name="Sheet9">#REF!</definedName>
    <definedName name="UFPrn20020401095545" localSheetId="90">#REF!</definedName>
    <definedName name="UFPrn20020401095545" localSheetId="96">#REF!</definedName>
    <definedName name="UFPrn20020401095545">#REF!</definedName>
    <definedName name="UFPrn20020401101840" localSheetId="90">#REF!</definedName>
    <definedName name="UFPrn20020401101840" localSheetId="96">#REF!</definedName>
    <definedName name="UFPrn20020401101840">#REF!</definedName>
    <definedName name="UFPrn20020426154224" localSheetId="90">#REF!</definedName>
    <definedName name="UFPrn20020426154224" localSheetId="96">#REF!</definedName>
    <definedName name="UFPrn20020426154224">#REF!</definedName>
    <definedName name="UFPrn20020505140011" localSheetId="90">#REF!</definedName>
    <definedName name="UFPrn20020505140011" localSheetId="96">#REF!</definedName>
    <definedName name="UFPrn20020505140011">#REF!</definedName>
    <definedName name="UFPrn20021211154046" localSheetId="90">#REF!</definedName>
    <definedName name="UFPrn20021211154046" localSheetId="96">#REF!</definedName>
    <definedName name="UFPrn20021211154046">#REF!</definedName>
    <definedName name="UFPrn20021212110637" localSheetId="90">#REF!</definedName>
    <definedName name="UFPrn20021212110637" localSheetId="96">#REF!</definedName>
    <definedName name="UFPrn20021212110637">#REF!</definedName>
    <definedName name="UFPrn20021215115314" localSheetId="90">#REF!</definedName>
    <definedName name="UFPrn20021215115314" localSheetId="96">#REF!</definedName>
    <definedName name="UFPrn20021215115314">#REF!</definedName>
    <definedName name="UFPrn20021231120652">[7]库存商品!$A$2:$L$45</definedName>
    <definedName name="UFPrn20021231153901" localSheetId="5">#REF!</definedName>
    <definedName name="UFPrn20021231153901" localSheetId="6">#REF!</definedName>
    <definedName name="UFPrn20021231153901" localSheetId="90">#REF!</definedName>
    <definedName name="UFPrn20021231153901" localSheetId="96">#REF!</definedName>
    <definedName name="UFPrn20021231153901">#REF!</definedName>
    <definedName name="UFPrn20021231153931" localSheetId="5">#REF!</definedName>
    <definedName name="UFPrn20021231153931" localSheetId="6">#REF!</definedName>
    <definedName name="UFPrn20021231153931" localSheetId="90">#REF!</definedName>
    <definedName name="UFPrn20021231153931" localSheetId="96">#REF!</definedName>
    <definedName name="UFPrn20021231153931">#REF!</definedName>
    <definedName name="UFPrn20030101131222" localSheetId="5">#REF!</definedName>
    <definedName name="UFPrn20030101131222" localSheetId="6">#REF!</definedName>
    <definedName name="UFPrn20030101131222" localSheetId="90">#REF!</definedName>
    <definedName name="UFPrn20030101131222" localSheetId="96">#REF!</definedName>
    <definedName name="UFPrn20030101131222">#REF!</definedName>
    <definedName name="UFPrn20030108143349" localSheetId="90">#REF!</definedName>
    <definedName name="UFPrn20030108143349" localSheetId="96">#REF!</definedName>
    <definedName name="UFPrn20030108143349">#REF!</definedName>
    <definedName name="UFPrn20030108143430" localSheetId="90">#REF!</definedName>
    <definedName name="UFPrn20030108143430" localSheetId="96">#REF!</definedName>
    <definedName name="UFPrn20030108143430">#REF!</definedName>
    <definedName name="UFPrn20030108143449" localSheetId="90">#REF!</definedName>
    <definedName name="UFPrn20030108143449" localSheetId="96">#REF!</definedName>
    <definedName name="UFPrn20030108143449">#REF!</definedName>
    <definedName name="UFPrn20030108143510" localSheetId="90">#REF!</definedName>
    <definedName name="UFPrn20030108143510" localSheetId="96">#REF!</definedName>
    <definedName name="UFPrn20030108143510">#REF!</definedName>
    <definedName name="UFPrn20030108143540" localSheetId="90">#REF!</definedName>
    <definedName name="UFPrn20030108143540" localSheetId="96">#REF!</definedName>
    <definedName name="UFPrn20030108143540">#REF!</definedName>
    <definedName name="UFPrn20030121112733" localSheetId="90">#REF!</definedName>
    <definedName name="UFPrn20030121112733" localSheetId="96">#REF!</definedName>
    <definedName name="UFPrn20030121112733">#REF!</definedName>
    <definedName name="UFPrn20030121113420" localSheetId="90">#REF!</definedName>
    <definedName name="UFPrn20030121113420" localSheetId="96">#REF!</definedName>
    <definedName name="UFPrn20030121113420">#REF!</definedName>
    <definedName name="UFPrn20030121113601" localSheetId="90">#REF!</definedName>
    <definedName name="UFPrn20030121113601" localSheetId="96">#REF!</definedName>
    <definedName name="UFPrn20030121113601">#REF!</definedName>
    <definedName name="UFPrn20030405184606" localSheetId="90">[8]累计产销存!#REF!</definedName>
    <definedName name="UFPrn20030405184606" localSheetId="96">[8]累计产销存!#REF!</definedName>
    <definedName name="UFPrn20030405184606">[8]累计产销存!#REF!</definedName>
    <definedName name="UFPrn20030707">[9]产销存!$A$1:$L$121</definedName>
    <definedName name="UFPrn20030707094418">'[9]1-6累计销售'!$A$5:$D$108</definedName>
    <definedName name="UFPrn20030707094844">[9]收入个月!$A$1:$E$9</definedName>
    <definedName name="UFPrn20030708103946" localSheetId="5">#REF!</definedName>
    <definedName name="UFPrn20030708103946" localSheetId="6">#REF!</definedName>
    <definedName name="UFPrn20030708103946" localSheetId="90">#REF!</definedName>
    <definedName name="UFPrn20030708103946" localSheetId="96">#REF!</definedName>
    <definedName name="UFPrn20030708103946">#REF!</definedName>
    <definedName name="UFPrn20030708115247" localSheetId="90">[10]暂估!#REF!</definedName>
    <definedName name="UFPrn20030708115247" localSheetId="96">[10]暂估!#REF!</definedName>
    <definedName name="UFPrn20030708115247">[10]暂估!#REF!</definedName>
    <definedName name="UFPrn20030710142822" localSheetId="5">#REF!</definedName>
    <definedName name="UFPrn20030710142822" localSheetId="6">#REF!</definedName>
    <definedName name="UFPrn20030710142822" localSheetId="90">#REF!</definedName>
    <definedName name="UFPrn20030710142822" localSheetId="96">#REF!</definedName>
    <definedName name="UFPrn20030710142822">#REF!</definedName>
    <definedName name="UFPrn20030724152833">[4]其他材料收入重复!$A$5:$E$47</definedName>
    <definedName name="UFPrn20030725102651">[11]三兴2!$A$1:$L$93</definedName>
    <definedName name="UFPrn20030803102757" localSheetId="5">#REF!</definedName>
    <definedName name="UFPrn20030803102757" localSheetId="6">#REF!</definedName>
    <definedName name="UFPrn20030803102757" localSheetId="90">#REF!</definedName>
    <definedName name="UFPrn20030803102757" localSheetId="96">#REF!</definedName>
    <definedName name="UFPrn20030803102757">#REF!</definedName>
    <definedName name="UFPrn20030803103640" localSheetId="5">#REF!</definedName>
    <definedName name="UFPrn20030803103640" localSheetId="6">#REF!</definedName>
    <definedName name="UFPrn20030803103640" localSheetId="90">#REF!</definedName>
    <definedName name="UFPrn20030803103640" localSheetId="96">#REF!</definedName>
    <definedName name="UFPrn20030803103640">#REF!</definedName>
    <definedName name="UFPrn20031217161107">[4]其他材料收入账!$A$1:$H$212</definedName>
    <definedName name="UFPrn20031222111731">'[12]7-11销售'!$A$4:$D$328</definedName>
    <definedName name="UFPrn20031222111756" localSheetId="5">#REF!</definedName>
    <definedName name="UFPrn20031222111756" localSheetId="6">#REF!</definedName>
    <definedName name="UFPrn20031222111756" localSheetId="90">#REF!</definedName>
    <definedName name="UFPrn20031222111756" localSheetId="96">#REF!</definedName>
    <definedName name="UFPrn20031222111756">#REF!</definedName>
    <definedName name="UFPrn20031224132653" localSheetId="5">#REF!</definedName>
    <definedName name="UFPrn20031224132653" localSheetId="6">#REF!</definedName>
    <definedName name="UFPrn20031224132653" localSheetId="90">#REF!</definedName>
    <definedName name="UFPrn20031224132653" localSheetId="96">#REF!</definedName>
    <definedName name="UFPrn20031224132653">#REF!</definedName>
    <definedName name="UFPrn20040107090736" localSheetId="5">#REF!</definedName>
    <definedName name="UFPrn20040107090736" localSheetId="6">#REF!</definedName>
    <definedName name="UFPrn20040107090736" localSheetId="90">#REF!</definedName>
    <definedName name="UFPrn20040107090736" localSheetId="96">#REF!</definedName>
    <definedName name="UFPrn20040107090736">#REF!</definedName>
    <definedName name="UFPrn20040130135647">[13]应收账款余额表!$A$3:$I$51</definedName>
    <definedName name="UFPrn20040130135908" localSheetId="5">#REF!</definedName>
    <definedName name="UFPrn20040130135908" localSheetId="6">#REF!</definedName>
    <definedName name="UFPrn20040130135908" localSheetId="90">#REF!</definedName>
    <definedName name="UFPrn20040130135908" localSheetId="96">#REF!</definedName>
    <definedName name="UFPrn20040130135908">#REF!</definedName>
    <definedName name="UFPrn20040131053615" localSheetId="5">#REF!</definedName>
    <definedName name="UFPrn20040131053615" localSheetId="6">#REF!</definedName>
    <definedName name="UFPrn20040131053615" localSheetId="90">#REF!</definedName>
    <definedName name="UFPrn20040131053615" localSheetId="96">#REF!</definedName>
    <definedName name="UFPrn20040131053615">#REF!</definedName>
    <definedName name="UFPrn20040131053651" localSheetId="5">#REF!</definedName>
    <definedName name="UFPrn20040131053651" localSheetId="6">#REF!</definedName>
    <definedName name="UFPrn20040131053651" localSheetId="90">#REF!</definedName>
    <definedName name="UFPrn20040131053651" localSheetId="96">#REF!</definedName>
    <definedName name="UFPrn20040131053651">#REF!</definedName>
    <definedName name="UFPrn20040131054353" localSheetId="90">#REF!</definedName>
    <definedName name="UFPrn20040131054353" localSheetId="96">#REF!</definedName>
    <definedName name="UFPrn20040131054353">#REF!</definedName>
    <definedName name="UFPrn20040131091548">[13]所得税明细表!$A$6:$H$12</definedName>
    <definedName name="UFPrn20040206173159">[4]预收!$A$1:$L$108</definedName>
    <definedName name="UFPrn2004020701" localSheetId="5">#REF!</definedName>
    <definedName name="UFPrn2004020701" localSheetId="6">#REF!</definedName>
    <definedName name="UFPrn2004020701" localSheetId="90">#REF!</definedName>
    <definedName name="UFPrn2004020701" localSheetId="96">#REF!</definedName>
    <definedName name="UFPrn2004020701">#REF!</definedName>
    <definedName name="UFPrn20040621112158" localSheetId="5">#REF!</definedName>
    <definedName name="UFPrn20040621112158" localSheetId="6">#REF!</definedName>
    <definedName name="UFPrn20040621112158" localSheetId="90">#REF!</definedName>
    <definedName name="UFPrn20040621112158" localSheetId="96">#REF!</definedName>
    <definedName name="UFPrn20040621112158">#REF!</definedName>
    <definedName name="UFPrn20040621113550" localSheetId="5">#REF!</definedName>
    <definedName name="UFPrn20040621113550" localSheetId="6">#REF!</definedName>
    <definedName name="UFPrn20040621113550" localSheetId="90">#REF!</definedName>
    <definedName name="UFPrn20040621113550" localSheetId="96">#REF!</definedName>
    <definedName name="UFPrn20040621113550">#REF!</definedName>
    <definedName name="UFPrn20040621113840" localSheetId="90">#REF!</definedName>
    <definedName name="UFPrn20040621113840" localSheetId="96">#REF!</definedName>
    <definedName name="UFPrn20040621113840">#REF!</definedName>
    <definedName name="UFPrn20040621113927" localSheetId="90">#REF!</definedName>
    <definedName name="UFPrn20040621113927" localSheetId="96">#REF!</definedName>
    <definedName name="UFPrn20040621113927">#REF!</definedName>
    <definedName name="UFPrn20040621114219" localSheetId="90">#REF!</definedName>
    <definedName name="UFPrn20040621114219" localSheetId="96">#REF!</definedName>
    <definedName name="UFPrn20040621114219">#REF!</definedName>
    <definedName name="UFPrn20040621114313" localSheetId="90">#REF!</definedName>
    <definedName name="UFPrn20040621114313" localSheetId="96">#REF!</definedName>
    <definedName name="UFPrn20040621114313">#REF!</definedName>
    <definedName name="UFPrn20040621115050" localSheetId="90">#REF!</definedName>
    <definedName name="UFPrn20040621115050" localSheetId="96">#REF!</definedName>
    <definedName name="UFPrn20040621115050">#REF!</definedName>
    <definedName name="UFPrn20040702165536" localSheetId="90">#REF!</definedName>
    <definedName name="UFPrn20040702165536" localSheetId="96">#REF!</definedName>
    <definedName name="UFPrn20040702165536">#REF!</definedName>
    <definedName name="UFPrn20040702170117" localSheetId="90">#REF!</definedName>
    <definedName name="UFPrn20040702170117" localSheetId="96">#REF!</definedName>
    <definedName name="UFPrn20040702170117">#REF!</definedName>
    <definedName name="UFPrn20040702170152" localSheetId="90">#REF!</definedName>
    <definedName name="UFPrn20040702170152" localSheetId="96">#REF!</definedName>
    <definedName name="UFPrn20040702170152">#REF!</definedName>
    <definedName name="UFPrn20040702171310" localSheetId="90">#REF!</definedName>
    <definedName name="UFPrn20040702171310" localSheetId="96">#REF!</definedName>
    <definedName name="UFPrn20040702171310">#REF!</definedName>
    <definedName name="UFPrn20040702171719" localSheetId="90">#REF!</definedName>
    <definedName name="UFPrn20040702171719" localSheetId="96">#REF!</definedName>
    <definedName name="UFPrn20040702171719">#REF!</definedName>
    <definedName name="UFPrn20040702173840" localSheetId="90">#REF!</definedName>
    <definedName name="UFPrn20040702173840" localSheetId="96">#REF!</definedName>
    <definedName name="UFPrn20040702173840">#REF!</definedName>
    <definedName name="UFPrn20040704163552">[1]劳务费!$A$1:$I$60</definedName>
    <definedName name="UFPrn20040704163728">[1]折旧!$A$1:$I$148</definedName>
    <definedName name="UFPrn20040704163910">[1]工资!$A$1:$I$154</definedName>
    <definedName name="UFPrn20040704164209">[1]福利费!$A$1:$I$146</definedName>
    <definedName name="UFPrn20040704164359">[1]水电费!$A$1:$I$12</definedName>
    <definedName name="UFPrn20040704164418">[1]办公费!$A$1:$I$121</definedName>
    <definedName name="UFPrn20040704164936">[1]业务招待费!$A$1:$I$59</definedName>
    <definedName name="UFPrn20040705093843" localSheetId="5">#REF!</definedName>
    <definedName name="UFPrn20040705093843" localSheetId="6">#REF!</definedName>
    <definedName name="UFPrn20040705093843" localSheetId="90">#REF!</definedName>
    <definedName name="UFPrn20040705093843" localSheetId="96">#REF!</definedName>
    <definedName name="UFPrn20040705093843">#REF!</definedName>
    <definedName name="UFPrn20040705154100" localSheetId="5">#REF!</definedName>
    <definedName name="UFPrn20040705154100" localSheetId="6">#REF!</definedName>
    <definedName name="UFPrn20040705154100" localSheetId="90">#REF!</definedName>
    <definedName name="UFPrn20040705154100" localSheetId="96">#REF!</definedName>
    <definedName name="UFPrn20040705154100">#REF!</definedName>
    <definedName name="UFPrn20040705220547" localSheetId="5">#REF!</definedName>
    <definedName name="UFPrn20040705220547" localSheetId="6">#REF!</definedName>
    <definedName name="UFPrn20040705220547" localSheetId="90">#REF!</definedName>
    <definedName name="UFPrn20040705220547" localSheetId="96">#REF!</definedName>
    <definedName name="UFPrn20040705220547">#REF!</definedName>
    <definedName name="UFPrn20040706103327" localSheetId="90">#REF!</definedName>
    <definedName name="UFPrn20040706103327" localSheetId="96">#REF!</definedName>
    <definedName name="UFPrn20040706103327">#REF!</definedName>
    <definedName name="UFPrn20040706111053" localSheetId="90">#REF!</definedName>
    <definedName name="UFPrn20040706111053" localSheetId="96">#REF!</definedName>
    <definedName name="UFPrn20040706111053">#REF!</definedName>
    <definedName name="UFPrn20040706165324" localSheetId="90">#REF!</definedName>
    <definedName name="UFPrn20040706165324" localSheetId="96">#REF!</definedName>
    <definedName name="UFPrn20040706165324">#REF!</definedName>
    <definedName name="UFPrn20040708133528" localSheetId="90">#REF!</definedName>
    <definedName name="UFPrn20040708133528" localSheetId="96">#REF!</definedName>
    <definedName name="UFPrn20040708133528">#REF!</definedName>
    <definedName name="UFPrn20040708134859" localSheetId="90">#REF!</definedName>
    <definedName name="UFPrn20040708134859" localSheetId="96">#REF!</definedName>
    <definedName name="UFPrn20040708134859">#REF!</definedName>
    <definedName name="UFPrn20041208091203" localSheetId="90">#REF!</definedName>
    <definedName name="UFPrn20041208091203" localSheetId="96">#REF!</definedName>
    <definedName name="UFPrn20041208091203">#REF!</definedName>
    <definedName name="UFPrn20050111163550" localSheetId="90">#REF!</definedName>
    <definedName name="UFPrn20050111163550" localSheetId="96">#REF!</definedName>
    <definedName name="UFPrn20050111163550">#REF!</definedName>
    <definedName name="UFPrn20050111163617" localSheetId="90">#REF!</definedName>
    <definedName name="UFPrn20050111163617" localSheetId="96">#REF!</definedName>
    <definedName name="UFPrn20050111163617">#REF!</definedName>
    <definedName name="UFPrn20050309204808" localSheetId="90">#REF!</definedName>
    <definedName name="UFPrn20050309204808" localSheetId="96">#REF!</definedName>
    <definedName name="UFPrn20050309204808">#REF!</definedName>
    <definedName name="UFPrn20051206181057" localSheetId="90">#REF!</definedName>
    <definedName name="UFPrn20051206181057" localSheetId="96">#REF!</definedName>
    <definedName name="UFPrn20051206181057">#REF!</definedName>
    <definedName name="XVC" localSheetId="90">#REF!</definedName>
    <definedName name="XVC" localSheetId="96">#REF!</definedName>
    <definedName name="XVC">#REF!</definedName>
    <definedName name="Z_11225121_1664_11D5_91ED_001060808604_.wvu.PrintArea" localSheetId="3" hidden="1">'RP 002-1'!$A$1:$D$43</definedName>
    <definedName name="Z_11225121_1664_11D5_91ED_001060808604_.wvu.PrintArea" localSheetId="4" hidden="1">'RP 002-2'!$A$1:$D$49</definedName>
    <definedName name="Z_38A85FE0_3960_11D5_8724_5254293012F4_.wvu.PrintArea" localSheetId="3" hidden="1">'RP 002-1'!$A$1:$D$43</definedName>
    <definedName name="Z_38A85FE0_3960_11D5_8724_5254293012F4_.wvu.PrintArea" localSheetId="4" hidden="1">'RP 002-2'!$A$1:$D$49</definedName>
    <definedName name="Z_B17549A0_198B_11D5_A231_0080C88DD54C_.wvu.PrintArea" localSheetId="3" hidden="1">'RP 002-1'!$A$1:$D$45</definedName>
    <definedName name="Z_B238A4E0_5F40_11D5_A601_00A0C939A085_.wvu.PrintArea" localSheetId="3" hidden="1">'RP 002-1'!$A$1:$D$43</definedName>
    <definedName name="Z_B238A4E0_5F40_11D5_A601_00A0C939A085_.wvu.PrintArea" localSheetId="4" hidden="1">'RP 002-2'!$A$1:$D$49</definedName>
    <definedName name="本月表" localSheetId="90">#REF!</definedName>
    <definedName name="本月表" localSheetId="96">#REF!</definedName>
    <definedName name="本月表">#REF!</definedName>
    <definedName name="编制" localSheetId="5">基础信息!#REF!</definedName>
    <definedName name="编制" localSheetId="6">基础信息!#REF!</definedName>
    <definedName name="编制" localSheetId="90">基础信息!#REF!</definedName>
    <definedName name="编制" localSheetId="96">基础信息!#REF!</definedName>
    <definedName name="编制">基础信息!#REF!</definedName>
    <definedName name="表头">基础信息!$A$4:$B$10</definedName>
    <definedName name="差">[1]差!$A$1:$I$81</definedName>
    <definedName name="程序表编制人" localSheetId="5">基础信息!#REF!</definedName>
    <definedName name="程序表编制人" localSheetId="6">基础信息!#REF!</definedName>
    <definedName name="程序表编制人" localSheetId="90">基础信息!#REF!</definedName>
    <definedName name="程序表编制人" localSheetId="96">基础信息!#REF!</definedName>
    <definedName name="程序表编制人">基础信息!#REF!</definedName>
    <definedName name="程序表编制日期" localSheetId="5">基础信息!#REF!</definedName>
    <definedName name="程序表编制日期" localSheetId="6">基础信息!#REF!</definedName>
    <definedName name="程序表编制日期" localSheetId="90">基础信息!#REF!</definedName>
    <definedName name="程序表编制日期" localSheetId="96">基础信息!#REF!</definedName>
    <definedName name="程序表编制日期">基础信息!#REF!</definedName>
    <definedName name="程序表复核人" localSheetId="5">基础信息!#REF!</definedName>
    <definedName name="程序表复核人" localSheetId="6">基础信息!#REF!</definedName>
    <definedName name="程序表复核人" localSheetId="90">基础信息!#REF!</definedName>
    <definedName name="程序表复核人" localSheetId="96">基础信息!#REF!</definedName>
    <definedName name="程序表复核人">基础信息!#REF!</definedName>
    <definedName name="程序表复核日期" localSheetId="5">基础信息!#REF!</definedName>
    <definedName name="程序表复核日期" localSheetId="6">基础信息!#REF!</definedName>
    <definedName name="程序表复核日期" localSheetId="90">基础信息!#REF!</definedName>
    <definedName name="程序表复核日期" localSheetId="96">基础信息!#REF!</definedName>
    <definedName name="程序表复核日期">基础信息!#REF!</definedName>
    <definedName name="代维护费" localSheetId="5">#REF!</definedName>
    <definedName name="代维护费" localSheetId="6">#REF!</definedName>
    <definedName name="代维护费" localSheetId="90">#REF!</definedName>
    <definedName name="代维护费" localSheetId="96">#REF!</definedName>
    <definedName name="代维护费">#REF!</definedName>
    <definedName name="低值" localSheetId="5">#REF!</definedName>
    <definedName name="低值" localSheetId="6">#REF!</definedName>
    <definedName name="低值" localSheetId="90">#REF!</definedName>
    <definedName name="低值" localSheetId="96">#REF!</definedName>
    <definedName name="低值">#REF!</definedName>
    <definedName name="低值易耗品" localSheetId="5">#REF!</definedName>
    <definedName name="低值易耗品" localSheetId="6">#REF!</definedName>
    <definedName name="低值易耗品" localSheetId="90">#REF!</definedName>
    <definedName name="低值易耗品" localSheetId="96">#REF!</definedName>
    <definedName name="低值易耗品">#REF!</definedName>
    <definedName name="儿女" localSheetId="90">#REF!</definedName>
    <definedName name="儿女" localSheetId="96">#REF!</definedName>
    <definedName name="儿女">#REF!</definedName>
    <definedName name="复核">基础信息!$B$7</definedName>
    <definedName name="光缆维护费" localSheetId="5">#REF!</definedName>
    <definedName name="光缆维护费" localSheetId="6">#REF!</definedName>
    <definedName name="光缆维护费" localSheetId="90">#REF!</definedName>
    <definedName name="光缆维护费" localSheetId="96">#REF!</definedName>
    <definedName name="光缆维护费">#REF!</definedName>
    <definedName name="汇率" localSheetId="5">#REF!</definedName>
    <definedName name="汇率" localSheetId="6">#REF!</definedName>
    <definedName name="汇率" localSheetId="90">#REF!</definedName>
    <definedName name="汇率" localSheetId="96">#REF!</definedName>
    <definedName name="汇率">#REF!</definedName>
    <definedName name="机">[1]机!$A$1:$I$176</definedName>
    <definedName name="截止">基础信息!$B$5</definedName>
    <definedName name="客户">基础信息!$B$4</definedName>
    <definedName name="老">[1]劳保!$A$1:$I$132</definedName>
    <definedName name="累计表" localSheetId="5">#REF!</definedName>
    <definedName name="累计表" localSheetId="6">#REF!</definedName>
    <definedName name="累计表" localSheetId="90">#REF!</definedName>
    <definedName name="累计表" localSheetId="96">#REF!</definedName>
    <definedName name="累计表">#REF!</definedName>
    <definedName name="日期1">基础信息!$B$8</definedName>
    <definedName name="日期2" localSheetId="5">基础信息!$B$9</definedName>
    <definedName name="日期2" localSheetId="6">基础信息!$B$9</definedName>
    <definedName name="日期2">基础信息!$B$9</definedName>
    <definedName name="沈玉环" localSheetId="5">#REF!</definedName>
    <definedName name="沈玉环" localSheetId="6">#REF!</definedName>
    <definedName name="沈玉环" localSheetId="90">#REF!</definedName>
    <definedName name="沈玉环" localSheetId="96">#REF!</definedName>
    <definedName name="沈玉环">#REF!</definedName>
    <definedName name="生产列1" localSheetId="5">#REF!</definedName>
    <definedName name="生产列1" localSheetId="6">#REF!</definedName>
    <definedName name="生产列1" localSheetId="90">#REF!</definedName>
    <definedName name="生产列1" localSheetId="96">#REF!</definedName>
    <definedName name="生产列1">#REF!</definedName>
    <definedName name="生产列11" localSheetId="5">#REF!</definedName>
    <definedName name="生产列11" localSheetId="6">#REF!</definedName>
    <definedName name="生产列11" localSheetId="90">#REF!</definedName>
    <definedName name="生产列11" localSheetId="96">#REF!</definedName>
    <definedName name="生产列11">#REF!</definedName>
    <definedName name="生产列15" localSheetId="90">#REF!</definedName>
    <definedName name="生产列15" localSheetId="96">#REF!</definedName>
    <definedName name="生产列15">#REF!</definedName>
    <definedName name="生产列16" localSheetId="90">#REF!</definedName>
    <definedName name="生产列16" localSheetId="96">#REF!</definedName>
    <definedName name="生产列16">#REF!</definedName>
    <definedName name="生产列17" localSheetId="90">#REF!</definedName>
    <definedName name="生产列17" localSheetId="96">#REF!</definedName>
    <definedName name="生产列17">#REF!</definedName>
    <definedName name="生产列19" localSheetId="90">#REF!</definedName>
    <definedName name="生产列19" localSheetId="96">#REF!</definedName>
    <definedName name="生产列19">#REF!</definedName>
    <definedName name="生产列2" localSheetId="90">#REF!</definedName>
    <definedName name="生产列2" localSheetId="96">#REF!</definedName>
    <definedName name="生产列2">#REF!</definedName>
    <definedName name="生产列20" localSheetId="90">#REF!</definedName>
    <definedName name="生产列20" localSheetId="96">#REF!</definedName>
    <definedName name="生产列20">#REF!</definedName>
    <definedName name="生产列3" localSheetId="90">#REF!</definedName>
    <definedName name="生产列3" localSheetId="96">#REF!</definedName>
    <definedName name="生产列3">#REF!</definedName>
    <definedName name="生产列4" localSheetId="90">#REF!</definedName>
    <definedName name="生产列4" localSheetId="96">#REF!</definedName>
    <definedName name="生产列4">#REF!</definedName>
    <definedName name="生产列6" localSheetId="90">#REF!</definedName>
    <definedName name="生产列6" localSheetId="96">#REF!</definedName>
    <definedName name="生产列6">#REF!</definedName>
    <definedName name="生产列7" localSheetId="90">#REF!</definedName>
    <definedName name="生产列7" localSheetId="96">#REF!</definedName>
    <definedName name="生产列7">#REF!</definedName>
    <definedName name="生产列8" localSheetId="90">#REF!</definedName>
    <definedName name="生产列8" localSheetId="96">#REF!</definedName>
    <definedName name="生产列8">#REF!</definedName>
    <definedName name="生产列9" localSheetId="90">#REF!</definedName>
    <definedName name="生产列9" localSheetId="96">#REF!</definedName>
    <definedName name="生产列9">#REF!</definedName>
    <definedName name="生产期" localSheetId="90">#REF!</definedName>
    <definedName name="生产期" localSheetId="96">#REF!</definedName>
    <definedName name="生产期">#REF!</definedName>
    <definedName name="生产期1" localSheetId="90">#REF!</definedName>
    <definedName name="生产期1" localSheetId="96">#REF!</definedName>
    <definedName name="生产期1">#REF!</definedName>
    <definedName name="生产期11" localSheetId="90">#REF!</definedName>
    <definedName name="生产期11" localSheetId="96">#REF!</definedName>
    <definedName name="生产期11">#REF!</definedName>
    <definedName name="生产期15" localSheetId="90">#REF!</definedName>
    <definedName name="生产期15" localSheetId="96">#REF!</definedName>
    <definedName name="生产期15">#REF!</definedName>
    <definedName name="生产期16" localSheetId="90">#REF!</definedName>
    <definedName name="生产期16" localSheetId="96">#REF!</definedName>
    <definedName name="生产期16">#REF!</definedName>
    <definedName name="生产期17" localSheetId="90">#REF!</definedName>
    <definedName name="生产期17" localSheetId="96">#REF!</definedName>
    <definedName name="生产期17">#REF!</definedName>
    <definedName name="生产期19" localSheetId="90">#REF!</definedName>
    <definedName name="生产期19" localSheetId="96">#REF!</definedName>
    <definedName name="生产期19">#REF!</definedName>
    <definedName name="生产期2" localSheetId="90">#REF!</definedName>
    <definedName name="生产期2" localSheetId="96">#REF!</definedName>
    <definedName name="生产期2">#REF!</definedName>
    <definedName name="生产期20" localSheetId="90">#REF!</definedName>
    <definedName name="生产期20" localSheetId="96">#REF!</definedName>
    <definedName name="生产期20">#REF!</definedName>
    <definedName name="生产期3" localSheetId="90">#REF!</definedName>
    <definedName name="生产期3" localSheetId="96">#REF!</definedName>
    <definedName name="生产期3">#REF!</definedName>
    <definedName name="生产期4" localSheetId="90">#REF!</definedName>
    <definedName name="生产期4" localSheetId="96">#REF!</definedName>
    <definedName name="生产期4">#REF!</definedName>
    <definedName name="生产期5" localSheetId="90">[14]资产负债表!#REF!</definedName>
    <definedName name="生产期5" localSheetId="96">[14]资产负债表!#REF!</definedName>
    <definedName name="生产期5">[14]资产负债表!#REF!</definedName>
    <definedName name="生产期500" localSheetId="90">[14]资产负债表!#REF!</definedName>
    <definedName name="生产期500" localSheetId="96">[14]资产负债表!#REF!</definedName>
    <definedName name="生产期500">[14]资产负债表!#REF!</definedName>
    <definedName name="生产期6" localSheetId="5">#REF!</definedName>
    <definedName name="生产期6" localSheetId="6">#REF!</definedName>
    <definedName name="生产期6" localSheetId="90">#REF!</definedName>
    <definedName name="生产期6" localSheetId="96">#REF!</definedName>
    <definedName name="生产期6">#REF!</definedName>
    <definedName name="生产期7" localSheetId="5">#REF!</definedName>
    <definedName name="生产期7" localSheetId="6">#REF!</definedName>
    <definedName name="生产期7" localSheetId="90">#REF!</definedName>
    <definedName name="生产期7" localSheetId="96">#REF!</definedName>
    <definedName name="生产期7">#REF!</definedName>
    <definedName name="生产期8" localSheetId="5">#REF!</definedName>
    <definedName name="生产期8" localSheetId="6">#REF!</definedName>
    <definedName name="生产期8" localSheetId="90">#REF!</definedName>
    <definedName name="生产期8" localSheetId="96">#REF!</definedName>
    <definedName name="生产期8">#REF!</definedName>
    <definedName name="生产期9" localSheetId="90">#REF!</definedName>
    <definedName name="生产期9" localSheetId="96">#REF!</definedName>
    <definedName name="生产期9">#REF!</definedName>
    <definedName name="十月份产销存明细表.dbf" localSheetId="90">#REF!</definedName>
    <definedName name="十月份产销存明细表.dbf" localSheetId="96">#REF!</definedName>
    <definedName name="十月份产销存明细表.dbf">#REF!</definedName>
    <definedName name="收视管理费" localSheetId="90">#REF!</definedName>
    <definedName name="收视管理费" localSheetId="96">#REF!</definedName>
    <definedName name="收视管理费">#REF!</definedName>
    <definedName name="损益调整表" localSheetId="90">#REF!</definedName>
    <definedName name="损益调整表" localSheetId="96">#REF!</definedName>
    <definedName name="损益调整表">#REF!</definedName>
    <definedName name="通">[1]通迅费!$A$1:$I$188</definedName>
    <definedName name="外部" localSheetId="5">#REF!</definedName>
    <definedName name="外部" localSheetId="6">#REF!</definedName>
    <definedName name="外部" localSheetId="90">#REF!</definedName>
    <definedName name="外部" localSheetId="96">#REF!</definedName>
    <definedName name="外部">#REF!</definedName>
    <definedName name="外部预收账款" localSheetId="5">#REF!</definedName>
    <definedName name="外部预收账款" localSheetId="6">#REF!</definedName>
    <definedName name="外部预收账款" localSheetId="90">#REF!</definedName>
    <definedName name="外部预收账款" localSheetId="96">#REF!</definedName>
    <definedName name="外部预收账款">#REF!</definedName>
    <definedName name="现金" localSheetId="5">#REF!</definedName>
    <definedName name="现金" localSheetId="6">#REF!</definedName>
    <definedName name="现金" localSheetId="90">#REF!</definedName>
    <definedName name="现金" localSheetId="96">#REF!</definedName>
    <definedName name="现金">#REF!</definedName>
    <definedName name="信标" localSheetId="90">#REF!</definedName>
    <definedName name="信标" localSheetId="96">#REF!</definedName>
    <definedName name="信标">#REF!</definedName>
    <definedName name="修">[1]修!$A$1:$I$133</definedName>
    <definedName name="役龄资产" localSheetId="5">#REF!</definedName>
    <definedName name="役龄资产" localSheetId="6">#REF!</definedName>
    <definedName name="役龄资产" localSheetId="90">#REF!</definedName>
    <definedName name="役龄资产" localSheetId="96">#REF!</definedName>
    <definedName name="役龄资产">#REF!</definedName>
    <definedName name="役龄资产200301" localSheetId="5">#REF!</definedName>
    <definedName name="役龄资产200301" localSheetId="6">#REF!</definedName>
    <definedName name="役龄资产200301" localSheetId="90">#REF!</definedName>
    <definedName name="役龄资产200301" localSheetId="96">#REF!</definedName>
    <definedName name="役龄资产200301">#REF!</definedName>
    <definedName name="银行存款" localSheetId="5">#REF!</definedName>
    <definedName name="银行存款" localSheetId="6">#REF!</definedName>
    <definedName name="银行存款" localSheetId="90">#REF!</definedName>
    <definedName name="银行存款" localSheetId="96">#REF!</definedName>
    <definedName name="银行存款">#REF!</definedName>
    <definedName name="营销内部" localSheetId="90">#REF!</definedName>
    <definedName name="营销内部" localSheetId="96">#REF!</definedName>
    <definedName name="营销内部">#REF!</definedName>
    <definedName name="应付光缆管理费" localSheetId="90">#REF!</definedName>
    <definedName name="应付光缆管理费" localSheetId="96">#REF!</definedName>
    <definedName name="应付光缆管理费">#REF!</definedName>
    <definedName name="应付客户明细帐" localSheetId="90">#REF!</definedName>
    <definedName name="应付客户明细帐" localSheetId="96">#REF!</definedName>
    <definedName name="应付客户明细帐">#REF!</definedName>
    <definedName name="应付收视管理费" localSheetId="90">#REF!</definedName>
    <definedName name="应付收视管理费" localSheetId="96">#REF!</definedName>
    <definedName name="应付收视管理费">#REF!</definedName>
    <definedName name="应付自维管理费" localSheetId="90">#REF!</definedName>
    <definedName name="应付自维管理费" localSheetId="96">#REF!</definedName>
    <definedName name="应付自维管理费">#REF!</definedName>
    <definedName name="应收余额表" localSheetId="90">#REF!</definedName>
    <definedName name="应收余额表" localSheetId="96">#REF!</definedName>
    <definedName name="应收余额表">#REF!</definedName>
    <definedName name="应收账款贷方余额表">[15]应收账款贷方余额表!$A$4:$J$325</definedName>
    <definedName name="应收账款借方余额表">[15]应收账款借方余额表!$A$4:$J$23</definedName>
    <definedName name="应收账款余额表">[15]应收账款余额表!$A$4:$J$749</definedName>
    <definedName name="逾龄资产" localSheetId="5">#REF!</definedName>
    <definedName name="逾龄资产" localSheetId="6">#REF!</definedName>
    <definedName name="逾龄资产" localSheetId="90">#REF!</definedName>
    <definedName name="逾龄资产" localSheetId="96">#REF!</definedName>
    <definedName name="逾龄资产">#REF!</definedName>
    <definedName name="逾龄资产2002" localSheetId="5">#REF!</definedName>
    <definedName name="逾龄资产2002" localSheetId="6">#REF!</definedName>
    <definedName name="逾龄资产2002" localSheetId="90">#REF!</definedName>
    <definedName name="逾龄资产2002" localSheetId="96">#REF!</definedName>
    <definedName name="逾龄资产2002">#REF!</definedName>
    <definedName name="预收——撤点单位" localSheetId="5">#REF!</definedName>
    <definedName name="预收——撤点单位" localSheetId="6">#REF!</definedName>
    <definedName name="预收——撤点单位" localSheetId="90">#REF!</definedName>
    <definedName name="预收——撤点单位" localSheetId="96">#REF!</definedName>
    <definedName name="预收——撤点单位">#REF!</definedName>
    <definedName name="预收账款" localSheetId="90">#REF!</definedName>
    <definedName name="预收账款" localSheetId="96">#REF!</definedName>
    <definedName name="预收账款">#REF!</definedName>
    <definedName name="诸销销售" localSheetId="90">#REF!</definedName>
    <definedName name="诸销销售" localSheetId="96">#REF!</definedName>
    <definedName name="诸销销售">#REF!</definedName>
    <definedName name="主营收入分类明细" localSheetId="90">#REF!</definedName>
    <definedName name="主营收入分类明细" localSheetId="96">#REF!</definedName>
    <definedName name="主营收入分类明细">#REF!</definedName>
    <definedName name="自维费" localSheetId="90">#REF!</definedName>
    <definedName name="自维费" localSheetId="96">#REF!</definedName>
    <definedName name="自维费">#REF!</definedName>
    <definedName name="전" localSheetId="90">#REF!</definedName>
    <definedName name="전" localSheetId="96">#REF!</definedName>
    <definedName name="전">#REF!</definedName>
    <definedName name="주택사업본부" localSheetId="90">#REF!</definedName>
    <definedName name="주택사업본부" localSheetId="96">#REF!</definedName>
    <definedName name="주택사업본부">#REF!</definedName>
    <definedName name="철구사업본부" localSheetId="90">#REF!</definedName>
    <definedName name="철구사업본부" localSheetId="96">#REF!</definedName>
    <definedName name="철구사업본부">#REF!</definedName>
  </definedNames>
  <calcPr calcId="162913" fullPrecision="0"/>
</workbook>
</file>

<file path=xl/calcChain.xml><?xml version="1.0" encoding="utf-8"?>
<calcChain xmlns="http://schemas.openxmlformats.org/spreadsheetml/2006/main">
  <c r="B28" i="109" l="1"/>
  <c r="B10" i="188"/>
  <c r="B12" i="188" s="1"/>
  <c r="B13" i="188" s="1"/>
  <c r="B12" i="94"/>
  <c r="B10" i="91"/>
  <c r="B8" i="189"/>
  <c r="B10" i="189" s="1"/>
  <c r="B11" i="189" s="1"/>
  <c r="B10" i="183"/>
  <c r="B12" i="183" s="1"/>
  <c r="B13" i="183" s="1"/>
  <c r="B13" i="184"/>
  <c r="B10" i="184"/>
  <c r="B12" i="184"/>
  <c r="B13" i="191"/>
  <c r="B14" i="191" s="1"/>
  <c r="B11" i="178"/>
  <c r="B12" i="191"/>
  <c r="B15" i="191" l="1"/>
  <c r="B2" i="191"/>
  <c r="B1" i="191"/>
  <c r="B2" i="190"/>
  <c r="B1" i="190"/>
  <c r="B2" i="189"/>
  <c r="B1" i="189"/>
  <c r="B2" i="188"/>
  <c r="B1" i="188"/>
  <c r="D149" i="28" l="1"/>
  <c r="C149" i="28"/>
  <c r="D128" i="28"/>
  <c r="D125" i="28"/>
  <c r="C125" i="28"/>
  <c r="B103" i="28"/>
  <c r="B115" i="28"/>
  <c r="D107" i="28"/>
  <c r="C107" i="28"/>
  <c r="D86" i="28"/>
  <c r="C86" i="28"/>
  <c r="D65" i="28"/>
  <c r="C65" i="28"/>
  <c r="D45" i="28"/>
  <c r="C45" i="28"/>
  <c r="E149" i="28" l="1"/>
  <c r="E45" i="28"/>
  <c r="E125" i="28"/>
  <c r="E107" i="28"/>
  <c r="E86" i="28"/>
  <c r="E65" i="28"/>
  <c r="B26" i="28" l="1"/>
  <c r="D16" i="28"/>
  <c r="C16" i="28"/>
  <c r="B15" i="28"/>
  <c r="B12" i="28"/>
  <c r="E16" i="28" l="1"/>
  <c r="D11" i="28" l="1"/>
  <c r="C11" i="28"/>
  <c r="D10" i="28"/>
  <c r="C10" i="28"/>
  <c r="E10" i="28" l="1"/>
  <c r="D12" i="28"/>
  <c r="E11" i="28"/>
  <c r="C12" i="28"/>
  <c r="E12" i="28" l="1"/>
  <c r="B14" i="9"/>
  <c r="B36" i="9"/>
  <c r="N11" i="9"/>
  <c r="AA11" i="9"/>
  <c r="A71" i="112" l="1"/>
  <c r="A68" i="112"/>
  <c r="A69" i="112" s="1"/>
  <c r="A70" i="112" s="1"/>
  <c r="A67" i="112"/>
  <c r="A66" i="112"/>
  <c r="A54" i="112"/>
  <c r="A53" i="112"/>
  <c r="A52" i="112"/>
  <c r="A51" i="112"/>
  <c r="A50" i="112"/>
  <c r="A48" i="112"/>
  <c r="A47" i="112"/>
  <c r="A46" i="112"/>
  <c r="A30" i="112"/>
  <c r="A29" i="112"/>
  <c r="A28" i="112"/>
  <c r="A27" i="112"/>
  <c r="A26" i="112"/>
  <c r="A25" i="112"/>
  <c r="A24" i="112"/>
  <c r="A23" i="112"/>
  <c r="A10" i="112"/>
  <c r="A11" i="112" s="1"/>
  <c r="A12" i="112" s="1"/>
  <c r="A13" i="112" s="1"/>
  <c r="A14" i="112" s="1"/>
  <c r="A15" i="112" s="1"/>
  <c r="A16" i="112" s="1"/>
  <c r="A17" i="112" s="1"/>
  <c r="A18" i="112" s="1"/>
  <c r="A19" i="112" s="1"/>
  <c r="A20" i="112" s="1"/>
  <c r="B12" i="80" l="1"/>
  <c r="B15" i="118"/>
  <c r="B13" i="102"/>
  <c r="B10" i="181" l="1"/>
  <c r="B2" i="182"/>
  <c r="B1" i="182"/>
  <c r="B2" i="181" l="1"/>
  <c r="B1" i="181"/>
  <c r="B2" i="183"/>
  <c r="B1" i="183"/>
  <c r="B2" i="184"/>
  <c r="B1" i="184"/>
  <c r="B12" i="185"/>
  <c r="B15" i="185" s="1"/>
  <c r="B2" i="185"/>
  <c r="B1" i="185"/>
  <c r="C12" i="186"/>
  <c r="C14" i="186" s="1"/>
  <c r="B12" i="186"/>
  <c r="B14" i="186" s="1"/>
  <c r="D11" i="186"/>
  <c r="D10" i="186"/>
  <c r="D9" i="186"/>
  <c r="D8" i="186"/>
  <c r="D7" i="186"/>
  <c r="B2" i="186"/>
  <c r="B1" i="186"/>
  <c r="G27" i="187"/>
  <c r="F27" i="187"/>
  <c r="E27" i="187"/>
  <c r="D27" i="187"/>
  <c r="C27" i="187"/>
  <c r="B27" i="187"/>
  <c r="C13" i="187"/>
  <c r="B13" i="187"/>
  <c r="D12" i="187"/>
  <c r="D11" i="187"/>
  <c r="D10" i="187"/>
  <c r="D9" i="187"/>
  <c r="D8" i="187"/>
  <c r="D7" i="187"/>
  <c r="B2" i="187"/>
  <c r="B1" i="187"/>
  <c r="B10" i="178"/>
  <c r="B2" i="178"/>
  <c r="B1" i="178"/>
  <c r="B18" i="180"/>
  <c r="B2" i="180"/>
  <c r="B1" i="180"/>
  <c r="B9" i="179"/>
  <c r="B2" i="179"/>
  <c r="B1" i="179"/>
  <c r="D12" i="186" l="1"/>
  <c r="D14" i="186" s="1"/>
  <c r="D13" i="187"/>
  <c r="C150" i="28"/>
  <c r="D150" i="28"/>
  <c r="C152" i="28"/>
  <c r="D152" i="28"/>
  <c r="C88" i="28"/>
  <c r="D88" i="28"/>
  <c r="C82" i="28"/>
  <c r="D82" i="28"/>
  <c r="D43" i="28"/>
  <c r="C43" i="28"/>
  <c r="D7" i="28"/>
  <c r="C7" i="28"/>
  <c r="E88" i="28" l="1"/>
  <c r="B12" i="181" s="1"/>
  <c r="B13" i="181" s="1"/>
  <c r="E150" i="28"/>
  <c r="B11" i="179" s="1"/>
  <c r="B12" i="179" s="1"/>
  <c r="E82" i="28"/>
  <c r="B16" i="182" s="1"/>
  <c r="B17" i="182" s="1"/>
  <c r="E152" i="28"/>
  <c r="E43" i="28"/>
  <c r="E7" i="28"/>
  <c r="B12" i="178" s="1"/>
  <c r="B13" i="178" s="1"/>
  <c r="B28" i="132"/>
  <c r="B30" i="132" s="1"/>
  <c r="B32" i="132" s="1"/>
  <c r="B2" i="132"/>
  <c r="B1" i="132"/>
  <c r="C168" i="133"/>
  <c r="C160" i="133"/>
  <c r="F152" i="133"/>
  <c r="E152" i="133"/>
  <c r="D152" i="133"/>
  <c r="C152" i="133"/>
  <c r="G151" i="133"/>
  <c r="G150" i="133"/>
  <c r="G149" i="133"/>
  <c r="F142" i="133"/>
  <c r="E142" i="133"/>
  <c r="D142" i="133"/>
  <c r="C142" i="133"/>
  <c r="G141" i="133"/>
  <c r="G140" i="133"/>
  <c r="G139" i="133"/>
  <c r="C116" i="133"/>
  <c r="B2" i="133"/>
  <c r="B1" i="133"/>
  <c r="B2" i="134"/>
  <c r="B1" i="134"/>
  <c r="B2" i="135"/>
  <c r="B1" i="135"/>
  <c r="B2" i="136"/>
  <c r="B1" i="136"/>
  <c r="J13" i="126"/>
  <c r="G13" i="126"/>
  <c r="F13" i="126"/>
  <c r="E13" i="126"/>
  <c r="D13" i="126"/>
  <c r="C13" i="126"/>
  <c r="B13" i="126"/>
  <c r="B2" i="126"/>
  <c r="B1" i="126"/>
  <c r="B62" i="62"/>
  <c r="B58" i="62"/>
  <c r="B53" i="62"/>
  <c r="B44" i="62"/>
  <c r="B40" i="62"/>
  <c r="B36" i="62"/>
  <c r="B32" i="62"/>
  <c r="B22" i="62"/>
  <c r="B2" i="62"/>
  <c r="B1" i="62"/>
  <c r="B20" i="127"/>
  <c r="B4" i="127"/>
  <c r="B2" i="127"/>
  <c r="B1" i="127"/>
  <c r="B20" i="128"/>
  <c r="B4" i="128"/>
  <c r="B2" i="128"/>
  <c r="B1" i="128"/>
  <c r="B20" i="129"/>
  <c r="B4" i="129"/>
  <c r="B2" i="129"/>
  <c r="B1" i="129"/>
  <c r="B20" i="130"/>
  <c r="B4" i="130"/>
  <c r="B2" i="130"/>
  <c r="B1" i="130"/>
  <c r="B21" i="131"/>
  <c r="B4" i="131"/>
  <c r="B2" i="131"/>
  <c r="B1" i="131"/>
  <c r="B20" i="71"/>
  <c r="B4" i="71"/>
  <c r="B2" i="71"/>
  <c r="B1" i="71"/>
  <c r="B32" i="109"/>
  <c r="B34" i="109" s="1"/>
  <c r="B8" i="109"/>
  <c r="B2" i="109"/>
  <c r="B1" i="109"/>
  <c r="C15" i="108"/>
  <c r="B15" i="108"/>
  <c r="B2" i="108"/>
  <c r="B1" i="108"/>
  <c r="C15" i="107"/>
  <c r="B15" i="107"/>
  <c r="B2" i="107"/>
  <c r="B1" i="107"/>
  <c r="C15" i="169"/>
  <c r="B15" i="169"/>
  <c r="B2" i="169"/>
  <c r="B1" i="169"/>
  <c r="B9" i="123"/>
  <c r="B2" i="123"/>
  <c r="B1" i="123"/>
  <c r="B16" i="106"/>
  <c r="B2" i="106"/>
  <c r="B1" i="106"/>
  <c r="C15" i="168"/>
  <c r="B15" i="168"/>
  <c r="B2" i="168"/>
  <c r="B1" i="168"/>
  <c r="B18" i="105"/>
  <c r="B2" i="105"/>
  <c r="B1" i="105"/>
  <c r="B2" i="122"/>
  <c r="B1" i="122"/>
  <c r="B9" i="177"/>
  <c r="B2" i="177"/>
  <c r="B1" i="177"/>
  <c r="B9" i="164"/>
  <c r="B2" i="164"/>
  <c r="B1" i="164"/>
  <c r="B9" i="163"/>
  <c r="B2" i="163"/>
  <c r="B1" i="163"/>
  <c r="C14" i="104"/>
  <c r="B2" i="104"/>
  <c r="B1" i="104"/>
  <c r="C17" i="103"/>
  <c r="C21" i="103" s="1"/>
  <c r="B17" i="103"/>
  <c r="B21" i="103" s="1"/>
  <c r="B22" i="103" s="1"/>
  <c r="B23" i="103" s="1"/>
  <c r="C9" i="103"/>
  <c r="B2" i="103"/>
  <c r="B1" i="103"/>
  <c r="B8" i="162"/>
  <c r="B2" i="162"/>
  <c r="B1" i="162"/>
  <c r="G21" i="161"/>
  <c r="F21" i="161"/>
  <c r="E21" i="161"/>
  <c r="D21" i="161"/>
  <c r="C21" i="161"/>
  <c r="B21" i="161"/>
  <c r="F7" i="161"/>
  <c r="D7" i="161"/>
  <c r="C7" i="161"/>
  <c r="B7" i="161"/>
  <c r="E6" i="161"/>
  <c r="E5" i="161"/>
  <c r="B2" i="161"/>
  <c r="B1" i="161"/>
  <c r="B2" i="102"/>
  <c r="B1" i="102"/>
  <c r="C10" i="160"/>
  <c r="C12" i="160" s="1"/>
  <c r="B10" i="160"/>
  <c r="B12" i="160" s="1"/>
  <c r="B2" i="160"/>
  <c r="B1" i="160"/>
  <c r="D7" i="121"/>
  <c r="C7" i="121"/>
  <c r="B7" i="121"/>
  <c r="E6" i="121"/>
  <c r="E5" i="121"/>
  <c r="B2" i="121"/>
  <c r="B1" i="121"/>
  <c r="B16" i="101"/>
  <c r="B17" i="101" s="1"/>
  <c r="B9" i="101"/>
  <c r="B11" i="101" s="1"/>
  <c r="B2" i="101"/>
  <c r="B1" i="101"/>
  <c r="B16" i="176"/>
  <c r="B17" i="176" s="1"/>
  <c r="B2" i="176"/>
  <c r="B1" i="176"/>
  <c r="I44" i="100"/>
  <c r="H44" i="100"/>
  <c r="G44" i="100"/>
  <c r="F44" i="100"/>
  <c r="E44" i="100"/>
  <c r="D44" i="100"/>
  <c r="C44" i="100"/>
  <c r="B44" i="100"/>
  <c r="G25" i="100"/>
  <c r="G27" i="100" s="1"/>
  <c r="F25" i="100"/>
  <c r="F27" i="100" s="1"/>
  <c r="E25" i="100"/>
  <c r="E27" i="100" s="1"/>
  <c r="D25" i="100"/>
  <c r="D27" i="100" s="1"/>
  <c r="C25" i="100"/>
  <c r="C27" i="100" s="1"/>
  <c r="B25" i="100"/>
  <c r="B27" i="100" s="1"/>
  <c r="E18" i="100"/>
  <c r="B18" i="100"/>
  <c r="B8" i="100"/>
  <c r="B2" i="100"/>
  <c r="B1" i="100"/>
  <c r="B25" i="99"/>
  <c r="D10" i="99"/>
  <c r="D12" i="99" s="1"/>
  <c r="B10" i="99"/>
  <c r="B12" i="99" s="1"/>
  <c r="B2" i="99"/>
  <c r="B1" i="99"/>
  <c r="F37" i="159"/>
  <c r="E37" i="159"/>
  <c r="D37" i="159"/>
  <c r="C37" i="159"/>
  <c r="B37" i="159"/>
  <c r="G29" i="159"/>
  <c r="F29" i="159"/>
  <c r="E29" i="159"/>
  <c r="D29" i="159"/>
  <c r="C29" i="159"/>
  <c r="B29" i="159"/>
  <c r="E24" i="159"/>
  <c r="B24" i="159"/>
  <c r="B8" i="159"/>
  <c r="B2" i="159"/>
  <c r="B1" i="159"/>
  <c r="B45" i="98"/>
  <c r="G38" i="98"/>
  <c r="F38" i="98"/>
  <c r="E38" i="98"/>
  <c r="D38" i="98"/>
  <c r="C38" i="98"/>
  <c r="B38" i="98"/>
  <c r="E30" i="98"/>
  <c r="B30" i="98"/>
  <c r="B20" i="98"/>
  <c r="B10" i="98"/>
  <c r="B2" i="98"/>
  <c r="B1" i="98"/>
  <c r="B20" i="97"/>
  <c r="B10" i="97"/>
  <c r="B2" i="97"/>
  <c r="B1" i="97"/>
  <c r="B2" i="120"/>
  <c r="B1" i="120"/>
  <c r="B12" i="158"/>
  <c r="B2" i="158"/>
  <c r="B1" i="158"/>
  <c r="B8" i="175"/>
  <c r="B2" i="175"/>
  <c r="B1" i="175"/>
  <c r="D16" i="96"/>
  <c r="C16" i="96"/>
  <c r="B16" i="96"/>
  <c r="E15" i="96"/>
  <c r="E14" i="96"/>
  <c r="E13" i="96"/>
  <c r="E12" i="96"/>
  <c r="E11" i="96"/>
  <c r="E10" i="96"/>
  <c r="E9" i="96"/>
  <c r="E8" i="96"/>
  <c r="E7" i="96"/>
  <c r="E6" i="96"/>
  <c r="E5" i="96"/>
  <c r="B2" i="96"/>
  <c r="B1" i="96"/>
  <c r="E53" i="95"/>
  <c r="E52" i="95"/>
  <c r="D51" i="95"/>
  <c r="C51" i="95"/>
  <c r="B51" i="95"/>
  <c r="E50" i="95"/>
  <c r="E49" i="95"/>
  <c r="E48" i="95"/>
  <c r="E47" i="95"/>
  <c r="D46" i="95"/>
  <c r="C46" i="95"/>
  <c r="B46" i="95"/>
  <c r="E36" i="95"/>
  <c r="E35" i="95"/>
  <c r="E34" i="95"/>
  <c r="E33" i="95"/>
  <c r="E32" i="95"/>
  <c r="E31" i="95"/>
  <c r="E30" i="95"/>
  <c r="E29" i="95"/>
  <c r="E28" i="95"/>
  <c r="E27" i="95"/>
  <c r="E26" i="95"/>
  <c r="E25" i="95"/>
  <c r="E24" i="95"/>
  <c r="E23" i="95"/>
  <c r="D22" i="95"/>
  <c r="D37" i="95" s="1"/>
  <c r="C22" i="95"/>
  <c r="C37" i="95" s="1"/>
  <c r="B22" i="95"/>
  <c r="B37" i="95" s="1"/>
  <c r="E21" i="95"/>
  <c r="E20" i="95"/>
  <c r="D10" i="95"/>
  <c r="C10" i="95"/>
  <c r="B10" i="95"/>
  <c r="E9" i="95"/>
  <c r="E8" i="95"/>
  <c r="E7" i="95"/>
  <c r="E6" i="95"/>
  <c r="E55" i="95" s="1"/>
  <c r="E5" i="95"/>
  <c r="E38" i="95" s="1"/>
  <c r="B2" i="95"/>
  <c r="B1" i="95"/>
  <c r="C27" i="94"/>
  <c r="B27" i="94"/>
  <c r="C12" i="94"/>
  <c r="B2" i="94"/>
  <c r="B1" i="94"/>
  <c r="B8" i="93"/>
  <c r="B2" i="93"/>
  <c r="B1" i="93"/>
  <c r="B2" i="119"/>
  <c r="B1" i="119"/>
  <c r="B10" i="157"/>
  <c r="B2" i="157"/>
  <c r="B1" i="157"/>
  <c r="B2" i="92"/>
  <c r="B1" i="92"/>
  <c r="B2" i="91"/>
  <c r="B1" i="91"/>
  <c r="C11" i="90"/>
  <c r="B11" i="90"/>
  <c r="B2" i="90"/>
  <c r="B1" i="90"/>
  <c r="E18" i="89"/>
  <c r="D18" i="89"/>
  <c r="C18" i="89"/>
  <c r="B18" i="89"/>
  <c r="F17" i="89"/>
  <c r="F16" i="89"/>
  <c r="F15" i="89"/>
  <c r="F14" i="89"/>
  <c r="F13" i="89"/>
  <c r="F12" i="89"/>
  <c r="F11" i="89"/>
  <c r="F10" i="89"/>
  <c r="F9" i="89"/>
  <c r="F8" i="89"/>
  <c r="F7" i="89"/>
  <c r="F6" i="89"/>
  <c r="B2" i="89"/>
  <c r="B1" i="89"/>
  <c r="B2" i="118"/>
  <c r="B1" i="118"/>
  <c r="E24" i="88"/>
  <c r="E25" i="88" s="1"/>
  <c r="E22" i="88"/>
  <c r="D22" i="88"/>
  <c r="C22" i="88"/>
  <c r="B22" i="88"/>
  <c r="E14" i="88"/>
  <c r="E15" i="88" s="1"/>
  <c r="E12" i="88"/>
  <c r="D12" i="88"/>
  <c r="C12" i="88"/>
  <c r="B12" i="88"/>
  <c r="B2" i="88"/>
  <c r="B1" i="88"/>
  <c r="E9" i="87"/>
  <c r="D9" i="87"/>
  <c r="C9" i="87"/>
  <c r="B9" i="87"/>
  <c r="F8" i="87"/>
  <c r="F7" i="87"/>
  <c r="F6" i="87"/>
  <c r="B2" i="87"/>
  <c r="B1" i="87"/>
  <c r="F18" i="117"/>
  <c r="E18" i="117"/>
  <c r="D18" i="117"/>
  <c r="C18" i="117"/>
  <c r="B18" i="117"/>
  <c r="G17" i="117"/>
  <c r="G16" i="117"/>
  <c r="G15" i="117"/>
  <c r="F10" i="117"/>
  <c r="E10" i="117"/>
  <c r="D10" i="117"/>
  <c r="C10" i="117"/>
  <c r="B10" i="117"/>
  <c r="G9" i="117"/>
  <c r="G8" i="117"/>
  <c r="G7" i="117"/>
  <c r="B2" i="117"/>
  <c r="B1" i="117"/>
  <c r="G9" i="86"/>
  <c r="F9" i="86"/>
  <c r="E9" i="86"/>
  <c r="D9" i="86"/>
  <c r="C9" i="86"/>
  <c r="B9" i="86"/>
  <c r="B2" i="86"/>
  <c r="B1" i="86"/>
  <c r="E43" i="85"/>
  <c r="D43" i="85"/>
  <c r="C43" i="85"/>
  <c r="B43" i="85"/>
  <c r="F41" i="85"/>
  <c r="F39" i="85"/>
  <c r="F38" i="85"/>
  <c r="F37" i="85"/>
  <c r="E36" i="85"/>
  <c r="D36" i="85"/>
  <c r="C36" i="85"/>
  <c r="B36" i="85"/>
  <c r="F35" i="85"/>
  <c r="F34" i="85"/>
  <c r="F33" i="85"/>
  <c r="E32" i="85"/>
  <c r="D32" i="85"/>
  <c r="C32" i="85"/>
  <c r="B32" i="85"/>
  <c r="F31" i="85"/>
  <c r="F30" i="85"/>
  <c r="F28" i="85"/>
  <c r="F27" i="85"/>
  <c r="F26" i="85"/>
  <c r="E25" i="85"/>
  <c r="D25" i="85"/>
  <c r="C25" i="85"/>
  <c r="B25" i="85"/>
  <c r="F24" i="85"/>
  <c r="F23" i="85"/>
  <c r="F22" i="85"/>
  <c r="E21" i="85"/>
  <c r="D21" i="85"/>
  <c r="C21" i="85"/>
  <c r="B21" i="85"/>
  <c r="F20" i="85"/>
  <c r="F19" i="85"/>
  <c r="F17" i="85"/>
  <c r="F16" i="85"/>
  <c r="F15" i="85"/>
  <c r="E14" i="85"/>
  <c r="D14" i="85"/>
  <c r="C14" i="85"/>
  <c r="B14" i="85"/>
  <c r="F13" i="85"/>
  <c r="F12" i="85"/>
  <c r="F11" i="85"/>
  <c r="F10" i="85"/>
  <c r="F9" i="85"/>
  <c r="E8" i="85"/>
  <c r="D8" i="85"/>
  <c r="C8" i="85"/>
  <c r="B8" i="85"/>
  <c r="F7" i="85"/>
  <c r="F6" i="85"/>
  <c r="B2" i="85"/>
  <c r="B1" i="85"/>
  <c r="J39" i="156"/>
  <c r="J38" i="156"/>
  <c r="J37" i="156"/>
  <c r="J36" i="156"/>
  <c r="J35" i="156"/>
  <c r="J34" i="156"/>
  <c r="J33" i="156"/>
  <c r="J32" i="156"/>
  <c r="J31" i="156"/>
  <c r="J30" i="156"/>
  <c r="J29" i="156"/>
  <c r="J28" i="156"/>
  <c r="J27" i="156"/>
  <c r="J26" i="156"/>
  <c r="J25" i="156"/>
  <c r="J24" i="156"/>
  <c r="J23" i="156"/>
  <c r="J22" i="156"/>
  <c r="J21" i="156"/>
  <c r="J20" i="156"/>
  <c r="J19" i="156"/>
  <c r="J18" i="156"/>
  <c r="J17" i="156"/>
  <c r="J16" i="156"/>
  <c r="J15" i="156"/>
  <c r="J14" i="156"/>
  <c r="J13" i="156"/>
  <c r="J12" i="156"/>
  <c r="J11" i="156"/>
  <c r="J10" i="156"/>
  <c r="J9" i="156"/>
  <c r="I8" i="156"/>
  <c r="H8" i="156"/>
  <c r="G8" i="156"/>
  <c r="F8" i="156"/>
  <c r="E8" i="156"/>
  <c r="D8" i="156"/>
  <c r="C8" i="156"/>
  <c r="B8" i="156"/>
  <c r="J7" i="156"/>
  <c r="J6" i="156"/>
  <c r="B2" i="156"/>
  <c r="B1" i="156"/>
  <c r="B9" i="154"/>
  <c r="B11" i="154" s="1"/>
  <c r="B6" i="173" s="1"/>
  <c r="B2" i="154"/>
  <c r="B1" i="154"/>
  <c r="B35" i="153"/>
  <c r="E25" i="153"/>
  <c r="D25" i="153"/>
  <c r="C25" i="153"/>
  <c r="B25" i="153"/>
  <c r="I20" i="153"/>
  <c r="H20" i="153"/>
  <c r="G20" i="153"/>
  <c r="F20" i="153"/>
  <c r="E20" i="153"/>
  <c r="D20" i="153"/>
  <c r="C20" i="153"/>
  <c r="B20" i="153"/>
  <c r="C10" i="153"/>
  <c r="B10" i="153"/>
  <c r="D9" i="153"/>
  <c r="D8" i="153"/>
  <c r="D7" i="153"/>
  <c r="B2" i="153"/>
  <c r="B1" i="153"/>
  <c r="B2" i="173"/>
  <c r="B1" i="173"/>
  <c r="B7" i="155"/>
  <c r="B6" i="172" s="1"/>
  <c r="B2" i="155"/>
  <c r="B1" i="155"/>
  <c r="B78" i="84"/>
  <c r="D68" i="84"/>
  <c r="C68" i="84"/>
  <c r="B68" i="84"/>
  <c r="E67" i="84"/>
  <c r="E66" i="84"/>
  <c r="E65" i="84"/>
  <c r="E64" i="84"/>
  <c r="E63" i="84"/>
  <c r="D58" i="84"/>
  <c r="C58" i="84"/>
  <c r="B58" i="84"/>
  <c r="E57" i="84"/>
  <c r="E56" i="84"/>
  <c r="E55" i="84"/>
  <c r="E54" i="84"/>
  <c r="E53" i="84"/>
  <c r="F42" i="84"/>
  <c r="F41" i="84"/>
  <c r="B5" i="172" s="1"/>
  <c r="F40" i="84"/>
  <c r="F39" i="84"/>
  <c r="F38" i="84"/>
  <c r="F37" i="84"/>
  <c r="F36" i="84"/>
  <c r="F35" i="84"/>
  <c r="F34" i="84"/>
  <c r="F33" i="84"/>
  <c r="F32" i="84"/>
  <c r="F31" i="84"/>
  <c r="F30" i="84"/>
  <c r="F29" i="84"/>
  <c r="F28" i="84"/>
  <c r="F27" i="84"/>
  <c r="F26" i="84"/>
  <c r="F25" i="84"/>
  <c r="F24" i="84"/>
  <c r="F23" i="84"/>
  <c r="F22" i="84"/>
  <c r="F21" i="84"/>
  <c r="F20" i="84"/>
  <c r="F19" i="84"/>
  <c r="F18" i="84"/>
  <c r="F17" i="84"/>
  <c r="F16" i="84"/>
  <c r="F15" i="84"/>
  <c r="F14" i="84"/>
  <c r="F13" i="84"/>
  <c r="F12" i="84"/>
  <c r="F11" i="84"/>
  <c r="F10" i="84"/>
  <c r="F9" i="84"/>
  <c r="E8" i="84"/>
  <c r="D8" i="84"/>
  <c r="C8" i="84"/>
  <c r="B8" i="84"/>
  <c r="F7" i="84"/>
  <c r="F6" i="84"/>
  <c r="B2" i="84"/>
  <c r="B1" i="84"/>
  <c r="B2" i="172"/>
  <c r="B1" i="172"/>
  <c r="E36" i="83"/>
  <c r="D36" i="83"/>
  <c r="C36" i="83"/>
  <c r="B36" i="83"/>
  <c r="E32" i="83"/>
  <c r="D32" i="83"/>
  <c r="C32" i="83"/>
  <c r="B32" i="83"/>
  <c r="E25" i="83"/>
  <c r="D25" i="83"/>
  <c r="C25" i="83"/>
  <c r="B25" i="83"/>
  <c r="E20" i="83"/>
  <c r="E29" i="83" s="1"/>
  <c r="D20" i="83"/>
  <c r="D29" i="83" s="1"/>
  <c r="C20" i="83"/>
  <c r="C29" i="83" s="1"/>
  <c r="B20" i="83"/>
  <c r="B29" i="83" s="1"/>
  <c r="E13" i="83"/>
  <c r="D13" i="83"/>
  <c r="C13" i="83"/>
  <c r="B13" i="83"/>
  <c r="E8" i="83"/>
  <c r="D8" i="83"/>
  <c r="D17" i="83" s="1"/>
  <c r="C8" i="83"/>
  <c r="C17" i="83" s="1"/>
  <c r="B8" i="83"/>
  <c r="B17" i="83" s="1"/>
  <c r="E7" i="83"/>
  <c r="B2" i="83"/>
  <c r="B1" i="83"/>
  <c r="B2" i="82"/>
  <c r="B1" i="82"/>
  <c r="D9" i="152"/>
  <c r="C9" i="152"/>
  <c r="B9" i="152"/>
  <c r="E8" i="152"/>
  <c r="E7" i="152"/>
  <c r="E6" i="152"/>
  <c r="B2" i="152"/>
  <c r="B1" i="152"/>
  <c r="B58" i="116"/>
  <c r="B51" i="116"/>
  <c r="D39" i="116"/>
  <c r="C39" i="116"/>
  <c r="B29" i="116"/>
  <c r="C17" i="116"/>
  <c r="B17" i="116"/>
  <c r="D16" i="116"/>
  <c r="D15" i="116"/>
  <c r="D14" i="116"/>
  <c r="D13" i="116"/>
  <c r="D12" i="116"/>
  <c r="D11" i="116"/>
  <c r="D10" i="116"/>
  <c r="D9" i="116"/>
  <c r="D8" i="116"/>
  <c r="D7" i="116"/>
  <c r="B2" i="116"/>
  <c r="B1" i="116"/>
  <c r="C12" i="81"/>
  <c r="C14" i="81" s="1"/>
  <c r="B12" i="81"/>
  <c r="B14" i="81" s="1"/>
  <c r="D11" i="81"/>
  <c r="D10" i="81"/>
  <c r="D9" i="81"/>
  <c r="D8" i="81"/>
  <c r="D7" i="81"/>
  <c r="B2" i="81"/>
  <c r="B1" i="81"/>
  <c r="D22" i="115"/>
  <c r="D21" i="115"/>
  <c r="D20" i="115"/>
  <c r="D19" i="115"/>
  <c r="C12" i="115"/>
  <c r="B12" i="115"/>
  <c r="D11" i="115"/>
  <c r="D10" i="115"/>
  <c r="D9" i="115"/>
  <c r="D8" i="115"/>
  <c r="D7" i="115"/>
  <c r="B2" i="115"/>
  <c r="B1" i="115"/>
  <c r="B2" i="80"/>
  <c r="B1" i="80"/>
  <c r="B12" i="151"/>
  <c r="B2" i="151"/>
  <c r="B1" i="151"/>
  <c r="B22" i="150"/>
  <c r="B12" i="150"/>
  <c r="B2" i="150"/>
  <c r="B1" i="150"/>
  <c r="G29" i="79"/>
  <c r="F29" i="79"/>
  <c r="E29" i="79"/>
  <c r="D29" i="79"/>
  <c r="C29" i="79"/>
  <c r="B29" i="79"/>
  <c r="C16" i="79"/>
  <c r="B16" i="79"/>
  <c r="D15" i="79"/>
  <c r="D14" i="79"/>
  <c r="D13" i="79"/>
  <c r="D12" i="79"/>
  <c r="D11" i="79"/>
  <c r="D10" i="79"/>
  <c r="D9" i="79"/>
  <c r="D8" i="79"/>
  <c r="D7" i="79"/>
  <c r="B2" i="79"/>
  <c r="B1" i="79"/>
  <c r="D81" i="78"/>
  <c r="C81" i="78"/>
  <c r="D66" i="78"/>
  <c r="C66" i="78"/>
  <c r="B66" i="78"/>
  <c r="C48" i="78"/>
  <c r="E37" i="78"/>
  <c r="C27" i="78"/>
  <c r="B27" i="78"/>
  <c r="C26" i="78"/>
  <c r="B26" i="78"/>
  <c r="D17" i="78"/>
  <c r="C17" i="78"/>
  <c r="B17" i="78"/>
  <c r="C10" i="78"/>
  <c r="B10" i="78"/>
  <c r="B2" i="78"/>
  <c r="B1" i="78"/>
  <c r="B18" i="77"/>
  <c r="B8" i="77"/>
  <c r="B6" i="171" s="1"/>
  <c r="B2" i="77"/>
  <c r="B1" i="77"/>
  <c r="B18" i="149"/>
  <c r="B9" i="149"/>
  <c r="B5" i="171" s="1"/>
  <c r="B2" i="149"/>
  <c r="B1" i="149"/>
  <c r="B2" i="171"/>
  <c r="B1" i="171"/>
  <c r="C27" i="76"/>
  <c r="B27" i="76"/>
  <c r="C11" i="76"/>
  <c r="B11" i="76"/>
  <c r="B2" i="76"/>
  <c r="B1" i="76"/>
  <c r="D75" i="75"/>
  <c r="C75" i="75"/>
  <c r="D68" i="75"/>
  <c r="C68" i="75"/>
  <c r="B68" i="75"/>
  <c r="C58" i="75"/>
  <c r="B58" i="75"/>
  <c r="E47" i="75"/>
  <c r="B47" i="75"/>
  <c r="C37" i="75"/>
  <c r="B37" i="75"/>
  <c r="C36" i="75"/>
  <c r="B36" i="75"/>
  <c r="C23" i="75"/>
  <c r="C24" i="75" s="1"/>
  <c r="C25" i="75" s="1"/>
  <c r="B23" i="75"/>
  <c r="B24" i="75" s="1"/>
  <c r="B25" i="75" s="1"/>
  <c r="C10" i="75"/>
  <c r="B10" i="75"/>
  <c r="B2" i="75"/>
  <c r="B1" i="75"/>
  <c r="B37" i="114"/>
  <c r="C30" i="114"/>
  <c r="B30" i="114"/>
  <c r="B23" i="114"/>
  <c r="B8" i="114"/>
  <c r="B2" i="114"/>
  <c r="B1" i="114"/>
  <c r="B11" i="165"/>
  <c r="B2" i="165"/>
  <c r="B1" i="165"/>
  <c r="B11" i="74"/>
  <c r="B6" i="74"/>
  <c r="B16" i="74" s="1"/>
  <c r="B2" i="74"/>
  <c r="B1" i="74"/>
  <c r="B28" i="73"/>
  <c r="B30" i="73" s="1"/>
  <c r="D22" i="73"/>
  <c r="B22" i="73"/>
  <c r="B10" i="73"/>
  <c r="B2" i="73"/>
  <c r="B1" i="73"/>
  <c r="C41" i="139"/>
  <c r="B41" i="139"/>
  <c r="A40" i="139"/>
  <c r="A39" i="139"/>
  <c r="A38" i="139"/>
  <c r="A37" i="139"/>
  <c r="A36" i="139"/>
  <c r="A35" i="139"/>
  <c r="A34" i="139"/>
  <c r="A33" i="139"/>
  <c r="A32" i="139"/>
  <c r="A31" i="139"/>
  <c r="A30" i="139"/>
  <c r="A29" i="139"/>
  <c r="A28" i="139"/>
  <c r="A27" i="139"/>
  <c r="A26" i="139"/>
  <c r="A25" i="139"/>
  <c r="A24" i="139"/>
  <c r="C21" i="139"/>
  <c r="B21" i="139"/>
  <c r="B2" i="139"/>
  <c r="A2" i="139"/>
  <c r="B1" i="139"/>
  <c r="J23" i="140"/>
  <c r="J22" i="140"/>
  <c r="J21" i="140"/>
  <c r="J20" i="140"/>
  <c r="J19" i="140"/>
  <c r="J18" i="140"/>
  <c r="J17" i="140"/>
  <c r="J16" i="140"/>
  <c r="J15" i="140"/>
  <c r="J14" i="140"/>
  <c r="J13" i="140"/>
  <c r="J12" i="140"/>
  <c r="J11" i="140"/>
  <c r="J10" i="140"/>
  <c r="J9" i="140"/>
  <c r="J8" i="140"/>
  <c r="J7" i="140"/>
  <c r="J6" i="140"/>
  <c r="B2" i="140"/>
  <c r="A2" i="140"/>
  <c r="B1" i="140"/>
  <c r="B2" i="144"/>
  <c r="A2" i="144"/>
  <c r="B1" i="144"/>
  <c r="U37" i="141"/>
  <c r="T37" i="141"/>
  <c r="S37" i="141"/>
  <c r="R37" i="141"/>
  <c r="K37" i="141"/>
  <c r="J37" i="141"/>
  <c r="I37" i="141"/>
  <c r="H37" i="141"/>
  <c r="Q36" i="141"/>
  <c r="G36" i="141"/>
  <c r="A36" i="141"/>
  <c r="Q35" i="141"/>
  <c r="G35" i="141"/>
  <c r="A35" i="141"/>
  <c r="Q34" i="141"/>
  <c r="G34" i="141"/>
  <c r="A34" i="141"/>
  <c r="Q33" i="141"/>
  <c r="G33" i="141"/>
  <c r="A33" i="141"/>
  <c r="Q32" i="141"/>
  <c r="G32" i="141"/>
  <c r="A32" i="141"/>
  <c r="Q31" i="141"/>
  <c r="G31" i="141"/>
  <c r="A31" i="141"/>
  <c r="Q30" i="141"/>
  <c r="G30" i="141"/>
  <c r="A30" i="141"/>
  <c r="Q29" i="141"/>
  <c r="G29" i="141"/>
  <c r="A29" i="141"/>
  <c r="Q28" i="141"/>
  <c r="G28" i="141"/>
  <c r="A28" i="141"/>
  <c r="Q27" i="141"/>
  <c r="G27" i="141"/>
  <c r="A27" i="141"/>
  <c r="Q26" i="141"/>
  <c r="G26" i="141"/>
  <c r="A26" i="141"/>
  <c r="Q25" i="141"/>
  <c r="G25" i="141"/>
  <c r="A25" i="141"/>
  <c r="Q24" i="141"/>
  <c r="G24" i="141"/>
  <c r="A24" i="141"/>
  <c r="Q23" i="141"/>
  <c r="G23" i="141"/>
  <c r="A23" i="141"/>
  <c r="U20" i="141"/>
  <c r="T20" i="141"/>
  <c r="S20" i="141"/>
  <c r="R20" i="141"/>
  <c r="K20" i="141"/>
  <c r="J20" i="141"/>
  <c r="I20" i="141"/>
  <c r="H20" i="141"/>
  <c r="Q19" i="141"/>
  <c r="G19" i="141"/>
  <c r="Q18" i="141"/>
  <c r="G18" i="141"/>
  <c r="Q17" i="141"/>
  <c r="G17" i="141"/>
  <c r="Q16" i="141"/>
  <c r="G16" i="141"/>
  <c r="Q15" i="141"/>
  <c r="G15" i="141"/>
  <c r="Q14" i="141"/>
  <c r="G14" i="141"/>
  <c r="Q13" i="141"/>
  <c r="G13" i="141"/>
  <c r="Q12" i="141"/>
  <c r="G12" i="141"/>
  <c r="Q11" i="141"/>
  <c r="G11" i="141"/>
  <c r="Q10" i="141"/>
  <c r="G10" i="141"/>
  <c r="Q9" i="141"/>
  <c r="G9" i="141"/>
  <c r="Q8" i="141"/>
  <c r="G8" i="141"/>
  <c r="Q7" i="141"/>
  <c r="G7" i="141"/>
  <c r="Q6" i="141"/>
  <c r="G6" i="141"/>
  <c r="B2" i="141"/>
  <c r="A2" i="141"/>
  <c r="B1" i="141"/>
  <c r="I40" i="145"/>
  <c r="G40" i="145"/>
  <c r="F40" i="145"/>
  <c r="E40" i="145"/>
  <c r="D40" i="145"/>
  <c r="C40" i="145"/>
  <c r="B39" i="145"/>
  <c r="B38" i="145"/>
  <c r="B37" i="145"/>
  <c r="B36" i="145"/>
  <c r="B35" i="145"/>
  <c r="B34" i="145"/>
  <c r="B33" i="145"/>
  <c r="B32" i="145"/>
  <c r="B31" i="145"/>
  <c r="B30" i="145"/>
  <c r="B29" i="145"/>
  <c r="B28" i="145"/>
  <c r="B27" i="145"/>
  <c r="B26" i="145"/>
  <c r="L21" i="145"/>
  <c r="K21" i="145"/>
  <c r="J21" i="145"/>
  <c r="I21" i="145"/>
  <c r="H21" i="145"/>
  <c r="G21" i="145"/>
  <c r="E21" i="145"/>
  <c r="D21" i="145"/>
  <c r="C21" i="145"/>
  <c r="F20" i="145"/>
  <c r="B20" i="145"/>
  <c r="F19" i="145"/>
  <c r="B19" i="145"/>
  <c r="F18" i="145"/>
  <c r="B18" i="145"/>
  <c r="F17" i="145"/>
  <c r="B17" i="145"/>
  <c r="F16" i="145"/>
  <c r="B16" i="145"/>
  <c r="F15" i="145"/>
  <c r="B15" i="145"/>
  <c r="F14" i="145"/>
  <c r="B14" i="145"/>
  <c r="F13" i="145"/>
  <c r="B13" i="145"/>
  <c r="F12" i="145"/>
  <c r="B12" i="145"/>
  <c r="F11" i="145"/>
  <c r="B11" i="145"/>
  <c r="F10" i="145"/>
  <c r="B10" i="145"/>
  <c r="F9" i="145"/>
  <c r="B9" i="145"/>
  <c r="F8" i="145"/>
  <c r="B8" i="145"/>
  <c r="F7" i="145"/>
  <c r="B7" i="145"/>
  <c r="B2" i="145"/>
  <c r="B1" i="145"/>
  <c r="D275" i="28"/>
  <c r="C275" i="28"/>
  <c r="D274" i="28"/>
  <c r="C274" i="28"/>
  <c r="D273" i="28"/>
  <c r="C273" i="28"/>
  <c r="D272" i="28"/>
  <c r="C272" i="28"/>
  <c r="D266" i="28"/>
  <c r="C266" i="28"/>
  <c r="B265" i="28"/>
  <c r="B267" i="28" s="1"/>
  <c r="B276" i="28" s="1"/>
  <c r="B243" i="28" s="1"/>
  <c r="B246" i="28" s="1"/>
  <c r="D260" i="28"/>
  <c r="C260" i="28"/>
  <c r="D259" i="28"/>
  <c r="C259" i="28"/>
  <c r="D258" i="28"/>
  <c r="C258" i="28"/>
  <c r="E258" i="28" s="1"/>
  <c r="D257" i="28"/>
  <c r="C257" i="28"/>
  <c r="D256" i="28"/>
  <c r="C256" i="28"/>
  <c r="D255" i="28"/>
  <c r="C255" i="28"/>
  <c r="D254" i="28"/>
  <c r="C254" i="28"/>
  <c r="D253" i="28"/>
  <c r="C253" i="28"/>
  <c r="B250" i="28"/>
  <c r="B249" i="28"/>
  <c r="D247" i="28"/>
  <c r="D246" i="28"/>
  <c r="E245" i="28"/>
  <c r="D245" i="28"/>
  <c r="E244" i="28"/>
  <c r="D244" i="28"/>
  <c r="D243" i="28"/>
  <c r="D242" i="28"/>
  <c r="C242" i="28"/>
  <c r="D241" i="28"/>
  <c r="C241" i="28"/>
  <c r="D240" i="28"/>
  <c r="C240" i="28"/>
  <c r="D239" i="28"/>
  <c r="C239" i="28"/>
  <c r="D238" i="28"/>
  <c r="C238" i="28"/>
  <c r="D237" i="28"/>
  <c r="C237" i="28"/>
  <c r="D236" i="28"/>
  <c r="C236" i="28"/>
  <c r="D235" i="28"/>
  <c r="C235" i="28"/>
  <c r="D234" i="28"/>
  <c r="D233" i="28"/>
  <c r="B233" i="28"/>
  <c r="D232" i="28"/>
  <c r="C232" i="28"/>
  <c r="D231" i="28"/>
  <c r="C231" i="28"/>
  <c r="D230" i="28"/>
  <c r="C230" i="28"/>
  <c r="D229" i="28"/>
  <c r="C229" i="28"/>
  <c r="D228" i="28"/>
  <c r="C228" i="28"/>
  <c r="D227" i="28"/>
  <c r="C227" i="28"/>
  <c r="D226" i="28"/>
  <c r="C226" i="28"/>
  <c r="B225" i="28"/>
  <c r="D224" i="28"/>
  <c r="C224" i="28"/>
  <c r="D223" i="28"/>
  <c r="C223" i="28"/>
  <c r="D222" i="28"/>
  <c r="C222" i="28"/>
  <c r="D221" i="28"/>
  <c r="C221" i="28"/>
  <c r="D220" i="28"/>
  <c r="C220" i="28"/>
  <c r="D219" i="28"/>
  <c r="C219" i="28"/>
  <c r="D218" i="28"/>
  <c r="C218" i="28"/>
  <c r="D217" i="28"/>
  <c r="C217" i="28"/>
  <c r="D216" i="28"/>
  <c r="C216" i="28"/>
  <c r="D215" i="28"/>
  <c r="C215" i="28"/>
  <c r="D214" i="28"/>
  <c r="C214" i="28"/>
  <c r="B212" i="28"/>
  <c r="D211" i="28"/>
  <c r="C211" i="28"/>
  <c r="D210" i="28"/>
  <c r="C210" i="28"/>
  <c r="D209" i="28"/>
  <c r="C209" i="28"/>
  <c r="D208" i="28"/>
  <c r="C208" i="28"/>
  <c r="D207" i="28"/>
  <c r="C207" i="28"/>
  <c r="D206" i="28"/>
  <c r="C206" i="28"/>
  <c r="D205" i="28"/>
  <c r="C205" i="28"/>
  <c r="D204" i="28"/>
  <c r="C204" i="28"/>
  <c r="D203" i="28"/>
  <c r="C203" i="28"/>
  <c r="D202" i="28"/>
  <c r="C202" i="28"/>
  <c r="D201" i="28"/>
  <c r="C201" i="28"/>
  <c r="D200" i="28"/>
  <c r="C200" i="28"/>
  <c r="B199" i="28"/>
  <c r="D198" i="28"/>
  <c r="C198" i="28"/>
  <c r="D197" i="28"/>
  <c r="C197" i="28"/>
  <c r="D196" i="28"/>
  <c r="C196" i="28"/>
  <c r="D195" i="28"/>
  <c r="C195" i="28"/>
  <c r="D194" i="28"/>
  <c r="C194" i="28"/>
  <c r="D193" i="28"/>
  <c r="C193" i="28"/>
  <c r="D192" i="28"/>
  <c r="C192" i="28"/>
  <c r="D191" i="28"/>
  <c r="C191" i="28"/>
  <c r="D190" i="28"/>
  <c r="C190" i="28"/>
  <c r="D189" i="28"/>
  <c r="C189" i="28"/>
  <c r="D188" i="28"/>
  <c r="C188" i="28"/>
  <c r="D187" i="28"/>
  <c r="C187" i="28"/>
  <c r="B184" i="28"/>
  <c r="B183" i="28"/>
  <c r="D181" i="28"/>
  <c r="D180" i="28"/>
  <c r="C180" i="28"/>
  <c r="D179" i="28"/>
  <c r="C179" i="28"/>
  <c r="D178" i="28"/>
  <c r="C178" i="28"/>
  <c r="D177" i="28"/>
  <c r="C177" i="28"/>
  <c r="D176" i="28"/>
  <c r="C176" i="28"/>
  <c r="D175" i="28"/>
  <c r="D174" i="28"/>
  <c r="C174" i="28"/>
  <c r="D173" i="28"/>
  <c r="C173" i="28"/>
  <c r="D172" i="28"/>
  <c r="C172" i="28"/>
  <c r="D171" i="28"/>
  <c r="D170" i="28"/>
  <c r="C170" i="28"/>
  <c r="D169" i="28"/>
  <c r="C169" i="28"/>
  <c r="D168" i="28"/>
  <c r="C168" i="28"/>
  <c r="D167" i="28"/>
  <c r="C167" i="28"/>
  <c r="D166" i="28"/>
  <c r="C166" i="28"/>
  <c r="D165" i="28"/>
  <c r="D163" i="28"/>
  <c r="C163" i="28"/>
  <c r="D162" i="28"/>
  <c r="D160" i="28"/>
  <c r="D159" i="28"/>
  <c r="C159" i="28"/>
  <c r="D158" i="28"/>
  <c r="D157" i="28"/>
  <c r="C157" i="28"/>
  <c r="D156" i="28"/>
  <c r="C156" i="28"/>
  <c r="B155" i="28"/>
  <c r="B158" i="28" s="1"/>
  <c r="B160" i="28" s="1"/>
  <c r="D154" i="28"/>
  <c r="C154" i="28"/>
  <c r="D151" i="28"/>
  <c r="C151" i="28"/>
  <c r="D148" i="28"/>
  <c r="C148" i="28"/>
  <c r="D147" i="28"/>
  <c r="C147" i="28"/>
  <c r="D146" i="28"/>
  <c r="C146" i="28"/>
  <c r="D153" i="28"/>
  <c r="C153" i="28"/>
  <c r="D143" i="28"/>
  <c r="C143" i="28"/>
  <c r="D142" i="28"/>
  <c r="C142" i="28"/>
  <c r="D141" i="28"/>
  <c r="C141" i="28"/>
  <c r="D140" i="28"/>
  <c r="C140" i="28"/>
  <c r="D139" i="28"/>
  <c r="C139" i="28"/>
  <c r="D138" i="28"/>
  <c r="C138" i="28"/>
  <c r="D137" i="28"/>
  <c r="C137" i="28"/>
  <c r="B134" i="28"/>
  <c r="B133" i="28"/>
  <c r="D131" i="28"/>
  <c r="C131" i="28"/>
  <c r="D130" i="28"/>
  <c r="C130" i="28"/>
  <c r="D129" i="28"/>
  <c r="C129" i="28"/>
  <c r="E129" i="28" s="1"/>
  <c r="D127" i="28"/>
  <c r="C127" i="28"/>
  <c r="D126" i="28"/>
  <c r="C126" i="28"/>
  <c r="D124" i="28"/>
  <c r="C124" i="28"/>
  <c r="D123" i="28"/>
  <c r="C123" i="28"/>
  <c r="D122" i="28"/>
  <c r="C122" i="28"/>
  <c r="D121" i="28"/>
  <c r="C121" i="28"/>
  <c r="D120" i="28"/>
  <c r="C120" i="28"/>
  <c r="D119" i="28"/>
  <c r="C119" i="28"/>
  <c r="D118" i="28"/>
  <c r="C118" i="28"/>
  <c r="D117" i="28"/>
  <c r="C117" i="28"/>
  <c r="D114" i="28"/>
  <c r="C114" i="28"/>
  <c r="D113" i="28"/>
  <c r="C113" i="28"/>
  <c r="D112" i="28"/>
  <c r="C112" i="28"/>
  <c r="D111" i="28"/>
  <c r="C111" i="28"/>
  <c r="D110" i="28"/>
  <c r="C110" i="28"/>
  <c r="D109" i="28"/>
  <c r="C109" i="28"/>
  <c r="D108" i="28"/>
  <c r="C108" i="28"/>
  <c r="D106" i="28"/>
  <c r="C106" i="28"/>
  <c r="D105" i="28"/>
  <c r="C105" i="28"/>
  <c r="D104" i="28"/>
  <c r="C104" i="28"/>
  <c r="D102" i="28"/>
  <c r="C102" i="28"/>
  <c r="D101" i="28"/>
  <c r="C101" i="28"/>
  <c r="D100" i="28"/>
  <c r="C100" i="28"/>
  <c r="D99" i="28"/>
  <c r="C99" i="28"/>
  <c r="D98" i="28"/>
  <c r="C98" i="28"/>
  <c r="D97" i="28"/>
  <c r="C97" i="28"/>
  <c r="D96" i="28"/>
  <c r="C96" i="28"/>
  <c r="D95" i="28"/>
  <c r="C95" i="28"/>
  <c r="D94" i="28"/>
  <c r="C94" i="28"/>
  <c r="D93" i="28"/>
  <c r="C93" i="28"/>
  <c r="D92" i="28"/>
  <c r="C92" i="28"/>
  <c r="D91" i="28"/>
  <c r="C91" i="28"/>
  <c r="D90" i="28"/>
  <c r="C90" i="28"/>
  <c r="D89" i="28"/>
  <c r="C89" i="28"/>
  <c r="D87" i="28"/>
  <c r="C87" i="28"/>
  <c r="D85" i="28"/>
  <c r="C85" i="28"/>
  <c r="D84" i="28"/>
  <c r="C84" i="28"/>
  <c r="D83" i="28"/>
  <c r="C83" i="28"/>
  <c r="D81" i="28"/>
  <c r="C81" i="28"/>
  <c r="D80" i="28"/>
  <c r="C80" i="28"/>
  <c r="B77" i="28"/>
  <c r="B76" i="28"/>
  <c r="D73" i="28"/>
  <c r="C73" i="28"/>
  <c r="D72" i="28"/>
  <c r="C72" i="28"/>
  <c r="D71" i="28"/>
  <c r="C71" i="28"/>
  <c r="D70" i="28"/>
  <c r="C70" i="28"/>
  <c r="D69" i="28"/>
  <c r="C69" i="28"/>
  <c r="B68" i="28"/>
  <c r="D67" i="28"/>
  <c r="C67" i="28"/>
  <c r="D66" i="28"/>
  <c r="C66" i="28"/>
  <c r="D64" i="28"/>
  <c r="C64" i="28"/>
  <c r="D63" i="28"/>
  <c r="C63" i="28"/>
  <c r="D62" i="28"/>
  <c r="C62" i="28"/>
  <c r="D60" i="28"/>
  <c r="C60" i="28"/>
  <c r="B59" i="28"/>
  <c r="B61" i="28" s="1"/>
  <c r="D58" i="28"/>
  <c r="C58" i="28"/>
  <c r="D57" i="28"/>
  <c r="C57" i="28"/>
  <c r="B56" i="28"/>
  <c r="D55" i="28"/>
  <c r="C55" i="28"/>
  <c r="D54" i="28"/>
  <c r="C54" i="28"/>
  <c r="B51" i="28"/>
  <c r="D50" i="28"/>
  <c r="C50" i="28"/>
  <c r="D49" i="28"/>
  <c r="C49" i="28"/>
  <c r="D48" i="28"/>
  <c r="C48" i="28"/>
  <c r="D47" i="28"/>
  <c r="C47" i="28"/>
  <c r="D46" i="28"/>
  <c r="C46" i="28"/>
  <c r="D44" i="28"/>
  <c r="C44" i="28"/>
  <c r="D42" i="28"/>
  <c r="C42" i="28"/>
  <c r="D39" i="28"/>
  <c r="C39" i="28"/>
  <c r="D38" i="28"/>
  <c r="C38" i="28"/>
  <c r="D37" i="28"/>
  <c r="C37" i="28"/>
  <c r="B36" i="28"/>
  <c r="D35" i="28"/>
  <c r="C35" i="28"/>
  <c r="D34" i="28"/>
  <c r="C34" i="28"/>
  <c r="D33" i="28"/>
  <c r="C33" i="28"/>
  <c r="D32" i="28"/>
  <c r="C32" i="28"/>
  <c r="D31" i="28"/>
  <c r="C31" i="28"/>
  <c r="D30" i="28"/>
  <c r="C30" i="28"/>
  <c r="D29" i="28"/>
  <c r="C29" i="28"/>
  <c r="D28" i="28"/>
  <c r="C28" i="28"/>
  <c r="B23" i="28"/>
  <c r="D22" i="28"/>
  <c r="C22" i="28"/>
  <c r="D21" i="28"/>
  <c r="C21" i="28"/>
  <c r="B20" i="28"/>
  <c r="D19" i="28"/>
  <c r="C19" i="28"/>
  <c r="D18" i="28"/>
  <c r="C18" i="28"/>
  <c r="D17" i="28"/>
  <c r="C17" i="28"/>
  <c r="D14" i="28"/>
  <c r="C14" i="28"/>
  <c r="D13" i="28"/>
  <c r="C13" i="28"/>
  <c r="D9" i="28"/>
  <c r="C9" i="28"/>
  <c r="D8" i="28"/>
  <c r="C8" i="28"/>
  <c r="D6" i="28"/>
  <c r="C6" i="28"/>
  <c r="B2" i="28"/>
  <c r="B1" i="28"/>
  <c r="Z35" i="9"/>
  <c r="AA35" i="9" s="1"/>
  <c r="N35" i="9"/>
  <c r="AA34" i="9"/>
  <c r="N34" i="9"/>
  <c r="AA33" i="9"/>
  <c r="N33" i="9"/>
  <c r="Z32" i="9"/>
  <c r="Y32" i="9"/>
  <c r="X32" i="9"/>
  <c r="W32" i="9"/>
  <c r="V32" i="9"/>
  <c r="U32" i="9"/>
  <c r="T32" i="9"/>
  <c r="S32" i="9"/>
  <c r="R32" i="9"/>
  <c r="Q32" i="9"/>
  <c r="P32" i="9"/>
  <c r="O32" i="9"/>
  <c r="M32" i="9"/>
  <c r="L32" i="9"/>
  <c r="K32" i="9"/>
  <c r="J32" i="9"/>
  <c r="I32" i="9"/>
  <c r="H32" i="9"/>
  <c r="G32" i="9"/>
  <c r="F32" i="9"/>
  <c r="E32" i="9"/>
  <c r="D32" i="9"/>
  <c r="C32" i="9"/>
  <c r="B32" i="9"/>
  <c r="AA31" i="9"/>
  <c r="N31" i="9"/>
  <c r="AA29" i="9"/>
  <c r="N29" i="9"/>
  <c r="AA28" i="9"/>
  <c r="N28" i="9"/>
  <c r="AA27" i="9"/>
  <c r="N27" i="9"/>
  <c r="AA26" i="9"/>
  <c r="N26" i="9"/>
  <c r="Z25" i="9"/>
  <c r="Y25" i="9"/>
  <c r="X25" i="9"/>
  <c r="W25" i="9"/>
  <c r="V25" i="9"/>
  <c r="U25" i="9"/>
  <c r="T25" i="9"/>
  <c r="T14" i="9" s="1"/>
  <c r="S25" i="9"/>
  <c r="R25" i="9"/>
  <c r="Q25" i="9"/>
  <c r="P25" i="9"/>
  <c r="O25" i="9"/>
  <c r="M25" i="9"/>
  <c r="L25" i="9"/>
  <c r="K25" i="9"/>
  <c r="J25" i="9"/>
  <c r="I25" i="9"/>
  <c r="H25" i="9"/>
  <c r="G25" i="9"/>
  <c r="F25" i="9"/>
  <c r="E25" i="9"/>
  <c r="D25" i="9"/>
  <c r="C25" i="9"/>
  <c r="B25" i="9"/>
  <c r="AA24" i="9"/>
  <c r="N24" i="9"/>
  <c r="AA23" i="9"/>
  <c r="N23" i="9"/>
  <c r="AA22" i="9"/>
  <c r="N22" i="9"/>
  <c r="Z21" i="9"/>
  <c r="Y21" i="9"/>
  <c r="X21" i="9"/>
  <c r="W21" i="9"/>
  <c r="V21" i="9"/>
  <c r="U21" i="9"/>
  <c r="T21" i="9"/>
  <c r="S21" i="9"/>
  <c r="R21" i="9"/>
  <c r="Q21" i="9"/>
  <c r="P21" i="9"/>
  <c r="O21" i="9"/>
  <c r="M21" i="9"/>
  <c r="L21" i="9"/>
  <c r="K21" i="9"/>
  <c r="J21" i="9"/>
  <c r="I21" i="9"/>
  <c r="H21" i="9"/>
  <c r="G21" i="9"/>
  <c r="F21" i="9"/>
  <c r="E21" i="9"/>
  <c r="D21" i="9"/>
  <c r="C21" i="9"/>
  <c r="B21" i="9"/>
  <c r="AA20" i="9"/>
  <c r="N20" i="9"/>
  <c r="AA19" i="9"/>
  <c r="N19" i="9"/>
  <c r="AA18" i="9"/>
  <c r="N18" i="9"/>
  <c r="AA17" i="9"/>
  <c r="N17" i="9"/>
  <c r="Z16" i="9"/>
  <c r="Y16" i="9"/>
  <c r="X16" i="9"/>
  <c r="W16" i="9"/>
  <c r="V16" i="9"/>
  <c r="U16" i="9"/>
  <c r="T16" i="9"/>
  <c r="S16" i="9"/>
  <c r="R16" i="9"/>
  <c r="Q16" i="9"/>
  <c r="P16" i="9"/>
  <c r="O16" i="9"/>
  <c r="O14" i="9" s="1"/>
  <c r="M16" i="9"/>
  <c r="L16" i="9"/>
  <c r="L14" i="9" s="1"/>
  <c r="K16" i="9"/>
  <c r="J16" i="9"/>
  <c r="I16" i="9"/>
  <c r="H16" i="9"/>
  <c r="G16" i="9"/>
  <c r="F16" i="9"/>
  <c r="E16" i="9"/>
  <c r="D16" i="9"/>
  <c r="D14" i="9" s="1"/>
  <c r="C16" i="9"/>
  <c r="B16" i="9"/>
  <c r="AA15" i="9"/>
  <c r="N15" i="9"/>
  <c r="Z13" i="9"/>
  <c r="Y13" i="9"/>
  <c r="X13" i="9"/>
  <c r="W13" i="9"/>
  <c r="V13" i="9"/>
  <c r="U13" i="9"/>
  <c r="T13" i="9"/>
  <c r="S13" i="9"/>
  <c r="R13" i="9"/>
  <c r="Q13" i="9"/>
  <c r="P13" i="9"/>
  <c r="O13" i="9"/>
  <c r="AA12" i="9"/>
  <c r="N12" i="9"/>
  <c r="AA10" i="9"/>
  <c r="AA9" i="9"/>
  <c r="AA8" i="9"/>
  <c r="H8" i="9"/>
  <c r="H13" i="9" s="1"/>
  <c r="E8" i="9"/>
  <c r="E13" i="9" s="1"/>
  <c r="D8" i="9"/>
  <c r="D13" i="9" s="1"/>
  <c r="C8" i="9"/>
  <c r="C13" i="9" s="1"/>
  <c r="A3" i="9"/>
  <c r="H40" i="167"/>
  <c r="G40" i="167"/>
  <c r="F40" i="167"/>
  <c r="E40" i="167"/>
  <c r="C40" i="167"/>
  <c r="H34" i="167"/>
  <c r="G34" i="167"/>
  <c r="F34" i="167"/>
  <c r="E34" i="167"/>
  <c r="C34" i="167"/>
  <c r="H27" i="167"/>
  <c r="G27" i="167"/>
  <c r="F27" i="167"/>
  <c r="E27" i="167"/>
  <c r="C27" i="167"/>
  <c r="H22" i="167"/>
  <c r="G22" i="167"/>
  <c r="F22" i="167"/>
  <c r="E22" i="167"/>
  <c r="C22" i="167"/>
  <c r="H14" i="167"/>
  <c r="G14" i="167"/>
  <c r="F14" i="167"/>
  <c r="E14" i="167"/>
  <c r="C14" i="167"/>
  <c r="H9" i="167"/>
  <c r="G9" i="167"/>
  <c r="F9" i="167"/>
  <c r="E9" i="167"/>
  <c r="C9" i="167"/>
  <c r="A2" i="167"/>
  <c r="E23" i="166"/>
  <c r="E26" i="166" s="1"/>
  <c r="E28" i="166" s="1"/>
  <c r="D23" i="166"/>
  <c r="A2" i="166"/>
  <c r="D45" i="2"/>
  <c r="D47" i="2" s="1"/>
  <c r="D32" i="2"/>
  <c r="D19" i="2"/>
  <c r="D42" i="1"/>
  <c r="D19" i="1"/>
  <c r="A2" i="1"/>
  <c r="B2" i="137"/>
  <c r="B1" i="137"/>
  <c r="A72" i="112"/>
  <c r="A55" i="112"/>
  <c r="A56" i="112" s="1"/>
  <c r="A57" i="112" s="1"/>
  <c r="A58" i="112" s="1"/>
  <c r="A59" i="112" s="1"/>
  <c r="A60" i="112" s="1"/>
  <c r="A61" i="112" s="1"/>
  <c r="A62" i="112" s="1"/>
  <c r="A49" i="112"/>
  <c r="A21" i="112"/>
  <c r="A22" i="112" s="1"/>
  <c r="A6" i="112"/>
  <c r="B40" i="28" l="1"/>
  <c r="E232" i="28"/>
  <c r="B74" i="28"/>
  <c r="C128" i="28"/>
  <c r="B213" i="28"/>
  <c r="C115" i="28"/>
  <c r="D16" i="186"/>
  <c r="D17" i="186" s="1"/>
  <c r="E256" i="28"/>
  <c r="E240" i="28"/>
  <c r="C17" i="166"/>
  <c r="E242" i="28"/>
  <c r="A73" i="112"/>
  <c r="A74" i="112" s="1"/>
  <c r="A75" i="112" s="1"/>
  <c r="A76" i="112"/>
  <c r="A77" i="112" s="1"/>
  <c r="A78" i="112" s="1"/>
  <c r="A79" i="112" s="1"/>
  <c r="A80" i="112" s="1"/>
  <c r="A81" i="112" s="1"/>
  <c r="A31" i="112"/>
  <c r="A32" i="112" s="1"/>
  <c r="A33" i="112" s="1"/>
  <c r="A34" i="112" s="1"/>
  <c r="A35" i="112" s="1"/>
  <c r="A36" i="112" s="1"/>
  <c r="A37" i="112" s="1"/>
  <c r="A38" i="112" s="1"/>
  <c r="A39" i="112" s="1"/>
  <c r="A40" i="112" s="1"/>
  <c r="A41" i="112" s="1"/>
  <c r="A42" i="112" s="1"/>
  <c r="A43" i="112" s="1"/>
  <c r="A44" i="112" s="1"/>
  <c r="A45" i="112" s="1"/>
  <c r="W14" i="9"/>
  <c r="H14" i="9"/>
  <c r="S14" i="9"/>
  <c r="B21" i="145"/>
  <c r="B38" i="75"/>
  <c r="B39" i="75" s="1"/>
  <c r="E17" i="83"/>
  <c r="G14" i="9"/>
  <c r="K14" i="9"/>
  <c r="A63" i="112"/>
  <c r="A64" i="112" s="1"/>
  <c r="A65" i="112" s="1"/>
  <c r="E41" i="167"/>
  <c r="E177" i="28"/>
  <c r="B48" i="62"/>
  <c r="D54" i="95"/>
  <c r="F9" i="87"/>
  <c r="E64" i="28"/>
  <c r="C34" i="1" s="1"/>
  <c r="E67" i="28"/>
  <c r="C35" i="1" s="1"/>
  <c r="E197" i="28"/>
  <c r="D225" i="28"/>
  <c r="E157" i="28"/>
  <c r="E170" i="28"/>
  <c r="C233" i="28"/>
  <c r="B54" i="95"/>
  <c r="C29" i="85"/>
  <c r="D10" i="153"/>
  <c r="B5" i="173" s="1"/>
  <c r="D36" i="28"/>
  <c r="E39" i="28"/>
  <c r="C18" i="1" s="1"/>
  <c r="E142" i="28"/>
  <c r="D199" i="28"/>
  <c r="E202" i="28"/>
  <c r="E204" i="28"/>
  <c r="E210" i="28"/>
  <c r="E31" i="28"/>
  <c r="E33" i="28"/>
  <c r="E35" i="28"/>
  <c r="E118" i="28"/>
  <c r="C35" i="2" s="1"/>
  <c r="E120" i="28"/>
  <c r="E122" i="28"/>
  <c r="C39" i="2" s="1"/>
  <c r="E124" i="28"/>
  <c r="C46" i="2"/>
  <c r="E148" i="28"/>
  <c r="E188" i="28"/>
  <c r="E190" i="28"/>
  <c r="E192" i="28"/>
  <c r="E196" i="28"/>
  <c r="E104" i="28"/>
  <c r="E113" i="28"/>
  <c r="C30" i="2" s="1"/>
  <c r="G152" i="133"/>
  <c r="B21" i="130"/>
  <c r="B22" i="131"/>
  <c r="B27" i="99"/>
  <c r="B28" i="99" s="1"/>
  <c r="C54" i="95"/>
  <c r="F14" i="85"/>
  <c r="E40" i="85"/>
  <c r="C40" i="85"/>
  <c r="G20" i="141"/>
  <c r="Q20" i="141"/>
  <c r="E60" i="28"/>
  <c r="E63" i="28"/>
  <c r="C33" i="1" s="1"/>
  <c r="E147" i="28"/>
  <c r="C19" i="166" s="1"/>
  <c r="E189" i="28"/>
  <c r="E193" i="28"/>
  <c r="E201" i="28"/>
  <c r="E203" i="28"/>
  <c r="E205" i="28"/>
  <c r="E207" i="28"/>
  <c r="E209" i="28"/>
  <c r="E211" i="28"/>
  <c r="E255" i="28"/>
  <c r="E112" i="28"/>
  <c r="E8" i="28"/>
  <c r="B17" i="74" s="1"/>
  <c r="B18" i="74" s="1"/>
  <c r="B19" i="74" s="1"/>
  <c r="C56" i="28"/>
  <c r="E80" i="28"/>
  <c r="E91" i="28"/>
  <c r="C15" i="2" s="1"/>
  <c r="E99" i="28"/>
  <c r="E42" i="28"/>
  <c r="C103" i="28"/>
  <c r="E119" i="28"/>
  <c r="E121" i="28"/>
  <c r="E126" i="28"/>
  <c r="C43" i="2" s="1"/>
  <c r="D155" i="28"/>
  <c r="E143" i="28"/>
  <c r="C11" i="166" s="1"/>
  <c r="E167" i="28"/>
  <c r="E176" i="28"/>
  <c r="E220" i="28"/>
  <c r="E224" i="28"/>
  <c r="E239" i="28"/>
  <c r="S36" i="9"/>
  <c r="F8" i="9" s="1"/>
  <c r="F13" i="9" s="1"/>
  <c r="N25" i="9"/>
  <c r="AA25" i="9"/>
  <c r="T36" i="9"/>
  <c r="G8" i="9" s="1"/>
  <c r="G13" i="9" s="1"/>
  <c r="G36" i="9" s="1"/>
  <c r="F15" i="167"/>
  <c r="C28" i="167"/>
  <c r="H28" i="167"/>
  <c r="F41" i="167"/>
  <c r="C15" i="167"/>
  <c r="G142" i="133"/>
  <c r="B67" i="62"/>
  <c r="B21" i="127"/>
  <c r="B21" i="128"/>
  <c r="B21" i="129"/>
  <c r="B21" i="71"/>
  <c r="E7" i="161"/>
  <c r="E7" i="121"/>
  <c r="B7" i="176" s="1"/>
  <c r="E32" i="98"/>
  <c r="E33" i="98" s="1"/>
  <c r="B47" i="98"/>
  <c r="B48" i="98" s="1"/>
  <c r="B22" i="98"/>
  <c r="B23" i="98" s="1"/>
  <c r="E51" i="95"/>
  <c r="E29" i="85"/>
  <c r="B18" i="85"/>
  <c r="B7" i="171"/>
  <c r="B8" i="171" s="1"/>
  <c r="C28" i="78"/>
  <c r="C29" i="78" s="1"/>
  <c r="Q37" i="141"/>
  <c r="E22" i="28"/>
  <c r="E29" i="28"/>
  <c r="E48" i="28"/>
  <c r="E62" i="28"/>
  <c r="C32" i="1" s="1"/>
  <c r="E72" i="28"/>
  <c r="C40" i="1" s="1"/>
  <c r="E84" i="28"/>
  <c r="E87" i="28"/>
  <c r="C11" i="2" s="1"/>
  <c r="E90" i="28"/>
  <c r="E92" i="28"/>
  <c r="B24" i="150" s="1"/>
  <c r="B25" i="150" s="1"/>
  <c r="E94" i="28"/>
  <c r="E96" i="28"/>
  <c r="E98" i="28"/>
  <c r="E100" i="28"/>
  <c r="E102" i="28"/>
  <c r="C18" i="2" s="1"/>
  <c r="E109" i="28"/>
  <c r="B14" i="160" s="1"/>
  <c r="B15" i="160" s="1"/>
  <c r="E123" i="28"/>
  <c r="C40" i="2" s="1"/>
  <c r="E138" i="28"/>
  <c r="C6" i="166" s="1"/>
  <c r="E159" i="28"/>
  <c r="C27" i="166" s="1"/>
  <c r="E163" i="28"/>
  <c r="C31" i="166" s="1"/>
  <c r="E166" i="28"/>
  <c r="C34" i="166" s="1"/>
  <c r="E173" i="28"/>
  <c r="E215" i="28"/>
  <c r="E219" i="28"/>
  <c r="E227" i="28"/>
  <c r="E229" i="28"/>
  <c r="E231" i="28"/>
  <c r="E235" i="28"/>
  <c r="E254" i="28"/>
  <c r="E273" i="28"/>
  <c r="E275" i="28"/>
  <c r="E6" i="28"/>
  <c r="C68" i="28"/>
  <c r="E17" i="28"/>
  <c r="C12" i="1" s="1"/>
  <c r="E19" i="28"/>
  <c r="D23" i="28"/>
  <c r="E32" i="28"/>
  <c r="E38" i="28"/>
  <c r="E47" i="28"/>
  <c r="E55" i="28"/>
  <c r="E71" i="28"/>
  <c r="C39" i="1" s="1"/>
  <c r="E83" i="28"/>
  <c r="C7" i="2" s="1"/>
  <c r="E85" i="28"/>
  <c r="E89" i="28"/>
  <c r="C13" i="2" s="1"/>
  <c r="E93" i="28"/>
  <c r="C17" i="2" s="1"/>
  <c r="E95" i="28"/>
  <c r="E97" i="28"/>
  <c r="E101" i="28"/>
  <c r="E108" i="28"/>
  <c r="E117" i="28"/>
  <c r="E139" i="28"/>
  <c r="E156" i="28"/>
  <c r="C24" i="166" s="1"/>
  <c r="E172" i="28"/>
  <c r="E174" i="28"/>
  <c r="E180" i="28"/>
  <c r="E198" i="28"/>
  <c r="E206" i="28"/>
  <c r="E216" i="28"/>
  <c r="E223" i="28"/>
  <c r="E228" i="28"/>
  <c r="E230" i="28"/>
  <c r="E238" i="28"/>
  <c r="E253" i="28"/>
  <c r="E272" i="28"/>
  <c r="E259" i="28"/>
  <c r="H36" i="9"/>
  <c r="C14" i="9"/>
  <c r="C36" i="9" s="1"/>
  <c r="P14" i="9"/>
  <c r="X14" i="9"/>
  <c r="X36" i="9" s="1"/>
  <c r="K8" i="9" s="1"/>
  <c r="K13" i="9" s="1"/>
  <c r="K36" i="9" s="1"/>
  <c r="E28" i="167"/>
  <c r="E15" i="167"/>
  <c r="H15" i="167"/>
  <c r="D33" i="2"/>
  <c r="D48" i="2" s="1"/>
  <c r="G15" i="167"/>
  <c r="G28" i="167"/>
  <c r="F28" i="167"/>
  <c r="C41" i="167"/>
  <c r="C43" i="167" s="1"/>
  <c r="C45" i="167" s="1"/>
  <c r="H41" i="167"/>
  <c r="G41" i="167"/>
  <c r="E14" i="9"/>
  <c r="I14" i="9"/>
  <c r="M14" i="9"/>
  <c r="R14" i="9"/>
  <c r="V14" i="9"/>
  <c r="Z14" i="9"/>
  <c r="Z36" i="9" s="1"/>
  <c r="M8" i="9" s="1"/>
  <c r="M13" i="9" s="1"/>
  <c r="E9" i="28"/>
  <c r="B12" i="165" s="1"/>
  <c r="B13" i="165" s="1"/>
  <c r="B14" i="165" s="1"/>
  <c r="E14" i="28"/>
  <c r="C10" i="1" s="1"/>
  <c r="E28" i="28"/>
  <c r="U14" i="9"/>
  <c r="D36" i="9"/>
  <c r="N16" i="9"/>
  <c r="AA16" i="9"/>
  <c r="N21" i="9"/>
  <c r="J14" i="9"/>
  <c r="AA21" i="9"/>
  <c r="N32" i="9"/>
  <c r="AA32" i="9"/>
  <c r="E18" i="28"/>
  <c r="E30" i="28"/>
  <c r="D43" i="1"/>
  <c r="F14" i="9"/>
  <c r="AA13" i="9"/>
  <c r="W36" i="9"/>
  <c r="J8" i="9" s="1"/>
  <c r="J13" i="9" s="1"/>
  <c r="C23" i="28"/>
  <c r="E21" i="28"/>
  <c r="Q14" i="9"/>
  <c r="Y14" i="9"/>
  <c r="Y36" i="9" s="1"/>
  <c r="L8" i="9" s="1"/>
  <c r="L13" i="9" s="1"/>
  <c r="L36" i="9" s="1"/>
  <c r="E66" i="28"/>
  <c r="E200" i="28"/>
  <c r="E208" i="28"/>
  <c r="C14" i="88"/>
  <c r="C15" i="88" s="1"/>
  <c r="E34" i="28"/>
  <c r="E37" i="28"/>
  <c r="E50" i="28"/>
  <c r="D56" i="28"/>
  <c r="E58" i="28"/>
  <c r="E69" i="28"/>
  <c r="D103" i="28"/>
  <c r="E105" i="28"/>
  <c r="E111" i="28"/>
  <c r="E114" i="28"/>
  <c r="E141" i="28"/>
  <c r="E153" i="28"/>
  <c r="E154" i="28"/>
  <c r="B17" i="169" s="1"/>
  <c r="B18" i="169" s="1"/>
  <c r="E168" i="28"/>
  <c r="E179" i="28"/>
  <c r="E187" i="28"/>
  <c r="E195" i="28"/>
  <c r="E218" i="28"/>
  <c r="E221" i="28"/>
  <c r="B234" i="28"/>
  <c r="E237" i="28"/>
  <c r="F21" i="145"/>
  <c r="D12" i="81"/>
  <c r="D14" i="81" s="1"/>
  <c r="E9" i="152"/>
  <c r="F8" i="84"/>
  <c r="J8" i="156"/>
  <c r="D29" i="85"/>
  <c r="C18" i="85"/>
  <c r="C42" i="85" s="1"/>
  <c r="F25" i="85"/>
  <c r="D40" i="85"/>
  <c r="E16" i="96"/>
  <c r="D51" i="28"/>
  <c r="D52" i="28" s="1"/>
  <c r="D53" i="28" s="1"/>
  <c r="E54" i="28"/>
  <c r="D59" i="28"/>
  <c r="D61" i="28" s="1"/>
  <c r="D115" i="28"/>
  <c r="D265" i="28"/>
  <c r="D267" i="28" s="1"/>
  <c r="D276" i="28" s="1"/>
  <c r="E266" i="28"/>
  <c r="E274" i="28"/>
  <c r="C38" i="75"/>
  <c r="C39" i="75" s="1"/>
  <c r="B28" i="78"/>
  <c r="B29" i="78" s="1"/>
  <c r="D12" i="115"/>
  <c r="F21" i="85"/>
  <c r="F36" i="85"/>
  <c r="F43" i="85"/>
  <c r="G10" i="117"/>
  <c r="G18" i="117"/>
  <c r="D20" i="28"/>
  <c r="E46" i="28"/>
  <c r="E49" i="28"/>
  <c r="K18" i="82" s="1"/>
  <c r="K20" i="82" s="1"/>
  <c r="E57" i="28"/>
  <c r="D68" i="28"/>
  <c r="E70" i="28"/>
  <c r="E73" i="28"/>
  <c r="E106" i="28"/>
  <c r="C25" i="2" s="1"/>
  <c r="E110" i="28"/>
  <c r="E137" i="28"/>
  <c r="C11" i="103" s="1"/>
  <c r="C12" i="103" s="1"/>
  <c r="E140" i="28"/>
  <c r="E146" i="28"/>
  <c r="B17" i="168" s="1"/>
  <c r="B18" i="168" s="1"/>
  <c r="E151" i="28"/>
  <c r="B11" i="123" s="1"/>
  <c r="B12" i="123" s="1"/>
  <c r="E169" i="28"/>
  <c r="E178" i="28"/>
  <c r="E191" i="28"/>
  <c r="E194" i="28"/>
  <c r="D212" i="28"/>
  <c r="C225" i="28"/>
  <c r="E217" i="28"/>
  <c r="E222" i="28"/>
  <c r="E241" i="28"/>
  <c r="E257" i="28"/>
  <c r="E260" i="28"/>
  <c r="B40" i="145"/>
  <c r="G37" i="141"/>
  <c r="D16" i="79"/>
  <c r="D17" i="116"/>
  <c r="E58" i="84"/>
  <c r="E68" i="84"/>
  <c r="F8" i="85"/>
  <c r="B40" i="85"/>
  <c r="F18" i="89"/>
  <c r="E46" i="95"/>
  <c r="B6" i="176"/>
  <c r="E22" i="95"/>
  <c r="E37" i="95" s="1"/>
  <c r="E39" i="95" s="1"/>
  <c r="E40" i="95" s="1"/>
  <c r="E10" i="95"/>
  <c r="E18" i="85"/>
  <c r="B29" i="85"/>
  <c r="D18" i="85"/>
  <c r="D42" i="85" s="1"/>
  <c r="F32" i="85"/>
  <c r="F40" i="85" s="1"/>
  <c r="B7" i="173"/>
  <c r="B7" i="172"/>
  <c r="B165" i="28"/>
  <c r="B162" i="28"/>
  <c r="C36" i="28"/>
  <c r="C51" i="28"/>
  <c r="C52" i="28" s="1"/>
  <c r="C53" i="28" s="1"/>
  <c r="C155" i="28"/>
  <c r="C158" i="28" s="1"/>
  <c r="C160" i="28" s="1"/>
  <c r="C162" i="28" s="1"/>
  <c r="C171" i="28" s="1"/>
  <c r="C175" i="28" s="1"/>
  <c r="C181" i="28" s="1"/>
  <c r="C165" i="28"/>
  <c r="C199" i="28"/>
  <c r="C212" i="28"/>
  <c r="C265" i="28"/>
  <c r="C267" i="28" s="1"/>
  <c r="C276" i="28" s="1"/>
  <c r="C243" i="28" s="1"/>
  <c r="C246" i="28" s="1"/>
  <c r="C59" i="28"/>
  <c r="C61" i="28" s="1"/>
  <c r="C15" i="28"/>
  <c r="E44" i="28"/>
  <c r="E226" i="28"/>
  <c r="E236" i="28"/>
  <c r="D15" i="28"/>
  <c r="C20" i="28"/>
  <c r="B116" i="28"/>
  <c r="E81" i="28"/>
  <c r="E13" i="28"/>
  <c r="E214" i="28"/>
  <c r="V36" i="9"/>
  <c r="I8" i="9" s="1"/>
  <c r="I13" i="9" s="1"/>
  <c r="E36" i="9"/>
  <c r="O36" i="9"/>
  <c r="B8" i="9" s="1"/>
  <c r="B247" i="28" l="1"/>
  <c r="B75" i="28"/>
  <c r="E36" i="28"/>
  <c r="D74" i="28"/>
  <c r="C74" i="28"/>
  <c r="B12" i="73"/>
  <c r="B13" i="73" s="1"/>
  <c r="B14" i="73" s="1"/>
  <c r="C234" i="28"/>
  <c r="D213" i="28"/>
  <c r="C24" i="88"/>
  <c r="C25" i="88" s="1"/>
  <c r="B12" i="157"/>
  <c r="B13" i="157" s="1"/>
  <c r="C9" i="2"/>
  <c r="E68" i="28"/>
  <c r="F45" i="85" s="1"/>
  <c r="F46" i="85" s="1"/>
  <c r="A84" i="112"/>
  <c r="A85" i="112" s="1"/>
  <c r="A86" i="112" s="1"/>
  <c r="A87" i="112" s="1"/>
  <c r="A88" i="112" s="1"/>
  <c r="A89" i="112" s="1"/>
  <c r="A90" i="112" s="1"/>
  <c r="A91" i="112" s="1"/>
  <c r="A92" i="112" s="1"/>
  <c r="A93" i="112" s="1"/>
  <c r="A94" i="112" s="1"/>
  <c r="A95" i="112" s="1"/>
  <c r="A96" i="112" s="1"/>
  <c r="A97" i="112" s="1"/>
  <c r="A82" i="112"/>
  <c r="A83" i="112" s="1"/>
  <c r="B14" i="94"/>
  <c r="B15" i="94" s="1"/>
  <c r="M36" i="9"/>
  <c r="I36" i="9"/>
  <c r="B18" i="106"/>
  <c r="B19" i="106" s="1"/>
  <c r="N14" i="9"/>
  <c r="E42" i="85"/>
  <c r="F36" i="9"/>
  <c r="E43" i="167"/>
  <c r="E45" i="167" s="1"/>
  <c r="C27" i="28"/>
  <c r="D27" i="28"/>
  <c r="D24" i="28"/>
  <c r="C24" i="28"/>
  <c r="AA14" i="9"/>
  <c r="AA36" i="9" s="1"/>
  <c r="H43" i="167"/>
  <c r="H45" i="167" s="1"/>
  <c r="E20" i="28"/>
  <c r="B9" i="171" s="1"/>
  <c r="B10" i="171" s="1"/>
  <c r="B11" i="171" s="1"/>
  <c r="B31" i="109"/>
  <c r="B33" i="109" s="1"/>
  <c r="B14" i="80"/>
  <c r="B15" i="80" s="1"/>
  <c r="B13" i="101"/>
  <c r="B14" i="101" s="1"/>
  <c r="C26" i="2"/>
  <c r="F11" i="87"/>
  <c r="F12" i="87" s="1"/>
  <c r="B9" i="173"/>
  <c r="B10" i="173" s="1"/>
  <c r="B20" i="105"/>
  <c r="B21" i="105" s="1"/>
  <c r="B20" i="180"/>
  <c r="B21" i="180" s="1"/>
  <c r="B12" i="98"/>
  <c r="B13" i="98" s="1"/>
  <c r="C7" i="1"/>
  <c r="G30" i="79"/>
  <c r="G31" i="79" s="1"/>
  <c r="B11" i="177"/>
  <c r="B12" i="177" s="1"/>
  <c r="F9" i="161"/>
  <c r="F10" i="161" s="1"/>
  <c r="E54" i="95"/>
  <c r="E56" i="95" s="1"/>
  <c r="E57" i="95" s="1"/>
  <c r="L18" i="82"/>
  <c r="L20" i="82" s="1"/>
  <c r="F43" i="167"/>
  <c r="F45" i="167" s="1"/>
  <c r="C16" i="166"/>
  <c r="E212" i="28"/>
  <c r="B17" i="107"/>
  <c r="B18" i="107" s="1"/>
  <c r="E12" i="95"/>
  <c r="E13" i="95" s="1"/>
  <c r="C5" i="1"/>
  <c r="C21" i="166"/>
  <c r="E56" i="28"/>
  <c r="C30" i="1" s="1"/>
  <c r="E103" i="28"/>
  <c r="C116" i="28"/>
  <c r="E51" i="28"/>
  <c r="C27" i="1" s="1"/>
  <c r="B12" i="76"/>
  <c r="B13" i="76" s="1"/>
  <c r="B14" i="76" s="1"/>
  <c r="B14" i="122"/>
  <c r="B15" i="122" s="1"/>
  <c r="C5" i="166"/>
  <c r="B16" i="92"/>
  <c r="B17" i="92" s="1"/>
  <c r="J41" i="156"/>
  <c r="J42" i="156" s="1"/>
  <c r="B10" i="175"/>
  <c r="B11" i="175" s="1"/>
  <c r="C10" i="2"/>
  <c r="C25" i="1"/>
  <c r="B10" i="159"/>
  <c r="B11" i="159" s="1"/>
  <c r="C15" i="166"/>
  <c r="D116" i="28"/>
  <c r="J58" i="156"/>
  <c r="J59" i="156" s="1"/>
  <c r="B10" i="109"/>
  <c r="B11" i="109" s="1"/>
  <c r="D19" i="116"/>
  <c r="D20" i="116" s="1"/>
  <c r="B17" i="108"/>
  <c r="B18" i="108" s="1"/>
  <c r="C25" i="166"/>
  <c r="E11" i="152"/>
  <c r="E12" i="152" s="1"/>
  <c r="E9" i="121"/>
  <c r="E10" i="121" s="1"/>
  <c r="F29" i="85"/>
  <c r="E233" i="28"/>
  <c r="E265" i="28"/>
  <c r="E267" i="28" s="1"/>
  <c r="E276" i="28" s="1"/>
  <c r="E243" i="28" s="1"/>
  <c r="E246" i="28" s="1"/>
  <c r="E18" i="96"/>
  <c r="E19" i="96" s="1"/>
  <c r="C14" i="2"/>
  <c r="E225" i="28"/>
  <c r="E155" i="28"/>
  <c r="C16" i="104"/>
  <c r="C17" i="104" s="1"/>
  <c r="C7" i="166"/>
  <c r="D23" i="115"/>
  <c r="D24" i="115" s="1"/>
  <c r="D25" i="115" s="1"/>
  <c r="D14" i="115"/>
  <c r="D15" i="115" s="1"/>
  <c r="C213" i="28"/>
  <c r="C22" i="2"/>
  <c r="B10" i="100"/>
  <c r="B11" i="100" s="1"/>
  <c r="C9" i="166"/>
  <c r="B11" i="164"/>
  <c r="B12" i="164" s="1"/>
  <c r="J36" i="9"/>
  <c r="G43" i="167"/>
  <c r="G45" i="167" s="1"/>
  <c r="C5" i="2"/>
  <c r="B12" i="91"/>
  <c r="B13" i="91" s="1"/>
  <c r="E165" i="28"/>
  <c r="C33" i="166" s="1"/>
  <c r="B9" i="176"/>
  <c r="B11" i="176" s="1"/>
  <c r="B13" i="176" s="1"/>
  <c r="B14" i="176" s="1"/>
  <c r="C8" i="166"/>
  <c r="B11" i="163"/>
  <c r="B12" i="163" s="1"/>
  <c r="C41" i="1"/>
  <c r="B17" i="118"/>
  <c r="B18" i="118" s="1"/>
  <c r="C31" i="2"/>
  <c r="B10" i="162"/>
  <c r="B11" i="162" s="1"/>
  <c r="C37" i="1"/>
  <c r="G11" i="86"/>
  <c r="G12" i="86" s="1"/>
  <c r="C17" i="1"/>
  <c r="B14" i="151"/>
  <c r="B15" i="151" s="1"/>
  <c r="C38" i="1"/>
  <c r="G22" i="117"/>
  <c r="G23" i="117" s="1"/>
  <c r="C24" i="1"/>
  <c r="D16" i="81"/>
  <c r="D17" i="81" s="1"/>
  <c r="C28" i="2"/>
  <c r="B15" i="102"/>
  <c r="B16" i="102" s="1"/>
  <c r="E23" i="28"/>
  <c r="B18" i="79"/>
  <c r="B19" i="79" s="1"/>
  <c r="E199" i="28"/>
  <c r="C21" i="2"/>
  <c r="B14" i="99"/>
  <c r="B15" i="99" s="1"/>
  <c r="F18" i="85"/>
  <c r="B42" i="85"/>
  <c r="F42" i="85" s="1"/>
  <c r="E115" i="28"/>
  <c r="E160" i="28"/>
  <c r="C9" i="1"/>
  <c r="E15" i="28"/>
  <c r="C11" i="1" s="1"/>
  <c r="C22" i="1"/>
  <c r="B171" i="28"/>
  <c r="E162" i="28"/>
  <c r="C30" i="166" s="1"/>
  <c r="E59" i="28"/>
  <c r="E61" i="28" s="1"/>
  <c r="E158" i="28"/>
  <c r="B13" i="9"/>
  <c r="N8" i="9"/>
  <c r="C36" i="1" l="1"/>
  <c r="C247" i="28"/>
  <c r="E213" i="28"/>
  <c r="E45" i="83"/>
  <c r="E46" i="83" s="1"/>
  <c r="A98" i="112"/>
  <c r="A99" i="112" s="1"/>
  <c r="A100" i="112" s="1"/>
  <c r="A101" i="112" s="1"/>
  <c r="A102" i="112" s="1"/>
  <c r="A103" i="112" s="1"/>
  <c r="A104" i="112" s="1"/>
  <c r="A105" i="112" s="1"/>
  <c r="A106" i="112" s="1"/>
  <c r="A107" i="112" s="1"/>
  <c r="A108" i="112" s="1"/>
  <c r="A109" i="112" s="1"/>
  <c r="A110" i="112" s="1"/>
  <c r="A111" i="112" s="1"/>
  <c r="A112" i="112" s="1"/>
  <c r="A113" i="112" s="1"/>
  <c r="A114" i="112" s="1"/>
  <c r="A115" i="112" s="1"/>
  <c r="A116" i="112" s="1"/>
  <c r="A117" i="112" s="1"/>
  <c r="A118" i="112" s="1"/>
  <c r="C25" i="28"/>
  <c r="D25" i="28"/>
  <c r="E24" i="28"/>
  <c r="B15" i="187" s="1"/>
  <c r="B16" i="187" s="1"/>
  <c r="C18" i="79"/>
  <c r="C19" i="79" s="1"/>
  <c r="E234" i="28"/>
  <c r="E52" i="28"/>
  <c r="E116" i="28"/>
  <c r="C23" i="166"/>
  <c r="C26" i="166" s="1"/>
  <c r="C28" i="166" s="1"/>
  <c r="C19" i="2"/>
  <c r="C32" i="2"/>
  <c r="C31" i="1"/>
  <c r="C42" i="1" s="1"/>
  <c r="B9" i="172"/>
  <c r="B10" i="172" s="1"/>
  <c r="C14" i="1"/>
  <c r="C19" i="1" s="1"/>
  <c r="D18" i="79"/>
  <c r="D19" i="79" s="1"/>
  <c r="E27" i="28"/>
  <c r="B14" i="150" s="1"/>
  <c r="B15" i="150" s="1"/>
  <c r="B175" i="28"/>
  <c r="E171" i="28"/>
  <c r="N13" i="9"/>
  <c r="N36" i="9" s="1"/>
  <c r="E247" i="28" l="1"/>
  <c r="E53" i="28"/>
  <c r="E74" i="28" s="1"/>
  <c r="B17" i="185"/>
  <c r="C26" i="28"/>
  <c r="E25" i="28"/>
  <c r="D26" i="28"/>
  <c r="C33" i="2"/>
  <c r="C43" i="1"/>
  <c r="B181" i="28"/>
  <c r="B127" i="28" s="1"/>
  <c r="B128" i="28" s="1"/>
  <c r="E175" i="28"/>
  <c r="B130" i="28" l="1"/>
  <c r="B131" i="28" s="1"/>
  <c r="E128" i="28"/>
  <c r="D40" i="28"/>
  <c r="D75" i="28" s="1"/>
  <c r="D132" i="28" s="1"/>
  <c r="C40" i="28"/>
  <c r="C75" i="28" s="1"/>
  <c r="C132" i="28" s="1"/>
  <c r="E26" i="28"/>
  <c r="E40" i="28" s="1"/>
  <c r="E181" i="28"/>
  <c r="C15" i="187" l="1"/>
  <c r="C16" i="187" s="1"/>
  <c r="G28" i="187"/>
  <c r="G29" i="187" s="1"/>
  <c r="E75" i="28"/>
  <c r="D15" i="187"/>
  <c r="D16" i="187" s="1"/>
  <c r="E127" i="28"/>
  <c r="C44" i="2" s="1"/>
  <c r="C45" i="2" s="1"/>
  <c r="C47" i="2" s="1"/>
  <c r="C48" i="2" s="1"/>
  <c r="E130" i="28" l="1"/>
  <c r="B132" i="28" l="1"/>
  <c r="E132" i="28" s="1"/>
  <c r="E131" i="28"/>
</calcChain>
</file>

<file path=xl/comments1.xml><?xml version="1.0" encoding="utf-8"?>
<comments xmlns="http://schemas.openxmlformats.org/spreadsheetml/2006/main">
  <authors>
    <author>作者</author>
  </authors>
  <commentList>
    <comment ref="A7" authorId="0" shapeId="0">
      <text>
        <r>
          <rPr>
            <b/>
            <sz val="9"/>
            <rFont val="宋体"/>
            <family val="3"/>
            <charset val="134"/>
          </rPr>
          <t>作者:</t>
        </r>
        <r>
          <rPr>
            <sz val="9"/>
            <rFont val="宋体"/>
            <family val="3"/>
            <charset val="134"/>
          </rPr>
          <t xml:space="preserve">
指南30P40：企业衍生金融工具业务具有重要性的，应当在“FVTPL”行后增加“衍生金融资产”。</t>
        </r>
      </text>
    </comment>
    <comment ref="A26" authorId="0" shapeId="0">
      <text>
        <r>
          <rPr>
            <b/>
            <sz val="9"/>
            <rFont val="宋体"/>
            <family val="3"/>
            <charset val="134"/>
          </rPr>
          <t>作者:</t>
        </r>
        <r>
          <rPr>
            <sz val="9"/>
            <rFont val="宋体"/>
            <family val="3"/>
            <charset val="134"/>
          </rPr>
          <t xml:space="preserve">
指南9P45及财政部准则培训PPT</t>
        </r>
      </text>
    </comment>
  </commentList>
</comments>
</file>

<file path=xl/comments2.xml><?xml version="1.0" encoding="utf-8"?>
<comments xmlns="http://schemas.openxmlformats.org/spreadsheetml/2006/main">
  <authors>
    <author>作者</author>
  </authors>
  <commentList>
    <comment ref="A23" authorId="0" shapeId="0">
      <text>
        <r>
          <rPr>
            <b/>
            <sz val="9"/>
            <rFont val="宋体"/>
            <family val="3"/>
            <charset val="134"/>
          </rPr>
          <t>作者:</t>
        </r>
        <r>
          <rPr>
            <sz val="9"/>
            <rFont val="宋体"/>
            <family val="3"/>
            <charset val="134"/>
          </rPr>
          <t xml:space="preserve">
金融负债与权益工具区分 六、（四）1</t>
        </r>
      </text>
    </comment>
    <comment ref="A27" authorId="0" shapeId="0">
      <text>
        <r>
          <rPr>
            <b/>
            <sz val="9"/>
            <rFont val="宋体"/>
            <family val="3"/>
            <charset val="134"/>
          </rPr>
          <t>作者:</t>
        </r>
        <r>
          <rPr>
            <sz val="9"/>
            <rFont val="宋体"/>
            <family val="3"/>
            <charset val="134"/>
          </rPr>
          <t xml:space="preserve">
不含设定提存计划
</t>
        </r>
      </text>
    </comment>
    <comment ref="A41" authorId="0" shapeId="0">
      <text>
        <r>
          <rPr>
            <b/>
            <sz val="9"/>
            <rFont val="宋体"/>
            <family val="3"/>
            <charset val="134"/>
          </rPr>
          <t>作者:</t>
        </r>
        <r>
          <rPr>
            <sz val="9"/>
            <rFont val="宋体"/>
            <family val="3"/>
            <charset val="134"/>
          </rPr>
          <t xml:space="preserve">
CAS30.27，程华列报Slide40
</t>
        </r>
      </text>
    </comment>
  </commentList>
</comments>
</file>

<file path=xl/comments3.xml><?xml version="1.0" encoding="utf-8"?>
<comments xmlns="http://schemas.openxmlformats.org/spreadsheetml/2006/main">
  <authors>
    <author>作者</author>
  </authors>
  <commentList>
    <comment ref="A36" authorId="0" shapeId="0">
      <text>
        <r>
          <rPr>
            <b/>
            <sz val="9"/>
            <rFont val="宋体"/>
            <family val="3"/>
            <charset val="134"/>
          </rPr>
          <t>作者:</t>
        </r>
        <r>
          <rPr>
            <sz val="9"/>
            <rFont val="宋体"/>
            <family val="3"/>
            <charset val="134"/>
          </rPr>
          <t xml:space="preserve">
指南</t>
        </r>
        <r>
          <rPr>
            <sz val="9"/>
            <rFont val="Tahoma"/>
            <family val="2"/>
          </rPr>
          <t xml:space="preserve">33P108
</t>
        </r>
        <r>
          <rPr>
            <sz val="9"/>
            <rFont val="宋体"/>
            <family val="3"/>
            <charset val="134"/>
          </rPr>
          <t>区分其他综合收益按归属母公司所有者的</t>
        </r>
        <r>
          <rPr>
            <sz val="9"/>
            <rFont val="Tahoma"/>
            <family val="2"/>
          </rPr>
          <t>OCI</t>
        </r>
        <r>
          <rPr>
            <sz val="9"/>
            <rFont val="宋体"/>
            <family val="3"/>
            <charset val="134"/>
          </rPr>
          <t>税后金额和归属少数股东的</t>
        </r>
        <r>
          <rPr>
            <sz val="9"/>
            <rFont val="Tahoma"/>
            <family val="2"/>
          </rPr>
          <t>OCI</t>
        </r>
        <r>
          <rPr>
            <sz val="9"/>
            <rFont val="宋体"/>
            <family val="3"/>
            <charset val="134"/>
          </rPr>
          <t>税后金额，单独列示。</t>
        </r>
      </text>
    </comment>
    <comment ref="A37" authorId="0" shapeId="0">
      <text>
        <r>
          <rPr>
            <b/>
            <sz val="9"/>
            <rFont val="宋体"/>
            <family val="3"/>
            <charset val="134"/>
          </rPr>
          <t>作者:</t>
        </r>
        <r>
          <rPr>
            <sz val="9"/>
            <rFont val="宋体"/>
            <family val="3"/>
            <charset val="134"/>
          </rPr>
          <t xml:space="preserve">
CAS30.33
指南30P52</t>
        </r>
      </text>
    </comment>
  </commentList>
</comments>
</file>

<file path=xl/comments4.xml><?xml version="1.0" encoding="utf-8"?>
<comments xmlns="http://schemas.openxmlformats.org/spreadsheetml/2006/main">
  <authors>
    <author>作者</author>
    <author>Kyria</author>
  </authors>
  <commentList>
    <comment ref="C6" authorId="0" shapeId="0">
      <text>
        <r>
          <rPr>
            <b/>
            <sz val="9"/>
            <rFont val="宋体"/>
            <family val="3"/>
            <charset val="134"/>
          </rPr>
          <t>作者:</t>
        </r>
        <r>
          <rPr>
            <sz val="9"/>
            <rFont val="宋体"/>
            <family val="3"/>
            <charset val="134"/>
          </rPr>
          <t xml:space="preserve">
金融负债与权益工具区分 六、（四）1</t>
        </r>
      </text>
    </comment>
    <comment ref="H6" authorId="0" shapeId="0">
      <text>
        <r>
          <rPr>
            <b/>
            <sz val="9"/>
            <rFont val="宋体"/>
            <family val="3"/>
            <charset val="134"/>
          </rPr>
          <t>作者:</t>
        </r>
        <r>
          <rPr>
            <sz val="9"/>
            <rFont val="宋体"/>
            <family val="3"/>
            <charset val="134"/>
          </rPr>
          <t xml:space="preserve">
指南30P57</t>
        </r>
      </text>
    </comment>
    <comment ref="P6" authorId="0" shapeId="0">
      <text>
        <r>
          <rPr>
            <b/>
            <sz val="9"/>
            <rFont val="宋体"/>
            <family val="3"/>
            <charset val="134"/>
          </rPr>
          <t>作者:</t>
        </r>
        <r>
          <rPr>
            <sz val="9"/>
            <rFont val="宋体"/>
            <family val="3"/>
            <charset val="134"/>
          </rPr>
          <t xml:space="preserve">
金融负债与权益工具区分 六、（四）1</t>
        </r>
      </text>
    </comment>
    <comment ref="U6" authorId="0" shapeId="0">
      <text>
        <r>
          <rPr>
            <b/>
            <sz val="9"/>
            <rFont val="宋体"/>
            <family val="3"/>
            <charset val="134"/>
          </rPr>
          <t>作者:</t>
        </r>
        <r>
          <rPr>
            <sz val="9"/>
            <rFont val="宋体"/>
            <family val="3"/>
            <charset val="134"/>
          </rPr>
          <t xml:space="preserve">
程华列报slide18</t>
        </r>
      </text>
    </comment>
    <comment ref="A11" authorId="1" shapeId="0">
      <text>
        <r>
          <rPr>
            <sz val="9"/>
            <color indexed="81"/>
            <rFont val="宋体"/>
            <family val="3"/>
            <charset val="134"/>
          </rPr>
          <t>根据交易所格式增加</t>
        </r>
      </text>
    </comment>
    <comment ref="A18" authorId="0" shapeId="0">
      <text>
        <r>
          <rPr>
            <b/>
            <sz val="9"/>
            <rFont val="宋体"/>
            <family val="3"/>
            <charset val="134"/>
          </rPr>
          <t>作者:</t>
        </r>
        <r>
          <rPr>
            <sz val="9"/>
            <rFont val="宋体"/>
            <family val="3"/>
            <charset val="134"/>
          </rPr>
          <t xml:space="preserve">
金融负债与权益工具区分 六、（四）1</t>
        </r>
      </text>
    </comment>
    <comment ref="A29" authorId="0" shapeId="0">
      <text>
        <r>
          <rPr>
            <b/>
            <sz val="9"/>
            <rFont val="宋体"/>
            <family val="3"/>
            <charset val="134"/>
          </rPr>
          <t>作者:</t>
        </r>
        <r>
          <rPr>
            <sz val="9"/>
            <rFont val="宋体"/>
            <family val="3"/>
            <charset val="134"/>
          </rPr>
          <t xml:space="preserve">
指南9P45</t>
        </r>
      </text>
    </comment>
  </commentList>
</comments>
</file>

<file path=xl/comments5.xml><?xml version="1.0" encoding="utf-8"?>
<comments xmlns="http://schemas.openxmlformats.org/spreadsheetml/2006/main">
  <authors>
    <author>juan.zhang</author>
  </authors>
  <commentList>
    <comment ref="A18" authorId="0" shapeId="0">
      <text>
        <r>
          <rPr>
            <b/>
            <sz val="9"/>
            <rFont val="宋体"/>
            <family val="3"/>
            <charset val="134"/>
          </rPr>
          <t>juan.zhang:</t>
        </r>
        <r>
          <rPr>
            <sz val="9"/>
            <rFont val="宋体"/>
            <family val="3"/>
            <charset val="134"/>
          </rPr>
          <t xml:space="preserve">
包含了应收利息、应收股利、其他应收款</t>
        </r>
      </text>
    </comment>
    <comment ref="A57" authorId="0" shapeId="0">
      <text>
        <r>
          <rPr>
            <b/>
            <sz val="9"/>
            <rFont val="宋体"/>
            <family val="3"/>
            <charset val="134"/>
          </rPr>
          <t>juan.zhang:</t>
        </r>
        <r>
          <rPr>
            <sz val="9"/>
            <rFont val="宋体"/>
            <family val="3"/>
            <charset val="134"/>
          </rPr>
          <t xml:space="preserve">
包含了固定资产清理</t>
        </r>
      </text>
    </comment>
    <comment ref="A62" authorId="0" shapeId="0">
      <text>
        <r>
          <rPr>
            <b/>
            <sz val="9"/>
            <rFont val="宋体"/>
            <family val="3"/>
            <charset val="134"/>
          </rPr>
          <t>juan.zhang:</t>
        </r>
        <r>
          <rPr>
            <sz val="9"/>
            <rFont val="宋体"/>
            <family val="3"/>
            <charset val="134"/>
          </rPr>
          <t xml:space="preserve">
包含了工程物资</t>
        </r>
      </text>
    </comment>
    <comment ref="A91" authorId="0" shapeId="0">
      <text>
        <r>
          <rPr>
            <b/>
            <sz val="9"/>
            <rFont val="宋体"/>
            <family val="3"/>
            <charset val="134"/>
          </rPr>
          <t>juan.zhang:</t>
        </r>
        <r>
          <rPr>
            <sz val="9"/>
            <rFont val="宋体"/>
            <family val="3"/>
            <charset val="134"/>
          </rPr>
          <t xml:space="preserve">
应付利息、应付股利、其他应付款。</t>
        </r>
      </text>
    </comment>
  </commentList>
</comments>
</file>

<file path=xl/comments6.xml><?xml version="1.0" encoding="utf-8"?>
<comments xmlns="http://schemas.openxmlformats.org/spreadsheetml/2006/main">
  <authors>
    <author>作者</author>
  </authors>
  <commentList>
    <comment ref="A4" authorId="0" shapeId="0">
      <text>
        <r>
          <rPr>
            <b/>
            <sz val="9"/>
            <rFont val="宋体"/>
            <family val="3"/>
            <charset val="134"/>
          </rPr>
          <t>作者:</t>
        </r>
        <r>
          <rPr>
            <sz val="9"/>
            <rFont val="宋体"/>
            <family val="3"/>
            <charset val="134"/>
          </rPr>
          <t xml:space="preserve">
列示金额应达到现金流量表相关项目80%以上</t>
        </r>
      </text>
    </comment>
  </commentList>
</comments>
</file>

<file path=xl/comments7.xml><?xml version="1.0" encoding="utf-8"?>
<comments xmlns="http://schemas.openxmlformats.org/spreadsheetml/2006/main">
  <authors>
    <author>作者</author>
  </authors>
  <commentList>
    <comment ref="A4" authorId="0" shapeId="0">
      <text>
        <r>
          <rPr>
            <b/>
            <sz val="9"/>
            <rFont val="宋体"/>
            <family val="3"/>
            <charset val="134"/>
          </rPr>
          <t>作者:</t>
        </r>
        <r>
          <rPr>
            <sz val="9"/>
            <rFont val="宋体"/>
            <family val="3"/>
            <charset val="134"/>
          </rPr>
          <t xml:space="preserve">
列示金额应达到现金流量表相关项目80%以上</t>
        </r>
      </text>
    </comment>
  </commentList>
</comments>
</file>

<file path=xl/sharedStrings.xml><?xml version="1.0" encoding="utf-8"?>
<sst xmlns="http://schemas.openxmlformats.org/spreadsheetml/2006/main" count="4451" uniqueCount="2308">
  <si>
    <r>
      <rPr>
        <b/>
        <sz val="12"/>
        <rFont val="Arial Narrow"/>
        <family val="2"/>
      </rPr>
      <t>20XX</t>
    </r>
    <r>
      <rPr>
        <b/>
        <sz val="12"/>
        <rFont val="宋体"/>
        <family val="3"/>
        <charset val="134"/>
      </rPr>
      <t>年</t>
    </r>
    <r>
      <rPr>
        <b/>
        <sz val="12"/>
        <rFont val="Arial Narrow"/>
        <family val="2"/>
      </rPr>
      <t>XX</t>
    </r>
    <r>
      <rPr>
        <b/>
        <sz val="12"/>
        <rFont val="宋体"/>
        <family val="3"/>
        <charset val="134"/>
      </rPr>
      <t>月</t>
    </r>
    <r>
      <rPr>
        <b/>
        <sz val="12"/>
        <rFont val="Arial Narrow"/>
        <family val="2"/>
      </rPr>
      <t>XX</t>
    </r>
    <r>
      <rPr>
        <b/>
        <sz val="12"/>
        <rFont val="宋体"/>
        <family val="3"/>
        <charset val="134"/>
      </rPr>
      <t>日</t>
    </r>
    <r>
      <rPr>
        <b/>
        <sz val="12"/>
        <rFont val="Arial Narrow"/>
        <family val="2"/>
      </rPr>
      <t>ABC</t>
    </r>
    <r>
      <rPr>
        <b/>
        <sz val="12"/>
        <rFont val="宋体"/>
        <family val="3"/>
        <charset val="134"/>
      </rPr>
      <t>公司报告文件包</t>
    </r>
  </si>
  <si>
    <r>
      <rPr>
        <b/>
        <sz val="10"/>
        <rFont val="宋体"/>
        <family val="3"/>
        <charset val="134"/>
      </rPr>
      <t>序号</t>
    </r>
  </si>
  <si>
    <r>
      <rPr>
        <b/>
        <sz val="10"/>
        <rFont val="宋体"/>
        <family val="3"/>
        <charset val="134"/>
      </rPr>
      <t>文件名称</t>
    </r>
  </si>
  <si>
    <r>
      <rPr>
        <b/>
        <sz val="10"/>
        <rFont val="宋体"/>
        <family val="3"/>
        <charset val="134"/>
      </rPr>
      <t>目的</t>
    </r>
  </si>
  <si>
    <r>
      <rPr>
        <b/>
        <sz val="10"/>
        <rFont val="宋体"/>
        <family val="3"/>
        <charset val="134"/>
      </rPr>
      <t>工作表</t>
    </r>
  </si>
  <si>
    <r>
      <rPr>
        <b/>
        <sz val="10"/>
        <rFont val="宋体"/>
        <family val="3"/>
        <charset val="134"/>
      </rPr>
      <t>核对（是否完成）</t>
    </r>
  </si>
  <si>
    <r>
      <rPr>
        <sz val="10"/>
        <rFont val="宋体"/>
        <family val="3"/>
        <charset val="134"/>
      </rPr>
      <t>基础信息</t>
    </r>
  </si>
  <si>
    <r>
      <rPr>
        <sz val="10"/>
        <rFont val="宋体"/>
        <family val="3"/>
        <charset val="134"/>
      </rPr>
      <t>一般信息</t>
    </r>
  </si>
  <si>
    <t>基础信息</t>
  </si>
  <si>
    <r>
      <rPr>
        <sz val="10"/>
        <color indexed="10"/>
        <rFont val="宋体"/>
        <family val="3"/>
        <charset val="134"/>
      </rPr>
      <t>完成</t>
    </r>
  </si>
  <si>
    <r>
      <rPr>
        <sz val="10"/>
        <rFont val="宋体"/>
        <family val="3"/>
        <charset val="134"/>
      </rPr>
      <t>会计政策</t>
    </r>
  </si>
  <si>
    <t>RP 001</t>
  </si>
  <si>
    <r>
      <rPr>
        <sz val="10"/>
        <rFont val="宋体"/>
        <family val="3"/>
        <charset val="134"/>
      </rPr>
      <t>资产负债表</t>
    </r>
  </si>
  <si>
    <r>
      <rPr>
        <sz val="10"/>
        <rFont val="宋体"/>
        <family val="3"/>
        <charset val="134"/>
      </rPr>
      <t>财务报表</t>
    </r>
  </si>
  <si>
    <t>RP 002-1</t>
  </si>
  <si>
    <t>RP 002-2</t>
  </si>
  <si>
    <r>
      <rPr>
        <sz val="10"/>
        <rFont val="宋体"/>
        <family val="3"/>
        <charset val="134"/>
      </rPr>
      <t>利润表</t>
    </r>
  </si>
  <si>
    <t>RP 003</t>
  </si>
  <si>
    <r>
      <rPr>
        <sz val="10"/>
        <rFont val="宋体"/>
        <family val="3"/>
        <charset val="134"/>
      </rPr>
      <t>现金流量表</t>
    </r>
  </si>
  <si>
    <t>RP 004</t>
  </si>
  <si>
    <r>
      <rPr>
        <sz val="10"/>
        <rFont val="宋体"/>
        <family val="3"/>
        <charset val="134"/>
      </rPr>
      <t>所有者权益变动表</t>
    </r>
  </si>
  <si>
    <t>RP 005</t>
  </si>
  <si>
    <r>
      <rPr>
        <sz val="10"/>
        <rFont val="宋体"/>
        <family val="3"/>
        <charset val="134"/>
      </rPr>
      <t>准则差异调节表</t>
    </r>
  </si>
  <si>
    <r>
      <rPr>
        <sz val="10"/>
        <rFont val="宋体"/>
        <family val="3"/>
        <charset val="134"/>
      </rPr>
      <t>备查信息</t>
    </r>
  </si>
  <si>
    <t>RP 006</t>
  </si>
  <si>
    <r>
      <rPr>
        <sz val="10"/>
        <rFont val="宋体"/>
        <family val="3"/>
        <charset val="134"/>
      </rPr>
      <t>集团间交易（销售、采购、费用）</t>
    </r>
  </si>
  <si>
    <r>
      <rPr>
        <sz val="10"/>
        <rFont val="宋体"/>
        <family val="3"/>
        <charset val="134"/>
      </rPr>
      <t>集团间交易</t>
    </r>
  </si>
  <si>
    <t>RP 007</t>
  </si>
  <si>
    <r>
      <rPr>
        <sz val="10"/>
        <rFont val="宋体"/>
        <family val="3"/>
        <charset val="134"/>
      </rPr>
      <t>集团间交易（资产、负债）</t>
    </r>
  </si>
  <si>
    <t>RP 008</t>
  </si>
  <si>
    <r>
      <rPr>
        <sz val="10"/>
        <rFont val="宋体"/>
        <family val="3"/>
        <charset val="134"/>
      </rPr>
      <t>集团间交易（存货）</t>
    </r>
  </si>
  <si>
    <r>
      <rPr>
        <sz val="10"/>
        <rFont val="宋体"/>
        <family val="3"/>
        <charset val="134"/>
      </rPr>
      <t>未实现内部利润</t>
    </r>
  </si>
  <si>
    <t>RP 009</t>
  </si>
  <si>
    <r>
      <rPr>
        <sz val="10"/>
        <rFont val="宋体"/>
        <family val="3"/>
        <charset val="134"/>
      </rPr>
      <t>集团间交易（销售采购固定资产）</t>
    </r>
  </si>
  <si>
    <t>RP 010</t>
  </si>
  <si>
    <r>
      <rPr>
        <sz val="10"/>
        <rFont val="宋体"/>
        <family val="3"/>
        <charset val="134"/>
      </rPr>
      <t>集团间交易（现金流量）</t>
    </r>
  </si>
  <si>
    <t>RP 011</t>
  </si>
  <si>
    <r>
      <rPr>
        <sz val="10"/>
        <rFont val="宋体"/>
        <family val="3"/>
        <charset val="134"/>
      </rPr>
      <t>货币资金</t>
    </r>
  </si>
  <si>
    <r>
      <rPr>
        <sz val="10"/>
        <rFont val="宋体"/>
        <family val="3"/>
        <charset val="134"/>
      </rPr>
      <t>披露信息</t>
    </r>
  </si>
  <si>
    <t>RP 012</t>
  </si>
  <si>
    <r>
      <rPr>
        <sz val="10"/>
        <rFont val="宋体"/>
        <family val="3"/>
        <charset val="134"/>
      </rPr>
      <t>以公允价值计量且其变动计入当期损益的金融资产</t>
    </r>
  </si>
  <si>
    <r>
      <rPr>
        <sz val="10"/>
        <rFont val="宋体"/>
        <family val="3"/>
        <charset val="134"/>
      </rPr>
      <t>衍生金融资产</t>
    </r>
  </si>
  <si>
    <t>应收票据及应收账款</t>
  </si>
  <si>
    <t>完成</t>
  </si>
  <si>
    <r>
      <rPr>
        <sz val="10"/>
        <rFont val="宋体"/>
        <family val="3"/>
        <charset val="134"/>
      </rPr>
      <t>预付款项</t>
    </r>
  </si>
  <si>
    <t>其他应收款（应收利息、应收股利、其他应收款）</t>
  </si>
  <si>
    <t>其中：应收利息</t>
  </si>
  <si>
    <t xml:space="preserve">     应收股利</t>
  </si>
  <si>
    <t xml:space="preserve">     其他应收款</t>
  </si>
  <si>
    <r>
      <rPr>
        <sz val="10"/>
        <rFont val="宋体"/>
        <family val="3"/>
        <charset val="134"/>
      </rPr>
      <t>存货</t>
    </r>
  </si>
  <si>
    <r>
      <rPr>
        <sz val="10"/>
        <rFont val="宋体"/>
        <family val="3"/>
        <charset val="134"/>
      </rPr>
      <t>一年内到期的非流动负债</t>
    </r>
  </si>
  <si>
    <r>
      <rPr>
        <sz val="10"/>
        <rFont val="宋体"/>
        <family val="3"/>
        <charset val="134"/>
      </rPr>
      <t>其他流动资产</t>
    </r>
  </si>
  <si>
    <r>
      <rPr>
        <sz val="10"/>
        <rFont val="宋体"/>
        <family val="3"/>
        <charset val="134"/>
      </rPr>
      <t>可供出售金融资产</t>
    </r>
  </si>
  <si>
    <r>
      <rPr>
        <sz val="10"/>
        <rFont val="宋体"/>
        <family val="3"/>
        <charset val="134"/>
      </rPr>
      <t>持有至到期投资</t>
    </r>
  </si>
  <si>
    <r>
      <rPr>
        <sz val="10"/>
        <rFont val="宋体"/>
        <family val="3"/>
        <charset val="134"/>
      </rPr>
      <t>长期应收款</t>
    </r>
  </si>
  <si>
    <r>
      <rPr>
        <sz val="10"/>
        <rFont val="宋体"/>
        <family val="3"/>
        <charset val="134"/>
      </rPr>
      <t>设定受益计划净资产</t>
    </r>
  </si>
  <si>
    <r>
      <rPr>
        <sz val="10"/>
        <rFont val="宋体"/>
        <family val="3"/>
        <charset val="134"/>
      </rPr>
      <t>长期股权投资</t>
    </r>
  </si>
  <si>
    <r>
      <rPr>
        <sz val="10"/>
        <rFont val="宋体"/>
        <family val="3"/>
        <charset val="134"/>
      </rPr>
      <t>投资性房地产</t>
    </r>
  </si>
  <si>
    <t>固定资产</t>
  </si>
  <si>
    <t>其中：固定资产</t>
  </si>
  <si>
    <t xml:space="preserve">     固定资产清理</t>
  </si>
  <si>
    <t>在建工程</t>
  </si>
  <si>
    <t>其中：在建工程</t>
  </si>
  <si>
    <t xml:space="preserve">      工程物资</t>
  </si>
  <si>
    <r>
      <rPr>
        <sz val="10"/>
        <rFont val="宋体"/>
        <family val="3"/>
        <charset val="134"/>
      </rPr>
      <t>生产性生物资产</t>
    </r>
  </si>
  <si>
    <r>
      <rPr>
        <sz val="10"/>
        <rFont val="宋体"/>
        <family val="3"/>
        <charset val="134"/>
      </rPr>
      <t>无形资产</t>
    </r>
  </si>
  <si>
    <r>
      <rPr>
        <sz val="10"/>
        <rFont val="宋体"/>
        <family val="3"/>
        <charset val="134"/>
      </rPr>
      <t>开发支出</t>
    </r>
  </si>
  <si>
    <r>
      <rPr>
        <sz val="10"/>
        <rFont val="宋体"/>
        <family val="3"/>
        <charset val="134"/>
      </rPr>
      <t>商誉</t>
    </r>
  </si>
  <si>
    <r>
      <rPr>
        <sz val="10"/>
        <rFont val="宋体"/>
        <family val="3"/>
        <charset val="134"/>
      </rPr>
      <t>长期待摊费用</t>
    </r>
  </si>
  <si>
    <r>
      <rPr>
        <sz val="10"/>
        <rFont val="宋体"/>
        <family val="3"/>
        <charset val="134"/>
      </rPr>
      <t>递延所得税资产和递延所得税负债</t>
    </r>
  </si>
  <si>
    <r>
      <rPr>
        <sz val="10"/>
        <rFont val="宋体"/>
        <family val="3"/>
        <charset val="134"/>
      </rPr>
      <t>其他非流动资产</t>
    </r>
  </si>
  <si>
    <r>
      <rPr>
        <sz val="10"/>
        <rFont val="宋体"/>
        <family val="3"/>
        <charset val="134"/>
      </rPr>
      <t>资产减值准备</t>
    </r>
  </si>
  <si>
    <r>
      <rPr>
        <sz val="10"/>
        <rFont val="宋体"/>
        <family val="3"/>
        <charset val="134"/>
      </rPr>
      <t>所有权受到限制的资产</t>
    </r>
  </si>
  <si>
    <r>
      <rPr>
        <sz val="10"/>
        <rFont val="宋体"/>
        <family val="3"/>
        <charset val="134"/>
      </rPr>
      <t>短期借款</t>
    </r>
  </si>
  <si>
    <r>
      <rPr>
        <sz val="10"/>
        <rFont val="宋体"/>
        <family val="3"/>
        <charset val="134"/>
      </rPr>
      <t>以公允价值计量且其变动计入当期损益的金融负债</t>
    </r>
  </si>
  <si>
    <r>
      <rPr>
        <sz val="10"/>
        <rFont val="宋体"/>
        <family val="3"/>
        <charset val="134"/>
      </rPr>
      <t>衍生金融负债</t>
    </r>
  </si>
  <si>
    <r>
      <rPr>
        <sz val="10"/>
        <rFont val="宋体"/>
        <family val="3"/>
        <charset val="134"/>
      </rPr>
      <t>预收款项</t>
    </r>
  </si>
  <si>
    <r>
      <rPr>
        <sz val="10"/>
        <rFont val="宋体"/>
        <family val="3"/>
        <charset val="134"/>
      </rPr>
      <t>应付职工薪酬</t>
    </r>
  </si>
  <si>
    <r>
      <rPr>
        <sz val="10"/>
        <rFont val="宋体"/>
        <family val="3"/>
        <charset val="134"/>
      </rPr>
      <t>应交税费</t>
    </r>
  </si>
  <si>
    <t>其他应付款</t>
  </si>
  <si>
    <t>其中：应付利息</t>
  </si>
  <si>
    <t xml:space="preserve">      应付股利</t>
  </si>
  <si>
    <t xml:space="preserve">      其他应付款</t>
  </si>
  <si>
    <r>
      <rPr>
        <sz val="10"/>
        <rFont val="宋体"/>
        <family val="3"/>
        <charset val="134"/>
      </rPr>
      <t>其他流动负债</t>
    </r>
  </si>
  <si>
    <r>
      <rPr>
        <sz val="10"/>
        <rFont val="宋体"/>
        <family val="3"/>
        <charset val="134"/>
      </rPr>
      <t>长期借款</t>
    </r>
  </si>
  <si>
    <r>
      <rPr>
        <sz val="10"/>
        <rFont val="宋体"/>
        <family val="3"/>
        <charset val="134"/>
      </rPr>
      <t>应付债券</t>
    </r>
  </si>
  <si>
    <t>长期应付款</t>
  </si>
  <si>
    <t>其中：长期应付款</t>
  </si>
  <si>
    <t xml:space="preserve">     专项应付款</t>
  </si>
  <si>
    <r>
      <rPr>
        <sz val="10"/>
        <rFont val="宋体"/>
        <family val="3"/>
        <charset val="134"/>
      </rPr>
      <t>长期应付职工薪酬</t>
    </r>
  </si>
  <si>
    <r>
      <rPr>
        <sz val="10"/>
        <rFont val="宋体"/>
        <family val="3"/>
        <charset val="134"/>
      </rPr>
      <t>预计负债</t>
    </r>
  </si>
  <si>
    <r>
      <rPr>
        <sz val="10"/>
        <rFont val="宋体"/>
        <family val="3"/>
        <charset val="134"/>
      </rPr>
      <t>递延收益</t>
    </r>
  </si>
  <si>
    <r>
      <rPr>
        <sz val="10"/>
        <rFont val="宋体"/>
        <family val="3"/>
        <charset val="134"/>
      </rPr>
      <t>其他非流动负债</t>
    </r>
  </si>
  <si>
    <r>
      <rPr>
        <sz val="10"/>
        <rFont val="宋体"/>
        <family val="3"/>
        <charset val="134"/>
      </rPr>
      <t>营业收入及成本</t>
    </r>
  </si>
  <si>
    <t>税金及附加</t>
  </si>
  <si>
    <r>
      <rPr>
        <sz val="10"/>
        <rFont val="宋体"/>
        <family val="3"/>
        <charset val="134"/>
      </rPr>
      <t>销售费用</t>
    </r>
  </si>
  <si>
    <r>
      <rPr>
        <sz val="10"/>
        <rFont val="宋体"/>
        <family val="3"/>
        <charset val="134"/>
      </rPr>
      <t>管理费用</t>
    </r>
  </si>
  <si>
    <t>研发费用</t>
  </si>
  <si>
    <r>
      <rPr>
        <sz val="10"/>
        <rFont val="宋体"/>
        <family val="3"/>
        <charset val="134"/>
      </rPr>
      <t>财务费用</t>
    </r>
  </si>
  <si>
    <r>
      <rPr>
        <sz val="10"/>
        <rFont val="宋体"/>
        <family val="3"/>
        <charset val="134"/>
      </rPr>
      <t>资产减值损失</t>
    </r>
  </si>
  <si>
    <t>其他收益</t>
  </si>
  <si>
    <r>
      <rPr>
        <sz val="10"/>
        <rFont val="宋体"/>
        <family val="3"/>
        <charset val="134"/>
      </rPr>
      <t>投资收益</t>
    </r>
  </si>
  <si>
    <t>资产处置收益</t>
  </si>
  <si>
    <r>
      <rPr>
        <sz val="10"/>
        <rFont val="宋体"/>
        <family val="3"/>
        <charset val="134"/>
      </rPr>
      <t>营业外收入</t>
    </r>
  </si>
  <si>
    <r>
      <rPr>
        <sz val="10"/>
        <rFont val="宋体"/>
        <family val="3"/>
        <charset val="134"/>
      </rPr>
      <t>营业外支出</t>
    </r>
  </si>
  <si>
    <r>
      <rPr>
        <sz val="10"/>
        <rFont val="宋体"/>
        <family val="3"/>
        <charset val="134"/>
      </rPr>
      <t>所得税费用</t>
    </r>
  </si>
  <si>
    <r>
      <rPr>
        <sz val="10"/>
        <rFont val="宋体"/>
        <family val="3"/>
        <charset val="134"/>
      </rPr>
      <t>收到的其他与经营活动有关的现金</t>
    </r>
  </si>
  <si>
    <r>
      <rPr>
        <sz val="10"/>
        <rFont val="宋体"/>
        <family val="3"/>
        <charset val="134"/>
      </rPr>
      <t>支付的其他与经营活动有关的现金</t>
    </r>
  </si>
  <si>
    <r>
      <rPr>
        <sz val="10"/>
        <rFont val="宋体"/>
        <family val="3"/>
        <charset val="134"/>
      </rPr>
      <t>收到的其他与投资活动有关的现金</t>
    </r>
  </si>
  <si>
    <r>
      <rPr>
        <sz val="10"/>
        <rFont val="宋体"/>
        <family val="3"/>
        <charset val="134"/>
      </rPr>
      <t>支付的其他与投资活动有关的现金</t>
    </r>
  </si>
  <si>
    <r>
      <rPr>
        <sz val="10"/>
        <rFont val="宋体"/>
        <family val="3"/>
        <charset val="134"/>
      </rPr>
      <t>收到的其他与筹资活动有关的现金</t>
    </r>
  </si>
  <si>
    <r>
      <rPr>
        <sz val="10"/>
        <rFont val="宋体"/>
        <family val="3"/>
        <charset val="134"/>
      </rPr>
      <t>支付的其他与筹资活动有关的现金</t>
    </r>
  </si>
  <si>
    <r>
      <rPr>
        <sz val="10"/>
        <rFont val="宋体"/>
        <family val="3"/>
        <charset val="134"/>
      </rPr>
      <t>现金流量表补充资料</t>
    </r>
  </si>
  <si>
    <r>
      <rPr>
        <sz val="10"/>
        <rFont val="宋体"/>
        <family val="3"/>
        <charset val="134"/>
      </rPr>
      <t>股份支付</t>
    </r>
  </si>
  <si>
    <r>
      <rPr>
        <sz val="10"/>
        <rFont val="宋体"/>
        <family val="3"/>
        <charset val="134"/>
      </rPr>
      <t>或有事项</t>
    </r>
  </si>
  <si>
    <r>
      <rPr>
        <sz val="10"/>
        <rFont val="宋体"/>
        <family val="3"/>
        <charset val="134"/>
      </rPr>
      <t>承诺事项</t>
    </r>
  </si>
  <si>
    <r>
      <rPr>
        <sz val="10"/>
        <rFont val="宋体"/>
        <family val="3"/>
        <charset val="134"/>
      </rPr>
      <t>资产负债表日后事项</t>
    </r>
  </si>
  <si>
    <r>
      <rPr>
        <sz val="10"/>
        <rFont val="宋体"/>
        <family val="3"/>
        <charset val="134"/>
      </rPr>
      <t>其他重要事项</t>
    </r>
  </si>
  <si>
    <r>
      <rPr>
        <sz val="10"/>
        <rFont val="宋体"/>
        <family val="3"/>
        <charset val="134"/>
      </rPr>
      <t>非经常性损益</t>
    </r>
  </si>
  <si>
    <r>
      <rPr>
        <b/>
        <sz val="10"/>
        <rFont val="宋体"/>
        <family val="3"/>
        <charset val="134"/>
      </rPr>
      <t>说明：</t>
    </r>
    <r>
      <rPr>
        <b/>
        <sz val="10"/>
        <rFont val="Arial Narrow"/>
        <family val="2"/>
      </rPr>
      <t>1</t>
    </r>
    <r>
      <rPr>
        <b/>
        <sz val="10"/>
        <rFont val="宋体"/>
        <family val="3"/>
        <charset val="134"/>
      </rPr>
      <t>、报告包里需要说明的事项，如不适用，请不要删除，另起一行标注</t>
    </r>
    <r>
      <rPr>
        <b/>
        <sz val="10"/>
        <rFont val="Arial Narrow"/>
        <family val="2"/>
      </rPr>
      <t xml:space="preserve"> </t>
    </r>
    <r>
      <rPr>
        <b/>
        <sz val="10"/>
        <rFont val="宋体"/>
        <family val="3"/>
        <charset val="134"/>
      </rPr>
      <t>不适用</t>
    </r>
  </si>
  <si>
    <r>
      <rPr>
        <b/>
        <sz val="12"/>
        <rFont val="宋体"/>
        <family val="3"/>
        <charset val="134"/>
      </rPr>
      <t>基础信息</t>
    </r>
  </si>
  <si>
    <r>
      <rPr>
        <b/>
        <sz val="12"/>
        <rFont val="宋体"/>
        <family val="3"/>
        <charset val="134"/>
      </rPr>
      <t>一般信息</t>
    </r>
  </si>
  <si>
    <r>
      <rPr>
        <sz val="10"/>
        <rFont val="宋体"/>
        <family val="3"/>
        <charset val="134"/>
      </rPr>
      <t>公司代码</t>
    </r>
  </si>
  <si>
    <r>
      <rPr>
        <sz val="10"/>
        <rFont val="宋体"/>
        <family val="3"/>
        <charset val="134"/>
      </rPr>
      <t>公司简称</t>
    </r>
  </si>
  <si>
    <r>
      <rPr>
        <sz val="10"/>
        <rFont val="宋体"/>
        <family val="3"/>
        <charset val="134"/>
      </rPr>
      <t>公司名称</t>
    </r>
  </si>
  <si>
    <r>
      <rPr>
        <sz val="10"/>
        <rFont val="宋体"/>
        <family val="3"/>
        <charset val="134"/>
      </rPr>
      <t>报告币种代码</t>
    </r>
  </si>
  <si>
    <r>
      <rPr>
        <sz val="10"/>
        <rFont val="宋体"/>
        <family val="3"/>
        <charset val="134"/>
      </rPr>
      <t>报告币种</t>
    </r>
  </si>
  <si>
    <r>
      <rPr>
        <sz val="10"/>
        <rFont val="宋体"/>
        <family val="3"/>
        <charset val="134"/>
      </rPr>
      <t>财务期间</t>
    </r>
  </si>
  <si>
    <r>
      <rPr>
        <sz val="10"/>
        <rFont val="宋体"/>
        <family val="3"/>
        <charset val="134"/>
      </rPr>
      <t>地址</t>
    </r>
  </si>
  <si>
    <r>
      <rPr>
        <sz val="10"/>
        <rFont val="宋体"/>
        <family val="3"/>
        <charset val="134"/>
      </rPr>
      <t>董事长</t>
    </r>
  </si>
  <si>
    <r>
      <rPr>
        <sz val="10"/>
        <rFont val="宋体"/>
        <family val="3"/>
        <charset val="134"/>
      </rPr>
      <t>总经理</t>
    </r>
  </si>
  <si>
    <r>
      <rPr>
        <sz val="10"/>
        <rFont val="宋体"/>
        <family val="3"/>
        <charset val="134"/>
      </rPr>
      <t>审计师</t>
    </r>
  </si>
  <si>
    <r>
      <rPr>
        <sz val="10"/>
        <rFont val="宋体"/>
        <family val="3"/>
        <charset val="134"/>
      </rPr>
      <t>会计负责人</t>
    </r>
  </si>
  <si>
    <r>
      <rPr>
        <sz val="10"/>
        <rFont val="宋体"/>
        <family val="3"/>
        <charset val="134"/>
      </rPr>
      <t>会计机构负责人</t>
    </r>
  </si>
  <si>
    <r>
      <rPr>
        <sz val="10"/>
        <rFont val="宋体"/>
        <family val="3"/>
        <charset val="134"/>
      </rPr>
      <t>电话</t>
    </r>
  </si>
  <si>
    <r>
      <rPr>
        <sz val="10"/>
        <rFont val="宋体"/>
        <family val="3"/>
        <charset val="134"/>
      </rPr>
      <t>传真</t>
    </r>
  </si>
  <si>
    <r>
      <rPr>
        <sz val="10"/>
        <rFont val="宋体"/>
        <family val="3"/>
        <charset val="134"/>
      </rPr>
      <t>电子邮件</t>
    </r>
  </si>
  <si>
    <r>
      <rPr>
        <b/>
        <sz val="10"/>
        <rFont val="宋体"/>
        <family val="3"/>
        <charset val="134"/>
      </rPr>
      <t>项目</t>
    </r>
  </si>
  <si>
    <r>
      <rPr>
        <b/>
        <sz val="10"/>
        <rFont val="宋体"/>
        <family val="3"/>
        <charset val="134"/>
      </rPr>
      <t>人数</t>
    </r>
  </si>
  <si>
    <r>
      <rPr>
        <sz val="10"/>
        <rFont val="宋体"/>
        <family val="3"/>
        <charset val="134"/>
      </rPr>
      <t>总经理、董事会秘书、内审</t>
    </r>
  </si>
  <si>
    <r>
      <rPr>
        <sz val="10"/>
        <rFont val="宋体"/>
        <family val="3"/>
        <charset val="134"/>
      </rPr>
      <t>一般经理</t>
    </r>
  </si>
  <si>
    <r>
      <rPr>
        <sz val="10"/>
        <rFont val="宋体"/>
        <family val="3"/>
        <charset val="134"/>
      </rPr>
      <t>员工</t>
    </r>
  </si>
  <si>
    <r>
      <rPr>
        <sz val="10"/>
        <rFont val="宋体"/>
        <family val="3"/>
        <charset val="134"/>
      </rPr>
      <t>合计</t>
    </r>
  </si>
  <si>
    <r>
      <rPr>
        <sz val="10"/>
        <rFont val="宋体"/>
        <family val="3"/>
        <charset val="134"/>
      </rPr>
      <t>临时工</t>
    </r>
  </si>
  <si>
    <r>
      <rPr>
        <sz val="10"/>
        <rFont val="宋体"/>
        <family val="3"/>
        <charset val="134"/>
      </rPr>
      <t>外包人员</t>
    </r>
  </si>
  <si>
    <r>
      <rPr>
        <b/>
        <sz val="12"/>
        <rFont val="宋体"/>
        <family val="3"/>
        <charset val="134"/>
      </rPr>
      <t>公司名称</t>
    </r>
  </si>
  <si>
    <t>BACK</t>
  </si>
  <si>
    <r>
      <rPr>
        <b/>
        <sz val="12"/>
        <rFont val="宋体"/>
        <family val="3"/>
        <charset val="134"/>
      </rPr>
      <t>财务期间</t>
    </r>
  </si>
  <si>
    <r>
      <rPr>
        <b/>
        <sz val="12"/>
        <rFont val="宋体"/>
        <family val="3"/>
        <charset val="134"/>
      </rPr>
      <t>内容</t>
    </r>
  </si>
  <si>
    <r>
      <rPr>
        <b/>
        <sz val="12"/>
        <rFont val="宋体"/>
        <family val="3"/>
        <charset val="134"/>
      </rPr>
      <t>主要会计政策、会计估计</t>
    </r>
    <r>
      <rPr>
        <b/>
        <sz val="12"/>
        <color indexed="12"/>
        <rFont val="宋体"/>
        <family val="3"/>
        <charset val="134"/>
      </rPr>
      <t>（根据具体情况适当增减）</t>
    </r>
  </si>
  <si>
    <r>
      <rPr>
        <sz val="10"/>
        <rFont val="宋体"/>
        <family val="3"/>
        <charset val="134"/>
      </rPr>
      <t>会计年度</t>
    </r>
  </si>
  <si>
    <t/>
  </si>
  <si>
    <r>
      <rPr>
        <sz val="10"/>
        <rFont val="宋体"/>
        <family val="3"/>
        <charset val="134"/>
      </rPr>
      <t>营业周期</t>
    </r>
  </si>
  <si>
    <r>
      <rPr>
        <sz val="10"/>
        <rFont val="宋体"/>
        <family val="3"/>
        <charset val="134"/>
      </rPr>
      <t>记账本位币</t>
    </r>
  </si>
  <si>
    <r>
      <rPr>
        <sz val="10"/>
        <rFont val="宋体"/>
        <family val="3"/>
        <charset val="134"/>
      </rPr>
      <t>同一控制下和非同一控制下企业合并的会计处理</t>
    </r>
  </si>
  <si>
    <r>
      <rPr>
        <sz val="10"/>
        <rFont val="宋体"/>
        <family val="3"/>
        <charset val="134"/>
      </rPr>
      <t>合并财务报表编制方法</t>
    </r>
  </si>
  <si>
    <r>
      <rPr>
        <sz val="10"/>
        <rFont val="宋体"/>
        <family val="3"/>
        <charset val="134"/>
      </rPr>
      <t>合营安排的分类及共同经营的会计处理</t>
    </r>
  </si>
  <si>
    <r>
      <rPr>
        <sz val="10"/>
        <rFont val="宋体"/>
        <family val="3"/>
        <charset val="134"/>
      </rPr>
      <t>现金等价物</t>
    </r>
  </si>
  <si>
    <r>
      <rPr>
        <sz val="10"/>
        <rFont val="宋体"/>
        <family val="3"/>
        <charset val="134"/>
      </rPr>
      <t>外币折算</t>
    </r>
  </si>
  <si>
    <r>
      <rPr>
        <sz val="10"/>
        <rFont val="宋体"/>
        <family val="3"/>
        <charset val="134"/>
      </rPr>
      <t>金融工具</t>
    </r>
  </si>
  <si>
    <r>
      <rPr>
        <sz val="10"/>
        <rFont val="宋体"/>
        <family val="3"/>
        <charset val="134"/>
      </rPr>
      <t>公允价值计量</t>
    </r>
  </si>
  <si>
    <t>划分为持有待售及终止经营</t>
  </si>
  <si>
    <r>
      <rPr>
        <sz val="10"/>
        <rFont val="宋体"/>
        <family val="3"/>
        <charset val="134"/>
      </rPr>
      <t>固定资产及其累计折旧</t>
    </r>
  </si>
  <si>
    <r>
      <rPr>
        <sz val="10"/>
        <rFont val="宋体"/>
        <family val="3"/>
        <charset val="134"/>
      </rPr>
      <t>在建工程</t>
    </r>
  </si>
  <si>
    <r>
      <rPr>
        <sz val="10"/>
        <rFont val="宋体"/>
        <family val="3"/>
        <charset val="134"/>
      </rPr>
      <t>借款费用</t>
    </r>
  </si>
  <si>
    <r>
      <rPr>
        <sz val="10"/>
        <rFont val="宋体"/>
        <family val="3"/>
        <charset val="134"/>
      </rPr>
      <t>生物资产</t>
    </r>
  </si>
  <si>
    <r>
      <rPr>
        <sz val="10"/>
        <rFont val="宋体"/>
        <family val="3"/>
        <charset val="134"/>
      </rPr>
      <t>研究开发支出</t>
    </r>
  </si>
  <si>
    <r>
      <rPr>
        <sz val="10"/>
        <rFont val="宋体"/>
        <family val="3"/>
        <charset val="134"/>
      </rPr>
      <t>资产减值</t>
    </r>
  </si>
  <si>
    <r>
      <rPr>
        <sz val="10"/>
        <rFont val="宋体"/>
        <family val="3"/>
        <charset val="134"/>
      </rPr>
      <t>长期待摊费用摊销方法</t>
    </r>
  </si>
  <si>
    <r>
      <rPr>
        <sz val="10"/>
        <rFont val="宋体"/>
        <family val="3"/>
        <charset val="134"/>
      </rPr>
      <t>职工薪酬</t>
    </r>
  </si>
  <si>
    <r>
      <rPr>
        <sz val="10"/>
        <rFont val="宋体"/>
        <family val="3"/>
        <charset val="134"/>
      </rPr>
      <t>优先股、永续债等其他金融工具</t>
    </r>
  </si>
  <si>
    <r>
      <rPr>
        <sz val="10"/>
        <rFont val="宋体"/>
        <family val="3"/>
        <charset val="134"/>
      </rPr>
      <t>收入的确认原则</t>
    </r>
  </si>
  <si>
    <r>
      <rPr>
        <sz val="10"/>
        <rFont val="宋体"/>
        <family val="3"/>
        <charset val="134"/>
      </rPr>
      <t>政府补助</t>
    </r>
  </si>
  <si>
    <r>
      <rPr>
        <sz val="10"/>
        <rFont val="宋体"/>
        <family val="3"/>
        <charset val="134"/>
      </rPr>
      <t>递延所得税资产及递延所得税负债</t>
    </r>
  </si>
  <si>
    <r>
      <rPr>
        <sz val="10"/>
        <rFont val="宋体"/>
        <family val="3"/>
        <charset val="134"/>
      </rPr>
      <t>租赁</t>
    </r>
  </si>
  <si>
    <r>
      <rPr>
        <sz val="10"/>
        <rFont val="宋体"/>
        <family val="3"/>
        <charset val="134"/>
      </rPr>
      <t>安全生产费用及维简费</t>
    </r>
  </si>
  <si>
    <r>
      <rPr>
        <sz val="10"/>
        <rFont val="宋体"/>
        <family val="3"/>
        <charset val="134"/>
      </rPr>
      <t>非金融资产证券化业务的主要会计处理方法</t>
    </r>
  </si>
  <si>
    <r>
      <rPr>
        <b/>
        <sz val="12"/>
        <rFont val="宋体"/>
        <family val="3"/>
        <charset val="134"/>
      </rPr>
      <t>资产负债表</t>
    </r>
  </si>
  <si>
    <r>
      <rPr>
        <sz val="10"/>
        <rFont val="宋体"/>
        <family val="3"/>
        <charset val="134"/>
      </rPr>
      <t>单位：人民币元</t>
    </r>
  </si>
  <si>
    <r>
      <rPr>
        <b/>
        <sz val="10"/>
        <rFont val="宋体"/>
        <family val="3"/>
        <charset val="134"/>
      </rPr>
      <t>附注</t>
    </r>
  </si>
  <si>
    <r>
      <rPr>
        <b/>
        <sz val="10"/>
        <rFont val="宋体"/>
        <family val="3"/>
        <charset val="134"/>
      </rPr>
      <t>流动资产</t>
    </r>
    <r>
      <rPr>
        <b/>
        <sz val="10"/>
        <rFont val="Arial Narrow"/>
        <family val="2"/>
      </rPr>
      <t>:</t>
    </r>
  </si>
  <si>
    <r>
      <rPr>
        <sz val="10"/>
        <rFont val="宋体"/>
        <family val="3"/>
        <charset val="134"/>
      </rPr>
      <t xml:space="preserve">衍生金融资产
</t>
    </r>
    <r>
      <rPr>
        <strike/>
        <sz val="10"/>
        <color rgb="FFFF0000"/>
        <rFont val="宋体"/>
        <family val="3"/>
        <charset val="134"/>
      </rPr>
      <t>（不适用的删除）</t>
    </r>
  </si>
  <si>
    <t>其他应收款</t>
  </si>
  <si>
    <r>
      <rPr>
        <sz val="10"/>
        <rFont val="宋体"/>
        <family val="3"/>
        <charset val="134"/>
      </rPr>
      <t xml:space="preserve">持有待售资产
</t>
    </r>
    <r>
      <rPr>
        <strike/>
        <sz val="10"/>
        <color rgb="FFFF0000"/>
        <rFont val="宋体"/>
        <family val="3"/>
        <charset val="134"/>
      </rPr>
      <t>（不适用的删除）</t>
    </r>
  </si>
  <si>
    <r>
      <rPr>
        <sz val="10"/>
        <rFont val="宋体"/>
        <family val="3"/>
        <charset val="134"/>
      </rPr>
      <t>一年内到期的非流动资产</t>
    </r>
  </si>
  <si>
    <r>
      <rPr>
        <b/>
        <sz val="10"/>
        <rFont val="宋体"/>
        <family val="3"/>
        <charset val="134"/>
      </rPr>
      <t>流动资产合计</t>
    </r>
  </si>
  <si>
    <r>
      <rPr>
        <b/>
        <sz val="10"/>
        <rFont val="宋体"/>
        <family val="3"/>
        <charset val="134"/>
      </rPr>
      <t>非流动资产</t>
    </r>
    <r>
      <rPr>
        <b/>
        <sz val="10"/>
        <rFont val="Arial Narrow"/>
        <family val="2"/>
      </rPr>
      <t>:</t>
    </r>
  </si>
  <si>
    <r>
      <rPr>
        <sz val="10"/>
        <rFont val="宋体"/>
        <family val="3"/>
        <charset val="134"/>
      </rPr>
      <t xml:space="preserve">设定受益计划净资产
</t>
    </r>
    <r>
      <rPr>
        <strike/>
        <sz val="10"/>
        <color rgb="FFFF0000"/>
        <rFont val="宋体"/>
        <family val="3"/>
        <charset val="134"/>
      </rPr>
      <t>（不适用的删除）</t>
    </r>
  </si>
  <si>
    <r>
      <rPr>
        <sz val="10"/>
        <rFont val="宋体"/>
        <family val="3"/>
        <charset val="134"/>
      </rPr>
      <t>固定资产</t>
    </r>
  </si>
  <si>
    <r>
      <rPr>
        <sz val="10"/>
        <rFont val="宋体"/>
        <family val="3"/>
        <charset val="134"/>
      </rPr>
      <t>油气资产</t>
    </r>
  </si>
  <si>
    <r>
      <rPr>
        <sz val="10"/>
        <rFont val="宋体"/>
        <family val="3"/>
        <charset val="134"/>
      </rPr>
      <t>递延所得税资产</t>
    </r>
  </si>
  <si>
    <r>
      <rPr>
        <b/>
        <sz val="10"/>
        <rFont val="宋体"/>
        <family val="3"/>
        <charset val="134"/>
      </rPr>
      <t>非流动资产合计</t>
    </r>
  </si>
  <si>
    <r>
      <rPr>
        <b/>
        <sz val="10"/>
        <rFont val="宋体"/>
        <family val="3"/>
        <charset val="134"/>
      </rPr>
      <t>资产总计</t>
    </r>
  </si>
  <si>
    <r>
      <rPr>
        <b/>
        <sz val="12"/>
        <rFont val="宋体"/>
        <family val="3"/>
        <charset val="134"/>
      </rPr>
      <t>资产负债表（续）</t>
    </r>
  </si>
  <si>
    <r>
      <rPr>
        <b/>
        <sz val="10"/>
        <rFont val="宋体"/>
        <family val="3"/>
        <charset val="134"/>
      </rPr>
      <t>流动负债</t>
    </r>
    <r>
      <rPr>
        <b/>
        <sz val="10"/>
        <rFont val="Arial Narrow"/>
        <family val="2"/>
      </rPr>
      <t>:</t>
    </r>
  </si>
  <si>
    <r>
      <rPr>
        <sz val="10"/>
        <rFont val="宋体"/>
        <family val="3"/>
        <charset val="134"/>
      </rPr>
      <t xml:space="preserve">衍生金融负债
</t>
    </r>
    <r>
      <rPr>
        <strike/>
        <sz val="10"/>
        <color rgb="FFFF0000"/>
        <rFont val="宋体"/>
        <family val="3"/>
        <charset val="134"/>
      </rPr>
      <t>（不适用的删除）</t>
    </r>
  </si>
  <si>
    <r>
      <rPr>
        <sz val="10"/>
        <rFont val="宋体"/>
        <family val="3"/>
        <charset val="134"/>
      </rPr>
      <t>其他应付款</t>
    </r>
  </si>
  <si>
    <r>
      <rPr>
        <sz val="10"/>
        <rFont val="宋体"/>
        <family val="3"/>
        <charset val="134"/>
      </rPr>
      <t>持有待售负债</t>
    </r>
    <r>
      <rPr>
        <strike/>
        <sz val="10"/>
        <color rgb="FFFF0000"/>
        <rFont val="宋体"/>
        <family val="3"/>
        <charset val="134"/>
      </rPr>
      <t>（不适用的删除）</t>
    </r>
  </si>
  <si>
    <r>
      <rPr>
        <b/>
        <sz val="10"/>
        <rFont val="宋体"/>
        <family val="3"/>
        <charset val="134"/>
      </rPr>
      <t>流动负债合计</t>
    </r>
  </si>
  <si>
    <r>
      <rPr>
        <b/>
        <sz val="10"/>
        <rFont val="宋体"/>
        <family val="3"/>
        <charset val="134"/>
      </rPr>
      <t>非流动负债</t>
    </r>
    <r>
      <rPr>
        <b/>
        <sz val="10"/>
        <rFont val="Arial Narrow"/>
        <family val="2"/>
      </rPr>
      <t>:</t>
    </r>
  </si>
  <si>
    <r>
      <rPr>
        <sz val="10"/>
        <rFont val="宋体"/>
        <family val="3"/>
        <charset val="134"/>
      </rPr>
      <t>其中：优先股</t>
    </r>
    <r>
      <rPr>
        <strike/>
        <sz val="10"/>
        <color rgb="FFFF0000"/>
        <rFont val="宋体"/>
        <family val="3"/>
        <charset val="134"/>
      </rPr>
      <t>（不适用的删除）</t>
    </r>
  </si>
  <si>
    <r>
      <rPr>
        <sz val="10"/>
        <rFont val="Arial Narrow"/>
        <family val="2"/>
      </rPr>
      <t xml:space="preserve"> </t>
    </r>
    <r>
      <rPr>
        <sz val="10"/>
        <rFont val="宋体"/>
        <family val="3"/>
        <charset val="134"/>
      </rPr>
      <t>永续债</t>
    </r>
    <r>
      <rPr>
        <strike/>
        <sz val="10"/>
        <color rgb="FFFF0000"/>
        <rFont val="宋体"/>
        <family val="3"/>
        <charset val="134"/>
      </rPr>
      <t>（不适用的删除）</t>
    </r>
  </si>
  <si>
    <r>
      <rPr>
        <sz val="10"/>
        <rFont val="宋体"/>
        <family val="3"/>
        <charset val="134"/>
      </rPr>
      <t>长期应付款</t>
    </r>
  </si>
  <si>
    <r>
      <rPr>
        <sz val="10"/>
        <rFont val="宋体"/>
        <family val="3"/>
        <charset val="134"/>
      </rPr>
      <t>长期应付职工薪酬</t>
    </r>
    <r>
      <rPr>
        <strike/>
        <sz val="10"/>
        <color rgb="FFFF0000"/>
        <rFont val="宋体"/>
        <family val="3"/>
        <charset val="134"/>
      </rPr>
      <t>（不适用的删除）</t>
    </r>
  </si>
  <si>
    <r>
      <rPr>
        <sz val="10"/>
        <rFont val="宋体"/>
        <family val="3"/>
        <charset val="134"/>
      </rPr>
      <t>递延所得税负债</t>
    </r>
  </si>
  <si>
    <r>
      <rPr>
        <b/>
        <sz val="10"/>
        <rFont val="宋体"/>
        <family val="3"/>
        <charset val="134"/>
      </rPr>
      <t>非流动负债合计</t>
    </r>
  </si>
  <si>
    <r>
      <rPr>
        <b/>
        <sz val="10"/>
        <rFont val="宋体"/>
        <family val="3"/>
        <charset val="134"/>
      </rPr>
      <t>负债合计</t>
    </r>
  </si>
  <si>
    <r>
      <rPr>
        <sz val="10"/>
        <rFont val="宋体"/>
        <family val="3"/>
        <charset val="134"/>
      </rPr>
      <t>其他权益工具</t>
    </r>
    <r>
      <rPr>
        <sz val="10"/>
        <color rgb="FFFF0000"/>
        <rFont val="宋体"/>
        <family val="3"/>
        <charset val="134"/>
      </rPr>
      <t>（不适用的删除）</t>
    </r>
  </si>
  <si>
    <r>
      <rPr>
        <sz val="10"/>
        <rFont val="Arial Narrow"/>
        <family val="2"/>
      </rPr>
      <t xml:space="preserve">  </t>
    </r>
    <r>
      <rPr>
        <sz val="10"/>
        <rFont val="宋体"/>
        <family val="3"/>
        <charset val="134"/>
      </rPr>
      <t>其中：优先股</t>
    </r>
  </si>
  <si>
    <r>
      <rPr>
        <sz val="10"/>
        <rFont val="Arial Narrow"/>
        <family val="2"/>
      </rPr>
      <t xml:space="preserve">        </t>
    </r>
    <r>
      <rPr>
        <sz val="10"/>
        <rFont val="宋体"/>
        <family val="3"/>
        <charset val="134"/>
      </rPr>
      <t>永续债</t>
    </r>
  </si>
  <si>
    <r>
      <rPr>
        <sz val="10"/>
        <rFont val="宋体"/>
        <family val="3"/>
        <charset val="134"/>
      </rPr>
      <t>资本公积</t>
    </r>
  </si>
  <si>
    <r>
      <rPr>
        <sz val="10"/>
        <rFont val="宋体"/>
        <family val="3"/>
        <charset val="134"/>
      </rPr>
      <t>减：库存股</t>
    </r>
  </si>
  <si>
    <r>
      <rPr>
        <sz val="10"/>
        <rFont val="宋体"/>
        <family val="3"/>
        <charset val="134"/>
      </rPr>
      <t>其他综合收益</t>
    </r>
  </si>
  <si>
    <r>
      <rPr>
        <sz val="10"/>
        <rFont val="宋体"/>
        <family val="3"/>
        <charset val="134"/>
      </rPr>
      <t>专项储备</t>
    </r>
  </si>
  <si>
    <r>
      <rPr>
        <sz val="10"/>
        <rFont val="宋体"/>
        <family val="3"/>
        <charset val="134"/>
      </rPr>
      <t>盈余公积</t>
    </r>
  </si>
  <si>
    <r>
      <rPr>
        <sz val="10"/>
        <rFont val="宋体"/>
        <family val="3"/>
        <charset val="134"/>
      </rPr>
      <t>未分配利润</t>
    </r>
  </si>
  <si>
    <r>
      <rPr>
        <sz val="10"/>
        <rFont val="宋体"/>
        <family val="3"/>
        <charset val="134"/>
      </rPr>
      <t>归属于母公司股东权益合计</t>
    </r>
  </si>
  <si>
    <r>
      <rPr>
        <sz val="10"/>
        <rFont val="宋体"/>
        <family val="3"/>
        <charset val="134"/>
      </rPr>
      <t>少数股东权益</t>
    </r>
  </si>
  <si>
    <r>
      <rPr>
        <sz val="10"/>
        <rFont val="宋体"/>
        <family val="3"/>
        <charset val="134"/>
      </rPr>
      <t>公司法定代表人：</t>
    </r>
  </si>
  <si>
    <r>
      <rPr>
        <sz val="10"/>
        <rFont val="宋体"/>
        <family val="3"/>
        <charset val="134"/>
      </rPr>
      <t>主管会计工作的公司负责人：</t>
    </r>
    <r>
      <rPr>
        <sz val="10"/>
        <rFont val="Arial Narrow"/>
        <family val="2"/>
      </rPr>
      <t xml:space="preserve">          </t>
    </r>
  </si>
  <si>
    <r>
      <rPr>
        <sz val="10"/>
        <rFont val="宋体"/>
        <family val="3"/>
        <charset val="134"/>
      </rPr>
      <t>公司会计机构负责人：</t>
    </r>
  </si>
  <si>
    <t>利润表</t>
  </si>
  <si>
    <r>
      <rPr>
        <sz val="11"/>
        <rFont val="宋体"/>
        <family val="3"/>
        <charset val="134"/>
      </rPr>
      <t>单位：人民币元</t>
    </r>
  </si>
  <si>
    <r>
      <rPr>
        <b/>
        <sz val="10"/>
        <rFont val="宋体"/>
        <family val="3"/>
        <charset val="134"/>
      </rPr>
      <t>一、营业收入</t>
    </r>
  </si>
  <si>
    <r>
      <rPr>
        <sz val="10"/>
        <rFont val="Arial Narrow"/>
        <family val="2"/>
      </rPr>
      <t xml:space="preserve">        </t>
    </r>
    <r>
      <rPr>
        <sz val="10"/>
        <rFont val="宋体"/>
        <family val="3"/>
        <charset val="134"/>
      </rPr>
      <t>减：营业成本</t>
    </r>
  </si>
  <si>
    <r>
      <rPr>
        <sz val="10"/>
        <rFont val="Arial Narrow"/>
        <family val="2"/>
      </rPr>
      <t xml:space="preserve">        </t>
    </r>
    <r>
      <rPr>
        <sz val="10"/>
        <rFont val="宋体"/>
        <family val="3"/>
        <charset val="134"/>
      </rPr>
      <t>税金及附加</t>
    </r>
  </si>
  <si>
    <r>
      <rPr>
        <sz val="10"/>
        <rFont val="Arial Narrow"/>
        <family val="2"/>
      </rPr>
      <t xml:space="preserve">        </t>
    </r>
    <r>
      <rPr>
        <sz val="10"/>
        <rFont val="宋体"/>
        <family val="3"/>
        <charset val="134"/>
      </rPr>
      <t>销售费用</t>
    </r>
  </si>
  <si>
    <r>
      <rPr>
        <sz val="10"/>
        <rFont val="Arial Narrow"/>
        <family val="2"/>
      </rPr>
      <t xml:space="preserve">        </t>
    </r>
    <r>
      <rPr>
        <sz val="10"/>
        <rFont val="宋体"/>
        <family val="3"/>
        <charset val="134"/>
      </rPr>
      <t>管理费用</t>
    </r>
  </si>
  <si>
    <t xml:space="preserve">   研发费用</t>
  </si>
  <si>
    <r>
      <rPr>
        <sz val="10"/>
        <rFont val="Arial Narrow"/>
        <family val="2"/>
      </rPr>
      <t xml:space="preserve">        </t>
    </r>
    <r>
      <rPr>
        <sz val="10"/>
        <rFont val="宋体"/>
        <family val="3"/>
        <charset val="134"/>
      </rPr>
      <t>财务费用</t>
    </r>
  </si>
  <si>
    <r>
      <rPr>
        <sz val="10"/>
        <rFont val="Arial Narrow"/>
        <family val="2"/>
      </rPr>
      <t xml:space="preserve">                              </t>
    </r>
    <r>
      <rPr>
        <sz val="10"/>
        <rFont val="宋体"/>
        <family val="3"/>
        <charset val="134"/>
      </rPr>
      <t>利息收入</t>
    </r>
  </si>
  <si>
    <t>加：其他收益</t>
  </si>
  <si>
    <r>
      <rPr>
        <sz val="10"/>
        <rFont val="Arial Narrow"/>
        <family val="2"/>
      </rPr>
      <t xml:space="preserve">       </t>
    </r>
    <r>
      <rPr>
        <sz val="10"/>
        <rFont val="宋体"/>
        <family val="3"/>
        <charset val="134"/>
      </rPr>
      <t>投资收益</t>
    </r>
    <r>
      <rPr>
        <sz val="10"/>
        <rFont val="Arial Narrow"/>
        <family val="2"/>
      </rPr>
      <t>(</t>
    </r>
    <r>
      <rPr>
        <sz val="10"/>
        <rFont val="宋体"/>
        <family val="3"/>
        <charset val="134"/>
      </rPr>
      <t>损失以</t>
    </r>
    <r>
      <rPr>
        <sz val="10"/>
        <rFont val="Arial Narrow"/>
        <family val="2"/>
      </rPr>
      <t>“-”</t>
    </r>
    <r>
      <rPr>
        <sz val="10"/>
        <rFont val="宋体"/>
        <family val="3"/>
        <charset val="134"/>
      </rPr>
      <t>号填列）</t>
    </r>
  </si>
  <si>
    <t>　　 其中：对联营企业和合营企业的投资收益</t>
  </si>
  <si>
    <r>
      <rPr>
        <sz val="10"/>
        <rFont val="Arial Narrow"/>
        <family val="2"/>
      </rPr>
      <t xml:space="preserve">    </t>
    </r>
    <r>
      <rPr>
        <sz val="10"/>
        <rFont val="宋体"/>
        <family val="3"/>
        <charset val="134"/>
      </rPr>
      <t>加：营业外收入</t>
    </r>
  </si>
  <si>
    <r>
      <rPr>
        <sz val="10"/>
        <rFont val="Arial Narrow"/>
        <family val="2"/>
      </rPr>
      <t xml:space="preserve">    </t>
    </r>
    <r>
      <rPr>
        <sz val="10"/>
        <rFont val="宋体"/>
        <family val="3"/>
        <charset val="134"/>
      </rPr>
      <t>减：营业外支出</t>
    </r>
  </si>
  <si>
    <r>
      <rPr>
        <sz val="10"/>
        <rFont val="Arial Narrow"/>
        <family val="2"/>
      </rPr>
      <t xml:space="preserve">    </t>
    </r>
    <r>
      <rPr>
        <sz val="10"/>
        <rFont val="宋体"/>
        <family val="3"/>
        <charset val="134"/>
      </rPr>
      <t>减：所得税费用</t>
    </r>
  </si>
  <si>
    <t xml:space="preserve"> （一）按经营持续性分类</t>
  </si>
  <si>
    <t xml:space="preserve">   1、持续经营净利润（净亏损以“-”号填列）</t>
  </si>
  <si>
    <t xml:space="preserve">   2、终止经营净利润（净亏损以“-”号填列）</t>
  </si>
  <si>
    <t xml:space="preserve"> （二）按所有权归属分类</t>
  </si>
  <si>
    <t xml:space="preserve">   1、归属于母公司股东的净利润</t>
  </si>
  <si>
    <t xml:space="preserve">   2、少数股东损益</t>
  </si>
  <si>
    <r>
      <rPr>
        <b/>
        <sz val="10"/>
        <rFont val="宋体"/>
        <family val="3"/>
        <charset val="134"/>
      </rPr>
      <t>五、其他综合收益的税后净额</t>
    </r>
  </si>
  <si>
    <r>
      <rPr>
        <sz val="10"/>
        <rFont val="Arial Narrow"/>
        <family val="2"/>
      </rPr>
      <t xml:space="preserve">    </t>
    </r>
    <r>
      <rPr>
        <sz val="10"/>
        <rFont val="宋体"/>
        <family val="3"/>
        <charset val="134"/>
      </rPr>
      <t>归属于母公司股东的其他综合收益的税后净额</t>
    </r>
  </si>
  <si>
    <r>
      <rPr>
        <sz val="10"/>
        <rFont val="宋体"/>
        <family val="3"/>
        <charset val="134"/>
      </rPr>
      <t>（一）以后不能重分类进损益的其他综合收益</t>
    </r>
  </si>
  <si>
    <r>
      <rPr>
        <sz val="10"/>
        <rFont val="Arial Narrow"/>
        <family val="2"/>
      </rPr>
      <t>1</t>
    </r>
    <r>
      <rPr>
        <sz val="10"/>
        <rFont val="宋体"/>
        <family val="3"/>
        <charset val="134"/>
      </rPr>
      <t>、重新计量设定受益计划变动额</t>
    </r>
    <r>
      <rPr>
        <strike/>
        <sz val="10"/>
        <color rgb="FFFF0000"/>
        <rFont val="宋体"/>
        <family val="3"/>
        <charset val="134"/>
      </rPr>
      <t>（不适用的删除）</t>
    </r>
  </si>
  <si>
    <r>
      <rPr>
        <sz val="10"/>
        <rFont val="Arial Narrow"/>
        <family val="2"/>
      </rPr>
      <t>2</t>
    </r>
    <r>
      <rPr>
        <sz val="10"/>
        <rFont val="宋体"/>
        <family val="3"/>
        <charset val="134"/>
      </rPr>
      <t>、权益法下不能转损益的其他综合收益</t>
    </r>
    <r>
      <rPr>
        <strike/>
        <sz val="10"/>
        <color rgb="FFFF0000"/>
        <rFont val="宋体"/>
        <family val="3"/>
        <charset val="134"/>
      </rPr>
      <t>（不适用的删除）</t>
    </r>
  </si>
  <si>
    <r>
      <rPr>
        <sz val="10"/>
        <rFont val="宋体"/>
        <family val="3"/>
        <charset val="134"/>
      </rPr>
      <t>（二）以后将重分类进损益的其他综合收益</t>
    </r>
  </si>
  <si>
    <r>
      <rPr>
        <sz val="10"/>
        <rFont val="Arial Narrow"/>
        <family val="2"/>
      </rPr>
      <t xml:space="preserve">    </t>
    </r>
    <r>
      <rPr>
        <sz val="10"/>
        <rFont val="宋体"/>
        <family val="3"/>
        <charset val="134"/>
      </rPr>
      <t>归属于少数股东的其他综合收益的税后净额</t>
    </r>
  </si>
  <si>
    <r>
      <rPr>
        <b/>
        <sz val="10"/>
        <rFont val="宋体"/>
        <family val="3"/>
        <charset val="134"/>
      </rPr>
      <t>六、综合收益总额</t>
    </r>
  </si>
  <si>
    <r>
      <rPr>
        <sz val="10"/>
        <rFont val="Arial Narrow"/>
        <family val="2"/>
      </rPr>
      <t xml:space="preserve">    </t>
    </r>
    <r>
      <rPr>
        <sz val="10"/>
        <rFont val="宋体"/>
        <family val="3"/>
        <charset val="134"/>
      </rPr>
      <t>归属于母公司股东的综合收益总额</t>
    </r>
  </si>
  <si>
    <r>
      <rPr>
        <sz val="10"/>
        <rFont val="Arial Narrow"/>
        <family val="2"/>
      </rPr>
      <t xml:space="preserve">    </t>
    </r>
    <r>
      <rPr>
        <sz val="10"/>
        <rFont val="宋体"/>
        <family val="3"/>
        <charset val="134"/>
      </rPr>
      <t>归属于少数股东的综合收益总额</t>
    </r>
  </si>
  <si>
    <r>
      <rPr>
        <b/>
        <sz val="10"/>
        <rFont val="宋体"/>
        <family val="3"/>
        <charset val="134"/>
      </rPr>
      <t>七、每股收益</t>
    </r>
  </si>
  <si>
    <r>
      <rPr>
        <sz val="10"/>
        <rFont val="Arial Narrow"/>
        <family val="2"/>
      </rPr>
      <t xml:space="preserve">   </t>
    </r>
    <r>
      <rPr>
        <sz val="10"/>
        <rFont val="宋体"/>
        <family val="3"/>
        <charset val="134"/>
      </rPr>
      <t>（一）基本每股收益</t>
    </r>
  </si>
  <si>
    <r>
      <rPr>
        <sz val="10"/>
        <rFont val="Arial Narrow"/>
        <family val="2"/>
      </rPr>
      <t xml:space="preserve">   </t>
    </r>
    <r>
      <rPr>
        <sz val="10"/>
        <rFont val="宋体"/>
        <family val="3"/>
        <charset val="134"/>
      </rPr>
      <t>（二）稀释每股收益</t>
    </r>
  </si>
  <si>
    <r>
      <rPr>
        <sz val="10"/>
        <rFont val="宋体"/>
        <family val="3"/>
        <charset val="134"/>
      </rPr>
      <t>公司法定代表人：</t>
    </r>
    <r>
      <rPr>
        <sz val="10"/>
        <rFont val="Arial Narrow"/>
        <family val="2"/>
      </rPr>
      <t xml:space="preserve">          </t>
    </r>
    <r>
      <rPr>
        <sz val="10"/>
        <rFont val="宋体"/>
        <family val="3"/>
        <charset val="134"/>
      </rPr>
      <t>主管会计工作的公司负责人：</t>
    </r>
  </si>
  <si>
    <r>
      <rPr>
        <sz val="10"/>
        <rFont val="Arial Narrow"/>
        <family val="2"/>
      </rPr>
      <t xml:space="preserve">                 </t>
    </r>
    <r>
      <rPr>
        <sz val="10"/>
        <rFont val="宋体"/>
        <family val="3"/>
        <charset val="134"/>
      </rPr>
      <t>公司会计机构负责人：</t>
    </r>
  </si>
  <si>
    <r>
      <rPr>
        <b/>
        <sz val="12"/>
        <rFont val="宋体"/>
        <family val="3"/>
        <charset val="134"/>
      </rPr>
      <t>现金流量表</t>
    </r>
  </si>
  <si>
    <t>单位：人民币元</t>
  </si>
  <si>
    <r>
      <rPr>
        <b/>
        <sz val="10"/>
        <rFont val="Arial Narrow"/>
        <family val="2"/>
      </rPr>
      <t>20X3</t>
    </r>
    <r>
      <rPr>
        <b/>
        <sz val="10"/>
        <rFont val="宋体"/>
        <family val="3"/>
        <charset val="134"/>
      </rPr>
      <t>年度</t>
    </r>
  </si>
  <si>
    <r>
      <rPr>
        <b/>
        <sz val="10"/>
        <rFont val="宋体"/>
        <family val="3"/>
        <charset val="134"/>
      </rPr>
      <t>一、经营活动产生的现金流量：</t>
    </r>
  </si>
  <si>
    <r>
      <rPr>
        <sz val="10"/>
        <rFont val="Arial Narrow"/>
        <family val="2"/>
      </rPr>
      <t xml:space="preserve">    </t>
    </r>
    <r>
      <rPr>
        <sz val="10"/>
        <rFont val="宋体"/>
        <family val="3"/>
        <charset val="134"/>
      </rPr>
      <t>销售商品、提供劳务收到的现金</t>
    </r>
  </si>
  <si>
    <r>
      <rPr>
        <sz val="10"/>
        <rFont val="Arial Narrow"/>
        <family val="2"/>
      </rPr>
      <t xml:space="preserve">    </t>
    </r>
    <r>
      <rPr>
        <sz val="10"/>
        <rFont val="宋体"/>
        <family val="3"/>
        <charset val="134"/>
      </rPr>
      <t>收到的税费返还</t>
    </r>
  </si>
  <si>
    <r>
      <rPr>
        <sz val="10"/>
        <rFont val="Arial Narrow"/>
        <family val="2"/>
      </rPr>
      <t xml:space="preserve">    </t>
    </r>
    <r>
      <rPr>
        <sz val="10"/>
        <rFont val="宋体"/>
        <family val="3"/>
        <charset val="134"/>
      </rPr>
      <t>收到其他与经营活动有关的现金</t>
    </r>
  </si>
  <si>
    <r>
      <rPr>
        <sz val="10"/>
        <rFont val="Arial Narrow"/>
        <family val="2"/>
      </rPr>
      <t xml:space="preserve">      </t>
    </r>
    <r>
      <rPr>
        <sz val="10"/>
        <rFont val="宋体"/>
        <family val="3"/>
        <charset val="134"/>
      </rPr>
      <t>经营活动现金流入小计</t>
    </r>
  </si>
  <si>
    <r>
      <rPr>
        <sz val="10"/>
        <rFont val="Arial Narrow"/>
        <family val="2"/>
      </rPr>
      <t xml:space="preserve">    </t>
    </r>
    <r>
      <rPr>
        <sz val="10"/>
        <rFont val="宋体"/>
        <family val="3"/>
        <charset val="134"/>
      </rPr>
      <t>购买商品、接受劳务支付的现金</t>
    </r>
  </si>
  <si>
    <r>
      <rPr>
        <sz val="10"/>
        <rFont val="Arial Narrow"/>
        <family val="2"/>
      </rPr>
      <t xml:space="preserve">    </t>
    </r>
    <r>
      <rPr>
        <sz val="10"/>
        <rFont val="宋体"/>
        <family val="3"/>
        <charset val="134"/>
      </rPr>
      <t>支付给职工以及为职工支付的现金</t>
    </r>
  </si>
  <si>
    <r>
      <rPr>
        <sz val="10"/>
        <rFont val="Arial Narrow"/>
        <family val="2"/>
      </rPr>
      <t xml:space="preserve">    </t>
    </r>
    <r>
      <rPr>
        <sz val="10"/>
        <rFont val="宋体"/>
        <family val="3"/>
        <charset val="134"/>
      </rPr>
      <t>支付的各项税费</t>
    </r>
  </si>
  <si>
    <r>
      <rPr>
        <sz val="10"/>
        <rFont val="Arial Narrow"/>
        <family val="2"/>
      </rPr>
      <t xml:space="preserve">    </t>
    </r>
    <r>
      <rPr>
        <sz val="10"/>
        <rFont val="宋体"/>
        <family val="3"/>
        <charset val="134"/>
      </rPr>
      <t>支付其他与经营活动有关的现金</t>
    </r>
  </si>
  <si>
    <r>
      <rPr>
        <sz val="10"/>
        <rFont val="Arial Narrow"/>
        <family val="2"/>
      </rPr>
      <t xml:space="preserve">      </t>
    </r>
    <r>
      <rPr>
        <sz val="10"/>
        <rFont val="宋体"/>
        <family val="3"/>
        <charset val="134"/>
      </rPr>
      <t>经营活动现金流出小计</t>
    </r>
  </si>
  <si>
    <r>
      <rPr>
        <b/>
        <sz val="10"/>
        <rFont val="Arial Narrow"/>
        <family val="2"/>
      </rPr>
      <t xml:space="preserve">       </t>
    </r>
    <r>
      <rPr>
        <b/>
        <sz val="10"/>
        <rFont val="宋体"/>
        <family val="3"/>
        <charset val="134"/>
      </rPr>
      <t>经营活动产生的现金流量净额</t>
    </r>
  </si>
  <si>
    <r>
      <rPr>
        <b/>
        <sz val="10"/>
        <rFont val="宋体"/>
        <family val="3"/>
        <charset val="134"/>
      </rPr>
      <t>二、投资活动产生的现金流量：</t>
    </r>
  </si>
  <si>
    <r>
      <rPr>
        <sz val="10"/>
        <rFont val="Arial Narrow"/>
        <family val="2"/>
      </rPr>
      <t xml:space="preserve">    </t>
    </r>
    <r>
      <rPr>
        <sz val="10"/>
        <rFont val="宋体"/>
        <family val="3"/>
        <charset val="134"/>
      </rPr>
      <t>收回投资收到的现金</t>
    </r>
  </si>
  <si>
    <r>
      <rPr>
        <sz val="10"/>
        <rFont val="Arial Narrow"/>
        <family val="2"/>
      </rPr>
      <t xml:space="preserve">    </t>
    </r>
    <r>
      <rPr>
        <sz val="10"/>
        <rFont val="宋体"/>
        <family val="3"/>
        <charset val="134"/>
      </rPr>
      <t>取得投资收益收到的现金</t>
    </r>
  </si>
  <si>
    <r>
      <rPr>
        <sz val="10"/>
        <rFont val="Arial Narrow"/>
        <family val="2"/>
      </rPr>
      <t xml:space="preserve">    </t>
    </r>
    <r>
      <rPr>
        <sz val="10"/>
        <rFont val="宋体"/>
        <family val="3"/>
        <charset val="134"/>
      </rPr>
      <t xml:space="preserve">处置固定资产、无形资产和其他长期资产收回的
</t>
    </r>
    <r>
      <rPr>
        <sz val="10"/>
        <rFont val="Arial Narrow"/>
        <family val="2"/>
      </rPr>
      <t xml:space="preserve">    </t>
    </r>
    <r>
      <rPr>
        <sz val="10"/>
        <rFont val="宋体"/>
        <family val="3"/>
        <charset val="134"/>
      </rPr>
      <t>现金净额</t>
    </r>
  </si>
  <si>
    <r>
      <rPr>
        <sz val="10"/>
        <rFont val="Arial Narrow"/>
        <family val="2"/>
      </rPr>
      <t xml:space="preserve">    </t>
    </r>
    <r>
      <rPr>
        <sz val="10"/>
        <rFont val="宋体"/>
        <family val="3"/>
        <charset val="134"/>
      </rPr>
      <t>处置子公司及其他营业单位收到的现金净额</t>
    </r>
  </si>
  <si>
    <r>
      <rPr>
        <sz val="10"/>
        <rFont val="Arial Narrow"/>
        <family val="2"/>
      </rPr>
      <t xml:space="preserve">    </t>
    </r>
    <r>
      <rPr>
        <sz val="10"/>
        <rFont val="宋体"/>
        <family val="3"/>
        <charset val="134"/>
      </rPr>
      <t>收到其他与投资活动有关的现金</t>
    </r>
  </si>
  <si>
    <r>
      <rPr>
        <sz val="10"/>
        <rFont val="Arial Narrow"/>
        <family val="2"/>
      </rPr>
      <t xml:space="preserve">      </t>
    </r>
    <r>
      <rPr>
        <sz val="10"/>
        <rFont val="宋体"/>
        <family val="3"/>
        <charset val="134"/>
      </rPr>
      <t>投资活动现金流入小计</t>
    </r>
  </si>
  <si>
    <r>
      <rPr>
        <sz val="10"/>
        <rFont val="Arial Narrow"/>
        <family val="2"/>
      </rPr>
      <t xml:space="preserve">     </t>
    </r>
    <r>
      <rPr>
        <sz val="10"/>
        <rFont val="宋体"/>
        <family val="3"/>
        <charset val="134"/>
      </rPr>
      <t>购置固定资产、无形资产和其他长期资产支付的现金</t>
    </r>
    <r>
      <rPr>
        <sz val="10"/>
        <rFont val="Arial Narrow"/>
        <family val="2"/>
      </rPr>
      <t xml:space="preserve"> </t>
    </r>
  </si>
  <si>
    <r>
      <rPr>
        <sz val="10"/>
        <rFont val="Arial Narrow"/>
        <family val="2"/>
      </rPr>
      <t xml:space="preserve">    </t>
    </r>
    <r>
      <rPr>
        <sz val="10"/>
        <rFont val="宋体"/>
        <family val="3"/>
        <charset val="134"/>
      </rPr>
      <t>投资支付的现金</t>
    </r>
  </si>
  <si>
    <r>
      <rPr>
        <sz val="10"/>
        <rFont val="Arial Narrow"/>
        <family val="2"/>
      </rPr>
      <t xml:space="preserve">    </t>
    </r>
    <r>
      <rPr>
        <sz val="10"/>
        <rFont val="宋体"/>
        <family val="3"/>
        <charset val="134"/>
      </rPr>
      <t>取得子公司及其他营业单位支付的现金净额</t>
    </r>
  </si>
  <si>
    <r>
      <rPr>
        <sz val="10"/>
        <rFont val="Arial Narrow"/>
        <family val="2"/>
      </rPr>
      <t xml:space="preserve">    </t>
    </r>
    <r>
      <rPr>
        <sz val="10"/>
        <rFont val="宋体"/>
        <family val="3"/>
        <charset val="134"/>
      </rPr>
      <t>支付其他与投资活动有关的现金</t>
    </r>
  </si>
  <si>
    <r>
      <rPr>
        <sz val="10"/>
        <rFont val="Arial Narrow"/>
        <family val="2"/>
      </rPr>
      <t xml:space="preserve">      </t>
    </r>
    <r>
      <rPr>
        <sz val="10"/>
        <rFont val="宋体"/>
        <family val="3"/>
        <charset val="134"/>
      </rPr>
      <t>投资活动现金流出小计</t>
    </r>
  </si>
  <si>
    <r>
      <rPr>
        <b/>
        <sz val="10"/>
        <rFont val="Arial Narrow"/>
        <family val="2"/>
      </rPr>
      <t xml:space="preserve">       </t>
    </r>
    <r>
      <rPr>
        <b/>
        <sz val="10"/>
        <rFont val="宋体"/>
        <family val="3"/>
        <charset val="134"/>
      </rPr>
      <t>投资活动产生的现金流量净额</t>
    </r>
  </si>
  <si>
    <r>
      <rPr>
        <b/>
        <sz val="10"/>
        <rFont val="宋体"/>
        <family val="3"/>
        <charset val="134"/>
      </rPr>
      <t>三、筹资活动产生的现金流量：</t>
    </r>
  </si>
  <si>
    <r>
      <rPr>
        <sz val="10"/>
        <rFont val="Arial Narrow"/>
        <family val="2"/>
      </rPr>
      <t xml:space="preserve">    </t>
    </r>
    <r>
      <rPr>
        <sz val="10"/>
        <rFont val="宋体"/>
        <family val="3"/>
        <charset val="134"/>
      </rPr>
      <t>吸收投资收到的现金</t>
    </r>
  </si>
  <si>
    <r>
      <rPr>
        <sz val="10"/>
        <rFont val="Arial Narrow"/>
        <family val="2"/>
      </rPr>
      <t xml:space="preserve">      </t>
    </r>
    <r>
      <rPr>
        <sz val="10"/>
        <rFont val="宋体"/>
        <family val="3"/>
        <charset val="134"/>
      </rPr>
      <t>其中：子公司吸收少数股东权益性投资收到的现金</t>
    </r>
  </si>
  <si>
    <r>
      <rPr>
        <sz val="10"/>
        <rFont val="Arial Narrow"/>
        <family val="2"/>
      </rPr>
      <t xml:space="preserve">    </t>
    </r>
    <r>
      <rPr>
        <sz val="10"/>
        <rFont val="宋体"/>
        <family val="3"/>
        <charset val="134"/>
      </rPr>
      <t>取得借款收到的现金</t>
    </r>
  </si>
  <si>
    <r>
      <rPr>
        <sz val="10"/>
        <rFont val="Arial Narrow"/>
        <family val="2"/>
      </rPr>
      <t xml:space="preserve">    </t>
    </r>
    <r>
      <rPr>
        <sz val="10"/>
        <rFont val="宋体"/>
        <family val="3"/>
        <charset val="134"/>
      </rPr>
      <t>收到其他与筹资活动有关的现金</t>
    </r>
  </si>
  <si>
    <r>
      <rPr>
        <sz val="10"/>
        <rFont val="Arial Narrow"/>
        <family val="2"/>
      </rPr>
      <t xml:space="preserve">      </t>
    </r>
    <r>
      <rPr>
        <sz val="10"/>
        <rFont val="宋体"/>
        <family val="3"/>
        <charset val="134"/>
      </rPr>
      <t>筹资活动现金流入小计</t>
    </r>
  </si>
  <si>
    <r>
      <rPr>
        <sz val="10"/>
        <rFont val="Arial Narrow"/>
        <family val="2"/>
      </rPr>
      <t xml:space="preserve">    </t>
    </r>
    <r>
      <rPr>
        <sz val="10"/>
        <rFont val="宋体"/>
        <family val="3"/>
        <charset val="134"/>
      </rPr>
      <t>偿还债务支付的现金</t>
    </r>
  </si>
  <si>
    <r>
      <rPr>
        <sz val="10"/>
        <rFont val="Arial Narrow"/>
        <family val="2"/>
      </rPr>
      <t xml:space="preserve">    </t>
    </r>
    <r>
      <rPr>
        <sz val="10"/>
        <rFont val="宋体"/>
        <family val="3"/>
        <charset val="134"/>
      </rPr>
      <t>分配股利、利润或偿付利息支付的现金</t>
    </r>
  </si>
  <si>
    <r>
      <rPr>
        <sz val="10"/>
        <rFont val="Arial Narrow"/>
        <family val="2"/>
      </rPr>
      <t xml:space="preserve">      </t>
    </r>
    <r>
      <rPr>
        <sz val="10"/>
        <rFont val="宋体"/>
        <family val="3"/>
        <charset val="134"/>
      </rPr>
      <t>其中：子公司支付少数股东的现金股利</t>
    </r>
  </si>
  <si>
    <r>
      <rPr>
        <sz val="10"/>
        <rFont val="Arial Narrow"/>
        <family val="2"/>
      </rPr>
      <t xml:space="preserve">    </t>
    </r>
    <r>
      <rPr>
        <sz val="10"/>
        <rFont val="宋体"/>
        <family val="3"/>
        <charset val="134"/>
      </rPr>
      <t>支付其他与筹资活动有关的现金</t>
    </r>
  </si>
  <si>
    <r>
      <rPr>
        <sz val="10"/>
        <rFont val="Arial Narrow"/>
        <family val="2"/>
      </rPr>
      <t xml:space="preserve">      </t>
    </r>
    <r>
      <rPr>
        <sz val="10"/>
        <rFont val="宋体"/>
        <family val="3"/>
        <charset val="134"/>
      </rPr>
      <t>其中：子公司减资支付给少数股东的现金</t>
    </r>
  </si>
  <si>
    <r>
      <rPr>
        <sz val="10"/>
        <rFont val="Arial Narrow"/>
        <family val="2"/>
      </rPr>
      <t xml:space="preserve">      </t>
    </r>
    <r>
      <rPr>
        <sz val="10"/>
        <rFont val="宋体"/>
        <family val="3"/>
        <charset val="134"/>
      </rPr>
      <t>筹资活动现金流出小计</t>
    </r>
  </si>
  <si>
    <r>
      <rPr>
        <b/>
        <sz val="10"/>
        <rFont val="Arial Narrow"/>
        <family val="2"/>
      </rPr>
      <t xml:space="preserve">       </t>
    </r>
    <r>
      <rPr>
        <b/>
        <sz val="10"/>
        <rFont val="宋体"/>
        <family val="3"/>
        <charset val="134"/>
      </rPr>
      <t>筹资活动产生的现金流量净额</t>
    </r>
  </si>
  <si>
    <r>
      <rPr>
        <b/>
        <sz val="10"/>
        <rFont val="宋体"/>
        <family val="3"/>
        <charset val="134"/>
      </rPr>
      <t>四、汇率变动对现金及现金等价物的影响</t>
    </r>
  </si>
  <si>
    <r>
      <rPr>
        <b/>
        <sz val="10"/>
        <rFont val="宋体"/>
        <family val="3"/>
        <charset val="134"/>
      </rPr>
      <t>五、现金及现金等价物净增加额</t>
    </r>
  </si>
  <si>
    <r>
      <rPr>
        <sz val="10"/>
        <rFont val="Arial Narrow"/>
        <family val="2"/>
      </rPr>
      <t xml:space="preserve">    </t>
    </r>
    <r>
      <rPr>
        <sz val="10"/>
        <rFont val="宋体"/>
        <family val="3"/>
        <charset val="134"/>
      </rPr>
      <t>加：期初现金及现金等价物余额</t>
    </r>
  </si>
  <si>
    <r>
      <rPr>
        <b/>
        <sz val="10"/>
        <rFont val="宋体"/>
        <family val="3"/>
        <charset val="134"/>
      </rPr>
      <t>六、期末现金及现金等价物余额</t>
    </r>
  </si>
  <si>
    <r>
      <rPr>
        <sz val="10"/>
        <rFont val="Arial Narrow"/>
        <family val="2"/>
      </rPr>
      <t xml:space="preserve">          </t>
    </r>
    <r>
      <rPr>
        <sz val="10"/>
        <rFont val="宋体"/>
        <family val="3"/>
        <charset val="134"/>
      </rPr>
      <t>公司会计机构负责人：</t>
    </r>
  </si>
  <si>
    <r>
      <rPr>
        <b/>
        <sz val="16"/>
        <rFont val="宋体"/>
        <family val="3"/>
        <charset val="134"/>
      </rPr>
      <t>合并股东（或所有者）权益变动表</t>
    </r>
  </si>
  <si>
    <r>
      <rPr>
        <sz val="12"/>
        <rFont val="宋体"/>
        <family val="3"/>
        <charset val="134"/>
      </rPr>
      <t>单位：人民币元</t>
    </r>
  </si>
  <si>
    <r>
      <rPr>
        <b/>
        <sz val="12"/>
        <rFont val="宋体"/>
        <family val="3"/>
        <charset val="134"/>
      </rPr>
      <t>项</t>
    </r>
    <r>
      <rPr>
        <b/>
        <sz val="12"/>
        <rFont val="Arial Narrow"/>
        <family val="2"/>
      </rPr>
      <t xml:space="preserve">  </t>
    </r>
    <r>
      <rPr>
        <b/>
        <sz val="12"/>
        <rFont val="宋体"/>
        <family val="3"/>
        <charset val="134"/>
      </rPr>
      <t>目</t>
    </r>
  </si>
  <si>
    <r>
      <rPr>
        <b/>
        <sz val="12"/>
        <rFont val="宋体"/>
        <family val="3"/>
        <charset val="134"/>
      </rPr>
      <t>归属于母公司股东权益</t>
    </r>
  </si>
  <si>
    <r>
      <rPr>
        <b/>
        <sz val="12"/>
        <rFont val="宋体"/>
        <family val="3"/>
        <charset val="134"/>
      </rPr>
      <t>少数股东
权益</t>
    </r>
  </si>
  <si>
    <r>
      <rPr>
        <b/>
        <sz val="12"/>
        <rFont val="宋体"/>
        <family val="3"/>
        <charset val="134"/>
      </rPr>
      <t>股东（或所有者）权益
合计</t>
    </r>
  </si>
  <si>
    <r>
      <rPr>
        <b/>
        <sz val="12"/>
        <rFont val="宋体"/>
        <family val="3"/>
        <charset val="134"/>
      </rPr>
      <t>股本</t>
    </r>
  </si>
  <si>
    <r>
      <rPr>
        <b/>
        <sz val="12"/>
        <rFont val="宋体"/>
        <family val="3"/>
        <charset val="134"/>
      </rPr>
      <t>其他权益工具</t>
    </r>
    <r>
      <rPr>
        <b/>
        <strike/>
        <sz val="12"/>
        <color rgb="FFFF0000"/>
        <rFont val="宋体"/>
        <family val="3"/>
        <charset val="134"/>
      </rPr>
      <t>（不适用的删除）</t>
    </r>
  </si>
  <si>
    <r>
      <rPr>
        <b/>
        <sz val="12"/>
        <rFont val="宋体"/>
        <family val="3"/>
        <charset val="134"/>
      </rPr>
      <t>资本公积</t>
    </r>
  </si>
  <si>
    <r>
      <rPr>
        <b/>
        <sz val="12"/>
        <rFont val="宋体"/>
        <family val="3"/>
        <charset val="134"/>
      </rPr>
      <t>减：库存股</t>
    </r>
  </si>
  <si>
    <r>
      <rPr>
        <b/>
        <sz val="12"/>
        <rFont val="宋体"/>
        <family val="3"/>
        <charset val="134"/>
      </rPr>
      <t>其他综合收益</t>
    </r>
  </si>
  <si>
    <r>
      <rPr>
        <b/>
        <sz val="12"/>
        <rFont val="宋体"/>
        <family val="3"/>
        <charset val="134"/>
      </rPr>
      <t>专项储备</t>
    </r>
  </si>
  <si>
    <r>
      <rPr>
        <b/>
        <sz val="12"/>
        <rFont val="宋体"/>
        <family val="3"/>
        <charset val="134"/>
      </rPr>
      <t>盈余公积</t>
    </r>
  </si>
  <si>
    <r>
      <rPr>
        <b/>
        <sz val="12"/>
        <rFont val="宋体"/>
        <family val="3"/>
        <charset val="134"/>
      </rPr>
      <t>未分配利润</t>
    </r>
  </si>
  <si>
    <r>
      <rPr>
        <b/>
        <sz val="12"/>
        <rFont val="宋体"/>
        <family val="3"/>
        <charset val="134"/>
      </rPr>
      <t>其他</t>
    </r>
  </si>
  <si>
    <r>
      <rPr>
        <b/>
        <sz val="12"/>
        <rFont val="宋体"/>
        <family val="3"/>
        <charset val="134"/>
      </rPr>
      <t>优先股</t>
    </r>
  </si>
  <si>
    <r>
      <rPr>
        <b/>
        <sz val="12"/>
        <rFont val="宋体"/>
        <family val="3"/>
        <charset val="134"/>
      </rPr>
      <t>永续债</t>
    </r>
  </si>
  <si>
    <r>
      <rPr>
        <b/>
        <sz val="12"/>
        <rFont val="宋体"/>
        <family val="3"/>
        <charset val="134"/>
      </rPr>
      <t>一、上年年末余额</t>
    </r>
  </si>
  <si>
    <r>
      <rPr>
        <sz val="12"/>
        <rFont val="Arial Narrow"/>
        <family val="2"/>
      </rPr>
      <t xml:space="preserve">  </t>
    </r>
    <r>
      <rPr>
        <sz val="12"/>
        <rFont val="宋体"/>
        <family val="3"/>
        <charset val="134"/>
      </rPr>
      <t>加：会计政策变更</t>
    </r>
  </si>
  <si>
    <t>——</t>
  </si>
  <si>
    <r>
      <rPr>
        <sz val="12"/>
        <rFont val="Arial Narrow"/>
        <family val="2"/>
      </rPr>
      <t xml:space="preserve">      </t>
    </r>
    <r>
      <rPr>
        <sz val="12"/>
        <rFont val="宋体"/>
        <family val="3"/>
        <charset val="134"/>
      </rPr>
      <t>前期差错更正</t>
    </r>
  </si>
  <si>
    <r>
      <rPr>
        <sz val="12"/>
        <rFont val="Arial Narrow"/>
        <family val="2"/>
      </rPr>
      <t xml:space="preserve">      </t>
    </r>
    <r>
      <rPr>
        <sz val="12"/>
        <rFont val="宋体"/>
        <family val="3"/>
        <charset val="134"/>
      </rPr>
      <t>其他</t>
    </r>
  </si>
  <si>
    <r>
      <rPr>
        <b/>
        <sz val="12"/>
        <rFont val="宋体"/>
        <family val="3"/>
        <charset val="134"/>
      </rPr>
      <t>二、本年年初余额</t>
    </r>
  </si>
  <si>
    <r>
      <rPr>
        <b/>
        <sz val="12"/>
        <rFont val="宋体"/>
        <family val="3"/>
        <charset val="134"/>
      </rPr>
      <t>三、本年增减变动金额（减少以</t>
    </r>
    <r>
      <rPr>
        <b/>
        <sz val="12"/>
        <rFont val="Arial Narrow"/>
        <family val="2"/>
      </rPr>
      <t>“-”</t>
    </r>
    <r>
      <rPr>
        <b/>
        <sz val="12"/>
        <rFont val="宋体"/>
        <family val="3"/>
        <charset val="134"/>
      </rPr>
      <t>号填列）</t>
    </r>
  </si>
  <si>
    <r>
      <rPr>
        <sz val="12"/>
        <rFont val="宋体"/>
        <family val="3"/>
        <charset val="134"/>
      </rPr>
      <t>（一）综合收益总额</t>
    </r>
  </si>
  <si>
    <r>
      <rPr>
        <sz val="12"/>
        <rFont val="宋体"/>
        <family val="3"/>
        <charset val="134"/>
      </rPr>
      <t>（二）股东（或所有者）投入和减少资本</t>
    </r>
  </si>
  <si>
    <r>
      <rPr>
        <sz val="12"/>
        <rFont val="Arial Narrow"/>
        <family val="2"/>
      </rPr>
      <t xml:space="preserve"> 1</t>
    </r>
    <r>
      <rPr>
        <sz val="12"/>
        <rFont val="宋体"/>
        <family val="3"/>
        <charset val="134"/>
      </rPr>
      <t>．股东投入资本</t>
    </r>
  </si>
  <si>
    <r>
      <rPr>
        <sz val="12"/>
        <rFont val="Arial Narrow"/>
        <family val="2"/>
      </rPr>
      <t xml:space="preserve"> 2.  </t>
    </r>
    <r>
      <rPr>
        <sz val="12"/>
        <rFont val="宋体"/>
        <family val="3"/>
        <charset val="134"/>
      </rPr>
      <t>其他权益工具持有者投入资本</t>
    </r>
    <r>
      <rPr>
        <strike/>
        <sz val="12"/>
        <color rgb="FFFF0000"/>
        <rFont val="宋体"/>
        <family val="3"/>
        <charset val="134"/>
      </rPr>
      <t>（不适用的删除）</t>
    </r>
  </si>
  <si>
    <r>
      <rPr>
        <sz val="12"/>
        <rFont val="Arial Narrow"/>
        <family val="2"/>
      </rPr>
      <t xml:space="preserve"> 3</t>
    </r>
    <r>
      <rPr>
        <sz val="12"/>
        <rFont val="宋体"/>
        <family val="3"/>
        <charset val="134"/>
      </rPr>
      <t>．股份支付计入股东权益的金额</t>
    </r>
  </si>
  <si>
    <r>
      <rPr>
        <sz val="12"/>
        <rFont val="Arial Narrow"/>
        <family val="2"/>
      </rPr>
      <t xml:space="preserve"> 4</t>
    </r>
    <r>
      <rPr>
        <sz val="12"/>
        <rFont val="宋体"/>
        <family val="3"/>
        <charset val="134"/>
      </rPr>
      <t>．其他</t>
    </r>
  </si>
  <si>
    <r>
      <rPr>
        <sz val="12"/>
        <rFont val="宋体"/>
        <family val="3"/>
        <charset val="134"/>
      </rPr>
      <t>（三）利润分配</t>
    </r>
  </si>
  <si>
    <r>
      <rPr>
        <sz val="12"/>
        <rFont val="Arial Narrow"/>
        <family val="2"/>
      </rPr>
      <t xml:space="preserve"> 1</t>
    </r>
    <r>
      <rPr>
        <sz val="12"/>
        <rFont val="宋体"/>
        <family val="3"/>
        <charset val="134"/>
      </rPr>
      <t>．提取盈余公积</t>
    </r>
  </si>
  <si>
    <r>
      <rPr>
        <sz val="12"/>
        <rFont val="Arial Narrow"/>
        <family val="2"/>
      </rPr>
      <t xml:space="preserve"> 2</t>
    </r>
    <r>
      <rPr>
        <sz val="12"/>
        <rFont val="宋体"/>
        <family val="3"/>
        <charset val="134"/>
      </rPr>
      <t>．对股东（或所有者）的分配</t>
    </r>
  </si>
  <si>
    <r>
      <rPr>
        <sz val="12"/>
        <rFont val="Arial Narrow"/>
        <family val="2"/>
      </rPr>
      <t xml:space="preserve"> 3</t>
    </r>
    <r>
      <rPr>
        <sz val="12"/>
        <rFont val="宋体"/>
        <family val="3"/>
        <charset val="134"/>
      </rPr>
      <t>．其他</t>
    </r>
  </si>
  <si>
    <r>
      <rPr>
        <sz val="12"/>
        <rFont val="宋体"/>
        <family val="3"/>
        <charset val="134"/>
      </rPr>
      <t>（四）股东权益内部结转</t>
    </r>
  </si>
  <si>
    <r>
      <rPr>
        <sz val="12"/>
        <rFont val="Arial Narrow"/>
        <family val="2"/>
      </rPr>
      <t xml:space="preserve"> 1</t>
    </r>
    <r>
      <rPr>
        <sz val="12"/>
        <rFont val="宋体"/>
        <family val="3"/>
        <charset val="134"/>
      </rPr>
      <t>．资本公积转增股本（或资本）</t>
    </r>
  </si>
  <si>
    <r>
      <rPr>
        <sz val="12"/>
        <rFont val="Arial Narrow"/>
        <family val="2"/>
      </rPr>
      <t xml:space="preserve"> 2</t>
    </r>
    <r>
      <rPr>
        <sz val="12"/>
        <rFont val="宋体"/>
        <family val="3"/>
        <charset val="134"/>
      </rPr>
      <t>．盈余公积转增股本（或资本）</t>
    </r>
  </si>
  <si>
    <r>
      <rPr>
        <sz val="12"/>
        <rFont val="Arial Narrow"/>
        <family val="2"/>
      </rPr>
      <t xml:space="preserve"> 3</t>
    </r>
    <r>
      <rPr>
        <sz val="12"/>
        <rFont val="宋体"/>
        <family val="3"/>
        <charset val="134"/>
      </rPr>
      <t>．盈余公积弥补亏损</t>
    </r>
  </si>
  <si>
    <r>
      <rPr>
        <sz val="12"/>
        <rFont val="Arial Narrow"/>
        <family val="2"/>
      </rPr>
      <t xml:space="preserve"> 4.  </t>
    </r>
    <r>
      <rPr>
        <sz val="12"/>
        <rFont val="宋体"/>
        <family val="3"/>
        <charset val="134"/>
      </rPr>
      <t>设定受益计划变动额结转留存收益</t>
    </r>
    <r>
      <rPr>
        <strike/>
        <sz val="12"/>
        <color rgb="FFFF0000"/>
        <rFont val="宋体"/>
        <family val="3"/>
        <charset val="134"/>
      </rPr>
      <t>（不适用的删除）</t>
    </r>
  </si>
  <si>
    <r>
      <rPr>
        <sz val="12"/>
        <rFont val="宋体"/>
        <family val="3"/>
        <charset val="134"/>
      </rPr>
      <t>（五）专项储备</t>
    </r>
  </si>
  <si>
    <r>
      <rPr>
        <sz val="12"/>
        <rFont val="Arial Narrow"/>
        <family val="2"/>
      </rPr>
      <t xml:space="preserve"> 1</t>
    </r>
    <r>
      <rPr>
        <sz val="12"/>
        <rFont val="宋体"/>
        <family val="3"/>
        <charset val="134"/>
      </rPr>
      <t>．本期提取</t>
    </r>
  </si>
  <si>
    <r>
      <rPr>
        <sz val="12"/>
        <rFont val="Arial Narrow"/>
        <family val="2"/>
      </rPr>
      <t xml:space="preserve"> 2</t>
    </r>
    <r>
      <rPr>
        <sz val="12"/>
        <rFont val="宋体"/>
        <family val="3"/>
        <charset val="134"/>
      </rPr>
      <t>．本期使用（以负号填列）</t>
    </r>
  </si>
  <si>
    <r>
      <rPr>
        <sz val="12"/>
        <rFont val="宋体"/>
        <family val="3"/>
        <charset val="134"/>
      </rPr>
      <t>（六）其他</t>
    </r>
  </si>
  <si>
    <r>
      <rPr>
        <sz val="12"/>
        <rFont val="宋体"/>
        <family val="3"/>
        <charset val="134"/>
      </rPr>
      <t>备忘录第</t>
    </r>
    <r>
      <rPr>
        <sz val="12"/>
        <rFont val="Arial Narrow"/>
        <family val="2"/>
      </rPr>
      <t>3</t>
    </r>
    <r>
      <rPr>
        <sz val="12"/>
        <rFont val="宋体"/>
        <family val="3"/>
        <charset val="134"/>
      </rPr>
      <t>号二、</t>
    </r>
    <r>
      <rPr>
        <sz val="12"/>
        <rFont val="Arial Narrow"/>
        <family val="2"/>
      </rPr>
      <t>6</t>
    </r>
  </si>
  <si>
    <r>
      <rPr>
        <b/>
        <sz val="12"/>
        <rFont val="宋体"/>
        <family val="3"/>
        <charset val="134"/>
      </rPr>
      <t>四、本年年末余额</t>
    </r>
  </si>
  <si>
    <r>
      <rPr>
        <sz val="12"/>
        <rFont val="宋体"/>
        <family val="3"/>
        <charset val="134"/>
      </rPr>
      <t>公司法定代表人：</t>
    </r>
    <r>
      <rPr>
        <sz val="12"/>
        <rFont val="Arial Narrow"/>
        <family val="2"/>
      </rPr>
      <t xml:space="preserve">                                                                           </t>
    </r>
  </si>
  <si>
    <r>
      <rPr>
        <sz val="12"/>
        <rFont val="宋体"/>
        <family val="3"/>
        <charset val="134"/>
      </rPr>
      <t>主管会计工作的公司负责人：</t>
    </r>
    <r>
      <rPr>
        <sz val="12"/>
        <rFont val="Arial Narrow"/>
        <family val="2"/>
      </rPr>
      <t xml:space="preserve">         </t>
    </r>
  </si>
  <si>
    <r>
      <rPr>
        <sz val="12"/>
        <rFont val="宋体"/>
        <family val="3"/>
        <charset val="134"/>
      </rPr>
      <t>公司会计机构负责人：</t>
    </r>
  </si>
  <si>
    <r>
      <rPr>
        <b/>
        <sz val="12"/>
        <rFont val="宋体"/>
        <family val="3"/>
        <charset val="134"/>
      </rPr>
      <t>准则差异调整</t>
    </r>
    <r>
      <rPr>
        <b/>
        <sz val="12"/>
        <rFont val="Arial Narrow"/>
        <family val="2"/>
      </rPr>
      <t>-</t>
    </r>
    <r>
      <rPr>
        <b/>
        <sz val="12"/>
        <rFont val="宋体"/>
        <family val="3"/>
        <charset val="134"/>
      </rPr>
      <t>政策调整</t>
    </r>
  </si>
  <si>
    <r>
      <rPr>
        <b/>
        <sz val="12"/>
        <rFont val="宋体"/>
        <family val="3"/>
        <charset val="134"/>
      </rPr>
      <t>准则差异调整</t>
    </r>
    <r>
      <rPr>
        <b/>
        <sz val="12"/>
        <rFont val="Arial Narrow"/>
        <family val="2"/>
      </rPr>
      <t>-</t>
    </r>
    <r>
      <rPr>
        <b/>
        <sz val="12"/>
        <rFont val="宋体"/>
        <family val="3"/>
        <charset val="134"/>
      </rPr>
      <t>列报调整</t>
    </r>
  </si>
  <si>
    <r>
      <rPr>
        <b/>
        <sz val="12"/>
        <rFont val="宋体"/>
        <family val="3"/>
        <charset val="134"/>
      </rPr>
      <t>准则差异调节表</t>
    </r>
  </si>
  <si>
    <t>HKFRS</t>
  </si>
  <si>
    <r>
      <rPr>
        <b/>
        <sz val="10"/>
        <rFont val="宋体"/>
        <family val="3"/>
        <charset val="134"/>
      </rPr>
      <t>准则列报调整</t>
    </r>
  </si>
  <si>
    <r>
      <rPr>
        <b/>
        <sz val="10"/>
        <rFont val="宋体"/>
        <family val="3"/>
        <charset val="134"/>
      </rPr>
      <t>准则政策调整调整</t>
    </r>
  </si>
  <si>
    <t>PRC</t>
  </si>
  <si>
    <r>
      <rPr>
        <b/>
        <sz val="10"/>
        <rFont val="宋体"/>
        <family val="3"/>
        <charset val="134"/>
      </rPr>
      <t>调整事项</t>
    </r>
  </si>
  <si>
    <r>
      <rPr>
        <b/>
        <sz val="10"/>
        <rFont val="宋体"/>
        <family val="3"/>
        <charset val="134"/>
      </rPr>
      <t>一级科目</t>
    </r>
  </si>
  <si>
    <r>
      <rPr>
        <b/>
        <sz val="10"/>
        <rFont val="宋体"/>
        <family val="3"/>
        <charset val="134"/>
      </rPr>
      <t>二级科目</t>
    </r>
  </si>
  <si>
    <r>
      <rPr>
        <b/>
        <sz val="10"/>
        <rFont val="宋体"/>
        <family val="3"/>
        <charset val="134"/>
      </rPr>
      <t>借方金额</t>
    </r>
  </si>
  <si>
    <r>
      <rPr>
        <b/>
        <sz val="10"/>
        <rFont val="宋体"/>
        <family val="3"/>
        <charset val="134"/>
      </rPr>
      <t>贷方金额</t>
    </r>
  </si>
  <si>
    <r>
      <rPr>
        <b/>
        <sz val="10"/>
        <rFont val="宋体"/>
        <family val="3"/>
        <charset val="134"/>
      </rPr>
      <t>备注</t>
    </r>
  </si>
  <si>
    <r>
      <rPr>
        <b/>
        <sz val="10"/>
        <rFont val="宋体"/>
        <family val="3"/>
        <charset val="134"/>
      </rPr>
      <t>索引号</t>
    </r>
  </si>
  <si>
    <r>
      <rPr>
        <sz val="10"/>
        <color indexed="10"/>
        <rFont val="宋体"/>
        <family val="3"/>
        <charset val="134"/>
      </rPr>
      <t>应收账款净值</t>
    </r>
  </si>
  <si>
    <r>
      <rPr>
        <sz val="10"/>
        <rFont val="宋体"/>
        <family val="3"/>
        <charset val="134"/>
      </rPr>
      <t>其他应收款</t>
    </r>
  </si>
  <si>
    <r>
      <rPr>
        <sz val="10"/>
        <color indexed="10"/>
        <rFont val="宋体"/>
        <family val="3"/>
        <charset val="134"/>
      </rPr>
      <t>其他应收款净值</t>
    </r>
  </si>
  <si>
    <r>
      <rPr>
        <sz val="10"/>
        <rFont val="宋体"/>
        <family val="3"/>
        <charset val="134"/>
      </rPr>
      <t>存货净值</t>
    </r>
  </si>
  <si>
    <t>持有待售资产</t>
  </si>
  <si>
    <r>
      <rPr>
        <sz val="10"/>
        <rFont val="宋体"/>
        <family val="3"/>
        <charset val="134"/>
      </rPr>
      <t>待摊费用</t>
    </r>
  </si>
  <si>
    <r>
      <rPr>
        <sz val="10"/>
        <rFont val="宋体"/>
        <family val="3"/>
        <charset val="134"/>
      </rPr>
      <t>内部应收</t>
    </r>
  </si>
  <si>
    <r>
      <rPr>
        <sz val="10"/>
        <rFont val="宋体"/>
        <family val="3"/>
        <charset val="134"/>
      </rPr>
      <t>材料采购</t>
    </r>
  </si>
  <si>
    <r>
      <rPr>
        <sz val="10"/>
        <rFont val="宋体"/>
        <family val="3"/>
        <charset val="134"/>
      </rPr>
      <t>公司间应收</t>
    </r>
  </si>
  <si>
    <r>
      <rPr>
        <sz val="10"/>
        <rFont val="宋体"/>
        <family val="3"/>
        <charset val="134"/>
      </rPr>
      <t>应收下级单位利润</t>
    </r>
  </si>
  <si>
    <r>
      <rPr>
        <sz val="10"/>
        <rFont val="宋体"/>
        <family val="3"/>
        <charset val="134"/>
      </rPr>
      <t>应收采购款</t>
    </r>
  </si>
  <si>
    <r>
      <rPr>
        <sz val="10"/>
        <color indexed="10"/>
        <rFont val="宋体"/>
        <family val="3"/>
        <charset val="134"/>
      </rPr>
      <t>应收采购款净额</t>
    </r>
  </si>
  <si>
    <r>
      <rPr>
        <sz val="10"/>
        <rFont val="宋体"/>
        <family val="3"/>
        <charset val="134"/>
      </rPr>
      <t>空行</t>
    </r>
  </si>
  <si>
    <r>
      <rPr>
        <sz val="10"/>
        <rFont val="宋体"/>
        <family val="3"/>
        <charset val="134"/>
      </rPr>
      <t>流动资产合计</t>
    </r>
  </si>
  <si>
    <r>
      <rPr>
        <sz val="10"/>
        <rFont val="宋体"/>
        <family val="3"/>
        <charset val="134"/>
      </rPr>
      <t>非流动资产</t>
    </r>
  </si>
  <si>
    <r>
      <rPr>
        <sz val="10"/>
        <rFont val="宋体"/>
        <family val="3"/>
        <charset val="134"/>
      </rPr>
      <t>长期投资减值准备</t>
    </r>
  </si>
  <si>
    <r>
      <rPr>
        <sz val="10"/>
        <color indexed="10"/>
        <rFont val="宋体"/>
        <family val="3"/>
        <charset val="134"/>
      </rPr>
      <t>长期股权投资净值</t>
    </r>
  </si>
  <si>
    <r>
      <rPr>
        <sz val="10"/>
        <rFont val="宋体"/>
        <family val="3"/>
        <charset val="134"/>
      </rPr>
      <t>投资性房地产减值准备</t>
    </r>
  </si>
  <si>
    <r>
      <rPr>
        <sz val="10"/>
        <color indexed="10"/>
        <rFont val="宋体"/>
        <family val="3"/>
        <charset val="134"/>
      </rPr>
      <t>投资行房地产净值</t>
    </r>
  </si>
  <si>
    <r>
      <rPr>
        <sz val="10"/>
        <rFont val="宋体"/>
        <family val="3"/>
        <charset val="134"/>
      </rPr>
      <t>固定资产原价</t>
    </r>
  </si>
  <si>
    <r>
      <rPr>
        <sz val="10"/>
        <rFont val="宋体"/>
        <family val="3"/>
        <charset val="134"/>
      </rPr>
      <t>累计折旧</t>
    </r>
  </si>
  <si>
    <r>
      <rPr>
        <sz val="10"/>
        <color indexed="10"/>
        <rFont val="宋体"/>
        <family val="3"/>
        <charset val="134"/>
      </rPr>
      <t>固定资产净值</t>
    </r>
  </si>
  <si>
    <r>
      <rPr>
        <sz val="10"/>
        <rFont val="宋体"/>
        <family val="3"/>
        <charset val="134"/>
      </rPr>
      <t>固定资产减值准备</t>
    </r>
  </si>
  <si>
    <r>
      <rPr>
        <sz val="10"/>
        <color indexed="10"/>
        <rFont val="宋体"/>
        <family val="3"/>
        <charset val="134"/>
      </rPr>
      <t>固定资产净额</t>
    </r>
  </si>
  <si>
    <r>
      <rPr>
        <sz val="10"/>
        <rFont val="宋体"/>
        <family val="3"/>
        <charset val="134"/>
      </rPr>
      <t>无形资产减值准备</t>
    </r>
  </si>
  <si>
    <r>
      <rPr>
        <sz val="10"/>
        <rFont val="宋体"/>
        <family val="3"/>
        <charset val="134"/>
      </rPr>
      <t>非流动资产合计</t>
    </r>
  </si>
  <si>
    <r>
      <rPr>
        <sz val="10"/>
        <rFont val="宋体"/>
        <family val="3"/>
        <charset val="134"/>
      </rPr>
      <t>资产总计</t>
    </r>
  </si>
  <si>
    <r>
      <rPr>
        <sz val="12"/>
        <rFont val="宋体"/>
        <family val="3"/>
        <charset val="134"/>
      </rPr>
      <t>准则差异调节表</t>
    </r>
  </si>
  <si>
    <r>
      <rPr>
        <b/>
        <sz val="10"/>
        <rFont val="宋体"/>
        <family val="3"/>
        <charset val="134"/>
      </rPr>
      <t>原报数</t>
    </r>
  </si>
  <si>
    <r>
      <rPr>
        <b/>
        <sz val="10"/>
        <rFont val="宋体"/>
        <family val="3"/>
        <charset val="134"/>
      </rPr>
      <t>准则差异调整</t>
    </r>
  </si>
  <si>
    <r>
      <rPr>
        <b/>
        <sz val="10"/>
        <rFont val="宋体"/>
        <family val="3"/>
        <charset val="134"/>
      </rPr>
      <t>审定数</t>
    </r>
  </si>
  <si>
    <r>
      <rPr>
        <sz val="10"/>
        <rFont val="宋体"/>
        <family val="3"/>
        <charset val="134"/>
      </rPr>
      <t>流动负债</t>
    </r>
    <r>
      <rPr>
        <sz val="10"/>
        <rFont val="Arial Narrow"/>
        <family val="2"/>
      </rPr>
      <t>:</t>
    </r>
  </si>
  <si>
    <t>持有待售负债</t>
  </si>
  <si>
    <r>
      <rPr>
        <sz val="10"/>
        <rFont val="宋体"/>
        <family val="3"/>
        <charset val="134"/>
      </rPr>
      <t>预提费用</t>
    </r>
  </si>
  <si>
    <r>
      <rPr>
        <sz val="10"/>
        <rFont val="宋体"/>
        <family val="3"/>
        <charset val="134"/>
      </rPr>
      <t>内部应付</t>
    </r>
  </si>
  <si>
    <r>
      <rPr>
        <sz val="10"/>
        <rFont val="宋体"/>
        <family val="3"/>
        <charset val="134"/>
      </rPr>
      <t>应计负债</t>
    </r>
  </si>
  <si>
    <r>
      <rPr>
        <sz val="10"/>
        <rFont val="宋体"/>
        <family val="3"/>
        <charset val="134"/>
      </rPr>
      <t>公司间应付</t>
    </r>
  </si>
  <si>
    <r>
      <rPr>
        <sz val="10"/>
        <rFont val="宋体"/>
        <family val="3"/>
        <charset val="134"/>
      </rPr>
      <t>应交上级单位利润</t>
    </r>
  </si>
  <si>
    <r>
      <rPr>
        <sz val="10"/>
        <rFont val="宋体"/>
        <family val="3"/>
        <charset val="134"/>
      </rPr>
      <t>预收采购款</t>
    </r>
  </si>
  <si>
    <r>
      <rPr>
        <sz val="10"/>
        <rFont val="宋体"/>
        <family val="3"/>
        <charset val="134"/>
      </rPr>
      <t>暂估应付款</t>
    </r>
  </si>
  <si>
    <r>
      <rPr>
        <sz val="10"/>
        <rFont val="宋体"/>
        <family val="3"/>
        <charset val="134"/>
      </rPr>
      <t>流动负债合计</t>
    </r>
  </si>
  <si>
    <r>
      <rPr>
        <sz val="10"/>
        <rFont val="宋体"/>
        <family val="3"/>
        <charset val="134"/>
      </rPr>
      <t>非流动负债</t>
    </r>
    <r>
      <rPr>
        <sz val="10"/>
        <rFont val="Arial Narrow"/>
        <family val="2"/>
      </rPr>
      <t>:</t>
    </r>
  </si>
  <si>
    <r>
      <rPr>
        <sz val="10"/>
        <rFont val="宋体"/>
        <family val="3"/>
        <charset val="134"/>
      </rPr>
      <t>专项应付款</t>
    </r>
  </si>
  <si>
    <r>
      <rPr>
        <sz val="10"/>
        <rFont val="宋体"/>
        <family val="3"/>
        <charset val="134"/>
      </rPr>
      <t>非流动负债合计</t>
    </r>
  </si>
  <si>
    <r>
      <rPr>
        <sz val="10"/>
        <rFont val="宋体"/>
        <family val="3"/>
        <charset val="134"/>
      </rPr>
      <t>负债合计</t>
    </r>
  </si>
  <si>
    <r>
      <rPr>
        <sz val="10"/>
        <rFont val="宋体"/>
        <family val="3"/>
        <charset val="134"/>
      </rPr>
      <t>其他权益工具</t>
    </r>
  </si>
  <si>
    <r>
      <rPr>
        <sz val="10"/>
        <rFont val="宋体"/>
        <family val="3"/>
        <charset val="134"/>
      </rPr>
      <t>其中：优先股</t>
    </r>
  </si>
  <si>
    <r>
      <rPr>
        <sz val="10"/>
        <rFont val="Arial Narrow"/>
        <family val="2"/>
      </rPr>
      <t xml:space="preserve">             </t>
    </r>
    <r>
      <rPr>
        <sz val="10"/>
        <rFont val="宋体"/>
        <family val="3"/>
        <charset val="134"/>
      </rPr>
      <t>永续债</t>
    </r>
  </si>
  <si>
    <r>
      <rPr>
        <sz val="10"/>
        <rFont val="宋体"/>
        <family val="3"/>
        <charset val="134"/>
      </rPr>
      <t>营业收入</t>
    </r>
  </si>
  <si>
    <r>
      <rPr>
        <sz val="10"/>
        <rFont val="宋体"/>
        <family val="3"/>
        <charset val="134"/>
      </rPr>
      <t>营业成本</t>
    </r>
  </si>
  <si>
    <t xml:space="preserve">    其中：利息费用</t>
  </si>
  <si>
    <r>
      <rPr>
        <sz val="10"/>
        <rFont val="Arial Narrow"/>
        <family val="2"/>
      </rPr>
      <t xml:space="preserve">                        </t>
    </r>
    <r>
      <rPr>
        <sz val="10"/>
        <rFont val="宋体"/>
        <family val="3"/>
        <charset val="134"/>
      </rPr>
      <t>利息收入</t>
    </r>
  </si>
  <si>
    <t xml:space="preserve">    其中：对联营企业和合营企业的投资收益</t>
  </si>
  <si>
    <t xml:space="preserve">   （一）归属所有者的净利润</t>
  </si>
  <si>
    <t xml:space="preserve">     其中：归属于母公司股东的净利润</t>
  </si>
  <si>
    <t xml:space="preserve">       少数股东损益</t>
  </si>
  <si>
    <t xml:space="preserve">   （二）来自持续经营和终止经营的净利润</t>
  </si>
  <si>
    <t xml:space="preserve">    其中：持续经营净利润（净亏损以“-”号填列）</t>
  </si>
  <si>
    <t xml:space="preserve">                 终止经营净利润（净亏损以“-”号填列）</t>
  </si>
  <si>
    <r>
      <rPr>
        <sz val="10"/>
        <rFont val="宋体"/>
        <family val="3"/>
        <charset val="134"/>
      </rPr>
      <t>年初未分配利润</t>
    </r>
  </si>
  <si>
    <r>
      <rPr>
        <sz val="10"/>
        <rFont val="宋体"/>
        <family val="3"/>
        <charset val="134"/>
      </rPr>
      <t>盈余公积转入</t>
    </r>
  </si>
  <si>
    <r>
      <rPr>
        <sz val="10"/>
        <rFont val="宋体"/>
        <family val="3"/>
        <charset val="134"/>
      </rPr>
      <t>其他转入</t>
    </r>
  </si>
  <si>
    <r>
      <rPr>
        <sz val="10"/>
        <rFont val="宋体"/>
        <family val="3"/>
        <charset val="134"/>
      </rPr>
      <t>五、可供分配的利润</t>
    </r>
  </si>
  <si>
    <r>
      <rPr>
        <sz val="10"/>
        <rFont val="宋体"/>
        <family val="3"/>
        <charset val="134"/>
      </rPr>
      <t>提取法定盈余公积</t>
    </r>
  </si>
  <si>
    <r>
      <rPr>
        <sz val="10"/>
        <rFont val="宋体"/>
        <family val="3"/>
        <charset val="134"/>
      </rPr>
      <t>提取免税基金</t>
    </r>
  </si>
  <si>
    <r>
      <rPr>
        <sz val="10"/>
        <rFont val="宋体"/>
        <family val="3"/>
        <charset val="134"/>
      </rPr>
      <t>其他</t>
    </r>
  </si>
  <si>
    <r>
      <rPr>
        <sz val="10"/>
        <rFont val="宋体"/>
        <family val="3"/>
        <charset val="134"/>
      </rPr>
      <t>六、可供股东分配的利润</t>
    </r>
  </si>
  <si>
    <r>
      <rPr>
        <sz val="10"/>
        <rFont val="宋体"/>
        <family val="3"/>
        <charset val="134"/>
      </rPr>
      <t>应付优先股股利</t>
    </r>
  </si>
  <si>
    <r>
      <rPr>
        <sz val="10"/>
        <rFont val="宋体"/>
        <family val="3"/>
        <charset val="134"/>
      </rPr>
      <t>提取任意盈余公积</t>
    </r>
  </si>
  <si>
    <r>
      <rPr>
        <sz val="10"/>
        <rFont val="宋体"/>
        <family val="3"/>
        <charset val="134"/>
      </rPr>
      <t>已分配普通股股利</t>
    </r>
  </si>
  <si>
    <r>
      <rPr>
        <sz val="10"/>
        <rFont val="宋体"/>
        <family val="3"/>
        <charset val="134"/>
      </rPr>
      <t>转作股本的普通股股利</t>
    </r>
  </si>
  <si>
    <r>
      <rPr>
        <sz val="10"/>
        <rFont val="宋体"/>
        <family val="3"/>
        <charset val="134"/>
      </rPr>
      <t>七、未分配利润</t>
    </r>
  </si>
  <si>
    <t>Balance sheet-HKFRS</t>
  </si>
  <si>
    <t>Company Name</t>
  </si>
  <si>
    <t>Fiscal Year End</t>
  </si>
  <si>
    <r>
      <rPr>
        <sz val="10"/>
        <rFont val="Arial Narrow"/>
        <family val="2"/>
      </rPr>
      <t xml:space="preserve">NON-CURRENT ASSETS </t>
    </r>
    <r>
      <rPr>
        <sz val="10"/>
        <rFont val="宋体"/>
        <family val="3"/>
        <charset val="134"/>
      </rPr>
      <t>：</t>
    </r>
  </si>
  <si>
    <t>Property, plant and equipment</t>
  </si>
  <si>
    <t>Intangible assets</t>
  </si>
  <si>
    <t>Interests in associates</t>
  </si>
  <si>
    <t>TOTAL NON-CURRENT ASSETS</t>
  </si>
  <si>
    <r>
      <rPr>
        <sz val="10"/>
        <rFont val="Arial Narrow"/>
        <family val="2"/>
      </rPr>
      <t>CURRENT ASSETS</t>
    </r>
    <r>
      <rPr>
        <sz val="10"/>
        <rFont val="宋体"/>
        <family val="3"/>
        <charset val="134"/>
      </rPr>
      <t>：</t>
    </r>
  </si>
  <si>
    <t>Inventories</t>
  </si>
  <si>
    <t>Trade receivables</t>
  </si>
  <si>
    <t>Other receivables, deposits and prepayments</t>
  </si>
  <si>
    <t>Amounts due from customers for contract work</t>
  </si>
  <si>
    <t>Short term bank deposits</t>
  </si>
  <si>
    <t>Bank balances and cash</t>
  </si>
  <si>
    <t>TOTAL CURRENT ASSETS</t>
  </si>
  <si>
    <t>TOTAL ASSETS</t>
  </si>
  <si>
    <r>
      <rPr>
        <sz val="10"/>
        <rFont val="Arial Narrow"/>
        <family val="2"/>
      </rPr>
      <t>CURRENT LIABILITIES</t>
    </r>
    <r>
      <rPr>
        <sz val="10"/>
        <rFont val="宋体"/>
        <family val="3"/>
        <charset val="134"/>
      </rPr>
      <t>：</t>
    </r>
  </si>
  <si>
    <t>Trade and bills payables</t>
  </si>
  <si>
    <t>Other payables and accruals</t>
  </si>
  <si>
    <t>Receipts in advance</t>
  </si>
  <si>
    <t>Tax liabilities</t>
  </si>
  <si>
    <t>CURRENT LIABILITIES</t>
  </si>
  <si>
    <r>
      <rPr>
        <sz val="10"/>
        <rFont val="Arial Narrow"/>
        <family val="2"/>
      </rPr>
      <t>NON-CURRENT LIABILITY</t>
    </r>
    <r>
      <rPr>
        <sz val="10"/>
        <rFont val="宋体"/>
        <family val="3"/>
        <charset val="134"/>
      </rPr>
      <t>：</t>
    </r>
  </si>
  <si>
    <t>Deferred taxation</t>
  </si>
  <si>
    <t>TOTAL NON-CURRENT LIABILITY</t>
  </si>
  <si>
    <t>TOTAL LIABILITY</t>
  </si>
  <si>
    <r>
      <rPr>
        <sz val="10"/>
        <rFont val="Arial Narrow"/>
        <family val="2"/>
      </rPr>
      <t>CAPITAL AND RESERVES</t>
    </r>
    <r>
      <rPr>
        <sz val="10"/>
        <rFont val="宋体"/>
        <family val="3"/>
        <charset val="134"/>
      </rPr>
      <t>：</t>
    </r>
  </si>
  <si>
    <t>Share capital</t>
  </si>
  <si>
    <t>Share premium</t>
  </si>
  <si>
    <t>Special reserve</t>
  </si>
  <si>
    <t>Investment revaluation reserve</t>
  </si>
  <si>
    <t>Property revaluation reserve</t>
  </si>
  <si>
    <t>Translation reserve</t>
  </si>
  <si>
    <t>Share options reserve</t>
  </si>
  <si>
    <t>Accumulated profits</t>
  </si>
  <si>
    <t>Equity attributable to equity holders of the Company</t>
  </si>
  <si>
    <t>CHECK</t>
  </si>
  <si>
    <t>Income Statement-HKFRS</t>
  </si>
  <si>
    <t>Turnover</t>
  </si>
  <si>
    <t>Cost of goods sold</t>
  </si>
  <si>
    <t>Cost of services rendered</t>
  </si>
  <si>
    <t>Other income</t>
  </si>
  <si>
    <t>Selling expenses</t>
  </si>
  <si>
    <t>Administrative expenses</t>
  </si>
  <si>
    <t>Finance costs</t>
  </si>
  <si>
    <t>Share of results of associates</t>
  </si>
  <si>
    <t>Profit before taxation</t>
  </si>
  <si>
    <t>Taxation</t>
  </si>
  <si>
    <t>Profit for the year</t>
  </si>
  <si>
    <t>Accumulated profits  beginning of the year</t>
  </si>
  <si>
    <t>Dividends</t>
  </si>
  <si>
    <r>
      <rPr>
        <b/>
        <sz val="12"/>
        <rFont val="宋体"/>
        <family val="3"/>
        <charset val="134"/>
      </rPr>
      <t>集团间交易（销售、采购、费用）</t>
    </r>
  </si>
  <si>
    <r>
      <rPr>
        <b/>
        <sz val="10"/>
        <rFont val="宋体"/>
        <family val="3"/>
        <charset val="134"/>
      </rPr>
      <t>销售交易对象</t>
    </r>
  </si>
  <si>
    <r>
      <rPr>
        <b/>
        <sz val="10"/>
        <rFont val="宋体"/>
        <family val="3"/>
        <charset val="134"/>
      </rPr>
      <t>交易项目</t>
    </r>
  </si>
  <si>
    <r>
      <rPr>
        <b/>
        <sz val="10"/>
        <rFont val="宋体"/>
        <family val="3"/>
        <charset val="134"/>
      </rPr>
      <t>主营业务收入</t>
    </r>
  </si>
  <si>
    <r>
      <rPr>
        <b/>
        <sz val="10"/>
        <rFont val="宋体"/>
        <family val="3"/>
        <charset val="134"/>
      </rPr>
      <t>主营业务成本</t>
    </r>
  </si>
  <si>
    <r>
      <rPr>
        <b/>
        <sz val="10"/>
        <rFont val="宋体"/>
        <family val="3"/>
        <charset val="134"/>
      </rPr>
      <t>其他业务收入</t>
    </r>
  </si>
  <si>
    <r>
      <rPr>
        <b/>
        <sz val="10"/>
        <rFont val="宋体"/>
        <family val="3"/>
        <charset val="134"/>
      </rPr>
      <t>财务费用</t>
    </r>
  </si>
  <si>
    <r>
      <rPr>
        <b/>
        <sz val="10"/>
        <rFont val="宋体"/>
        <family val="3"/>
        <charset val="134"/>
      </rPr>
      <t>营业外收入</t>
    </r>
  </si>
  <si>
    <r>
      <rPr>
        <b/>
        <sz val="10"/>
        <rFont val="宋体"/>
        <family val="3"/>
        <charset val="134"/>
      </rPr>
      <t>小计</t>
    </r>
  </si>
  <si>
    <r>
      <rPr>
        <b/>
        <sz val="10"/>
        <rFont val="宋体"/>
        <family val="3"/>
        <charset val="134"/>
      </rPr>
      <t>硬件</t>
    </r>
  </si>
  <si>
    <r>
      <rPr>
        <b/>
        <sz val="10"/>
        <rFont val="宋体"/>
        <family val="3"/>
        <charset val="134"/>
      </rPr>
      <t>服务</t>
    </r>
  </si>
  <si>
    <r>
      <rPr>
        <b/>
        <sz val="10"/>
        <rFont val="宋体"/>
        <family val="3"/>
        <charset val="134"/>
      </rPr>
      <t>软件及软件开发</t>
    </r>
  </si>
  <si>
    <t>利息收入</t>
  </si>
  <si>
    <t>合计</t>
  </si>
  <si>
    <r>
      <rPr>
        <b/>
        <sz val="10"/>
        <rFont val="宋体"/>
        <family val="3"/>
        <charset val="134"/>
      </rPr>
      <t>采购及费用交易对象</t>
    </r>
  </si>
  <si>
    <r>
      <rPr>
        <b/>
        <sz val="10"/>
        <rFont val="宋体"/>
        <family val="3"/>
        <charset val="134"/>
      </rPr>
      <t>采购</t>
    </r>
  </si>
  <si>
    <r>
      <rPr>
        <b/>
        <sz val="10"/>
        <rFont val="宋体"/>
        <family val="3"/>
        <charset val="134"/>
      </rPr>
      <t>其他业务成本</t>
    </r>
  </si>
  <si>
    <r>
      <rPr>
        <b/>
        <sz val="10"/>
        <rFont val="宋体"/>
        <family val="3"/>
        <charset val="134"/>
      </rPr>
      <t>营业外支出</t>
    </r>
  </si>
  <si>
    <r>
      <rPr>
        <b/>
        <sz val="10"/>
        <rFont val="宋体"/>
        <family val="3"/>
        <charset val="134"/>
      </rPr>
      <t>利息支出</t>
    </r>
  </si>
  <si>
    <r>
      <rPr>
        <b/>
        <sz val="10"/>
        <rFont val="宋体"/>
        <family val="3"/>
        <charset val="134"/>
      </rPr>
      <t>手续费</t>
    </r>
  </si>
  <si>
    <r>
      <rPr>
        <b/>
        <sz val="12"/>
        <rFont val="宋体"/>
        <family val="3"/>
        <charset val="134"/>
      </rPr>
      <t>集团内部往来余额</t>
    </r>
  </si>
  <si>
    <r>
      <rPr>
        <b/>
        <sz val="10"/>
        <rFont val="宋体"/>
        <family val="3"/>
        <charset val="134"/>
      </rPr>
      <t>债权交易项目</t>
    </r>
  </si>
  <si>
    <r>
      <rPr>
        <b/>
        <sz val="10"/>
        <rFont val="宋体"/>
        <family val="3"/>
        <charset val="134"/>
      </rPr>
      <t>应收票据</t>
    </r>
  </si>
  <si>
    <r>
      <rPr>
        <b/>
        <sz val="10"/>
        <rFont val="宋体"/>
        <family val="3"/>
        <charset val="134"/>
      </rPr>
      <t>应收账款</t>
    </r>
  </si>
  <si>
    <r>
      <rPr>
        <b/>
        <sz val="10"/>
        <rFont val="宋体"/>
        <family val="3"/>
        <charset val="134"/>
      </rPr>
      <t>预付账款</t>
    </r>
  </si>
  <si>
    <r>
      <rPr>
        <b/>
        <sz val="10"/>
        <rFont val="宋体"/>
        <family val="3"/>
        <charset val="134"/>
      </rPr>
      <t>其他应收款</t>
    </r>
  </si>
  <si>
    <r>
      <rPr>
        <b/>
        <sz val="10"/>
        <rFont val="Arial Narrow"/>
        <family val="2"/>
      </rPr>
      <t>1</t>
    </r>
    <r>
      <rPr>
        <b/>
        <sz val="10"/>
        <rFont val="宋体"/>
        <family val="3"/>
        <charset val="134"/>
      </rPr>
      <t>年以内</t>
    </r>
  </si>
  <si>
    <r>
      <rPr>
        <b/>
        <sz val="10"/>
        <rFont val="Arial Narrow"/>
        <family val="2"/>
      </rPr>
      <t>1-2</t>
    </r>
    <r>
      <rPr>
        <b/>
        <sz val="10"/>
        <rFont val="宋体"/>
        <family val="3"/>
        <charset val="134"/>
      </rPr>
      <t>年</t>
    </r>
  </si>
  <si>
    <r>
      <rPr>
        <b/>
        <sz val="10"/>
        <rFont val="Arial Narrow"/>
        <family val="2"/>
      </rPr>
      <t>2-3</t>
    </r>
    <r>
      <rPr>
        <b/>
        <sz val="10"/>
        <rFont val="宋体"/>
        <family val="3"/>
        <charset val="134"/>
      </rPr>
      <t>年</t>
    </r>
  </si>
  <si>
    <r>
      <rPr>
        <b/>
        <sz val="10"/>
        <rFont val="Arial Narrow"/>
        <family val="2"/>
      </rPr>
      <t>3</t>
    </r>
    <r>
      <rPr>
        <b/>
        <sz val="10"/>
        <rFont val="宋体"/>
        <family val="3"/>
        <charset val="134"/>
      </rPr>
      <t>年以上</t>
    </r>
  </si>
  <si>
    <r>
      <rPr>
        <b/>
        <sz val="10"/>
        <rFont val="宋体"/>
        <family val="3"/>
        <charset val="134"/>
      </rPr>
      <t>债务交易项目</t>
    </r>
  </si>
  <si>
    <r>
      <rPr>
        <b/>
        <sz val="10"/>
        <rFont val="宋体"/>
        <family val="3"/>
        <charset val="134"/>
      </rPr>
      <t>应付票据</t>
    </r>
  </si>
  <si>
    <r>
      <rPr>
        <b/>
        <sz val="10"/>
        <rFont val="宋体"/>
        <family val="3"/>
        <charset val="134"/>
      </rPr>
      <t>应付账款</t>
    </r>
  </si>
  <si>
    <r>
      <rPr>
        <b/>
        <sz val="10"/>
        <rFont val="宋体"/>
        <family val="3"/>
        <charset val="134"/>
      </rPr>
      <t>预收账款</t>
    </r>
  </si>
  <si>
    <r>
      <rPr>
        <b/>
        <sz val="10"/>
        <rFont val="宋体"/>
        <family val="3"/>
        <charset val="134"/>
      </rPr>
      <t>其他应付款</t>
    </r>
  </si>
  <si>
    <r>
      <rPr>
        <b/>
        <sz val="12"/>
        <rFont val="宋体"/>
        <family val="3"/>
        <charset val="134"/>
      </rPr>
      <t>未实现内部利润</t>
    </r>
  </si>
  <si>
    <r>
      <rPr>
        <b/>
        <sz val="10"/>
        <rFont val="宋体"/>
        <family val="3"/>
        <charset val="134"/>
      </rPr>
      <t>交易对象</t>
    </r>
  </si>
  <si>
    <r>
      <rPr>
        <b/>
        <sz val="10"/>
        <rFont val="宋体"/>
        <family val="3"/>
        <charset val="134"/>
      </rPr>
      <t>采购项目</t>
    </r>
  </si>
  <si>
    <r>
      <rPr>
        <b/>
        <sz val="10"/>
        <rFont val="宋体"/>
        <family val="3"/>
        <charset val="134"/>
      </rPr>
      <t>存货名称</t>
    </r>
  </si>
  <si>
    <r>
      <rPr>
        <b/>
        <sz val="10"/>
        <rFont val="宋体"/>
        <family val="3"/>
        <charset val="134"/>
      </rPr>
      <t>期末库存金额</t>
    </r>
  </si>
  <si>
    <r>
      <rPr>
        <b/>
        <sz val="10"/>
        <rFont val="宋体"/>
        <family val="3"/>
        <charset val="134"/>
      </rPr>
      <t>其中：期初结转至期末库存金额</t>
    </r>
  </si>
  <si>
    <r>
      <rPr>
        <b/>
        <sz val="10"/>
        <rFont val="宋体"/>
        <family val="3"/>
        <charset val="134"/>
      </rPr>
      <t>期末已计提跌价准备</t>
    </r>
  </si>
  <si>
    <r>
      <rPr>
        <b/>
        <sz val="10"/>
        <rFont val="宋体"/>
        <family val="3"/>
        <charset val="134"/>
      </rPr>
      <t>内部毛利率</t>
    </r>
  </si>
  <si>
    <r>
      <rPr>
        <b/>
        <sz val="12"/>
        <rFont val="宋体"/>
        <family val="3"/>
        <charset val="134"/>
      </rPr>
      <t>集团内部固定资产</t>
    </r>
    <r>
      <rPr>
        <b/>
        <sz val="12"/>
        <rFont val="Arial Narrow"/>
        <family val="2"/>
      </rPr>
      <t>/</t>
    </r>
    <r>
      <rPr>
        <b/>
        <sz val="12"/>
        <rFont val="宋体"/>
        <family val="3"/>
        <charset val="134"/>
      </rPr>
      <t>无形资产交易</t>
    </r>
  </si>
  <si>
    <r>
      <rPr>
        <b/>
        <sz val="10"/>
        <rFont val="宋体"/>
        <family val="3"/>
        <charset val="134"/>
      </rPr>
      <t>本期销售固定资产</t>
    </r>
    <r>
      <rPr>
        <b/>
        <sz val="10"/>
        <rFont val="Arial Narrow"/>
        <family val="2"/>
      </rPr>
      <t>/</t>
    </r>
    <r>
      <rPr>
        <b/>
        <sz val="10"/>
        <rFont val="宋体"/>
        <family val="3"/>
        <charset val="134"/>
      </rPr>
      <t>无形资产</t>
    </r>
  </si>
  <si>
    <r>
      <rPr>
        <b/>
        <sz val="10"/>
        <rFont val="宋体"/>
        <family val="3"/>
        <charset val="134"/>
      </rPr>
      <t>类别</t>
    </r>
  </si>
  <si>
    <r>
      <rPr>
        <b/>
        <sz val="10"/>
        <rFont val="宋体"/>
        <family val="3"/>
        <charset val="134"/>
      </rPr>
      <t>名称</t>
    </r>
  </si>
  <si>
    <r>
      <rPr>
        <b/>
        <sz val="10"/>
        <rFont val="宋体"/>
        <family val="3"/>
        <charset val="134"/>
      </rPr>
      <t>原值</t>
    </r>
  </si>
  <si>
    <r>
      <rPr>
        <b/>
        <sz val="10"/>
        <rFont val="宋体"/>
        <family val="3"/>
        <charset val="134"/>
      </rPr>
      <t>销售时累计折旧</t>
    </r>
    <r>
      <rPr>
        <b/>
        <sz val="10"/>
        <rFont val="Arial Narrow"/>
        <family val="2"/>
      </rPr>
      <t>/</t>
    </r>
    <r>
      <rPr>
        <b/>
        <sz val="10"/>
        <rFont val="宋体"/>
        <family val="3"/>
        <charset val="134"/>
      </rPr>
      <t>累计摊销</t>
    </r>
  </si>
  <si>
    <r>
      <rPr>
        <b/>
        <sz val="10"/>
        <rFont val="宋体"/>
        <family val="3"/>
        <charset val="134"/>
      </rPr>
      <t>销售时已计提减值准备</t>
    </r>
  </si>
  <si>
    <r>
      <rPr>
        <b/>
        <sz val="10"/>
        <rFont val="宋体"/>
        <family val="3"/>
        <charset val="134"/>
      </rPr>
      <t>销售价款</t>
    </r>
  </si>
  <si>
    <r>
      <rPr>
        <b/>
        <sz val="10"/>
        <rFont val="宋体"/>
        <family val="3"/>
        <charset val="134"/>
      </rPr>
      <t>处置费用</t>
    </r>
  </si>
  <si>
    <r>
      <rPr>
        <b/>
        <sz val="10"/>
        <rFont val="宋体"/>
        <family val="3"/>
        <charset val="134"/>
      </rPr>
      <t>营业外收入（支出</t>
    </r>
    <r>
      <rPr>
        <b/>
        <sz val="10"/>
        <rFont val="Arial Narrow"/>
        <family val="2"/>
      </rPr>
      <t>“-”</t>
    </r>
    <r>
      <rPr>
        <b/>
        <sz val="10"/>
        <rFont val="宋体"/>
        <family val="3"/>
        <charset val="134"/>
      </rPr>
      <t>）</t>
    </r>
  </si>
  <si>
    <t>Check Box</t>
  </si>
  <si>
    <r>
      <rPr>
        <sz val="10"/>
        <rFont val="宋体"/>
        <family val="3"/>
        <charset val="134"/>
      </rPr>
      <t>交易主体</t>
    </r>
  </si>
  <si>
    <r>
      <rPr>
        <sz val="10"/>
        <rFont val="宋体"/>
        <family val="3"/>
        <charset val="134"/>
      </rPr>
      <t>类别</t>
    </r>
  </si>
  <si>
    <t>Category</t>
  </si>
  <si>
    <r>
      <rPr>
        <sz val="10"/>
        <rFont val="宋体"/>
        <family val="3"/>
        <charset val="134"/>
      </rPr>
      <t>是</t>
    </r>
    <r>
      <rPr>
        <sz val="10"/>
        <rFont val="Arial Narrow"/>
        <family val="2"/>
      </rPr>
      <t>/</t>
    </r>
    <r>
      <rPr>
        <sz val="10"/>
        <rFont val="宋体"/>
        <family val="3"/>
        <charset val="134"/>
      </rPr>
      <t>否</t>
    </r>
  </si>
  <si>
    <t>TS</t>
  </si>
  <si>
    <r>
      <rPr>
        <sz val="10"/>
        <rFont val="宋体"/>
        <family val="3"/>
        <charset val="134"/>
      </rPr>
      <t>房屋及建筑物</t>
    </r>
  </si>
  <si>
    <t>Buildings</t>
  </si>
  <si>
    <r>
      <rPr>
        <sz val="10"/>
        <rFont val="宋体"/>
        <family val="3"/>
        <charset val="134"/>
      </rPr>
      <t>√</t>
    </r>
  </si>
  <si>
    <t>JF</t>
  </si>
  <si>
    <r>
      <rPr>
        <sz val="10"/>
        <rFont val="宋体"/>
        <family val="3"/>
        <charset val="134"/>
      </rPr>
      <t>电子设备</t>
    </r>
  </si>
  <si>
    <t>Electronic equipment</t>
  </si>
  <si>
    <t>×</t>
  </si>
  <si>
    <t>US</t>
  </si>
  <si>
    <r>
      <rPr>
        <sz val="10"/>
        <rFont val="宋体"/>
        <family val="3"/>
        <charset val="134"/>
      </rPr>
      <t>办公设备</t>
    </r>
  </si>
  <si>
    <t>Office equipment</t>
  </si>
  <si>
    <t>HK</t>
  </si>
  <si>
    <r>
      <rPr>
        <sz val="10"/>
        <rFont val="宋体"/>
        <family val="3"/>
        <charset val="134"/>
      </rPr>
      <t>运输设备</t>
    </r>
  </si>
  <si>
    <t>Transportation equipment</t>
  </si>
  <si>
    <t>ST</t>
  </si>
  <si>
    <r>
      <rPr>
        <sz val="10"/>
        <rFont val="宋体"/>
        <family val="3"/>
        <charset val="134"/>
      </rPr>
      <t>房屋装修</t>
    </r>
  </si>
  <si>
    <t>House decoration</t>
  </si>
  <si>
    <t>FJ</t>
  </si>
  <si>
    <t>Others</t>
  </si>
  <si>
    <t>JDSY</t>
  </si>
  <si>
    <t>SZ</t>
  </si>
  <si>
    <t>NJ</t>
  </si>
  <si>
    <r>
      <rPr>
        <sz val="10"/>
        <rFont val="Arial Narrow"/>
        <family val="2"/>
      </rPr>
      <t>UCWEB</t>
    </r>
    <r>
      <rPr>
        <sz val="10"/>
        <rFont val="宋体"/>
        <family val="3"/>
        <charset val="134"/>
      </rPr>
      <t>软件</t>
    </r>
  </si>
  <si>
    <t>CD</t>
  </si>
  <si>
    <r>
      <rPr>
        <sz val="10"/>
        <rFont val="宋体"/>
        <family val="3"/>
        <charset val="134"/>
      </rPr>
      <t>其他软件</t>
    </r>
  </si>
  <si>
    <t>Other software</t>
  </si>
  <si>
    <t>HWKJ</t>
  </si>
  <si>
    <r>
      <rPr>
        <sz val="10"/>
        <rFont val="宋体"/>
        <family val="3"/>
        <charset val="134"/>
      </rPr>
      <t>专利权及牌照</t>
    </r>
  </si>
  <si>
    <t>Patents and licences</t>
  </si>
  <si>
    <t>HZWK</t>
  </si>
  <si>
    <r>
      <rPr>
        <sz val="10"/>
        <rFont val="宋体"/>
        <family val="3"/>
        <charset val="134"/>
      </rPr>
      <t>会所会籍</t>
    </r>
  </si>
  <si>
    <t>Club memberships</t>
  </si>
  <si>
    <t>ITMS</t>
  </si>
  <si>
    <t>HZKJ</t>
  </si>
  <si>
    <t>HWST</t>
  </si>
  <si>
    <t>GCGV</t>
  </si>
  <si>
    <t>ASL</t>
  </si>
  <si>
    <r>
      <rPr>
        <b/>
        <sz val="10"/>
        <rFont val="宋体"/>
        <family val="3"/>
        <charset val="134"/>
      </rPr>
      <t>采购固定资产</t>
    </r>
    <r>
      <rPr>
        <b/>
        <sz val="10"/>
        <rFont val="Arial Narrow"/>
        <family val="2"/>
      </rPr>
      <t>/</t>
    </r>
    <r>
      <rPr>
        <b/>
        <sz val="10"/>
        <rFont val="宋体"/>
        <family val="3"/>
        <charset val="134"/>
      </rPr>
      <t>无形资产</t>
    </r>
  </si>
  <si>
    <r>
      <rPr>
        <b/>
        <sz val="10"/>
        <rFont val="宋体"/>
        <family val="3"/>
        <charset val="134"/>
      </rPr>
      <t>购买日期</t>
    </r>
  </si>
  <si>
    <r>
      <rPr>
        <b/>
        <sz val="10"/>
        <rFont val="宋体"/>
        <family val="3"/>
        <charset val="134"/>
      </rPr>
      <t>采购成本</t>
    </r>
  </si>
  <si>
    <r>
      <rPr>
        <b/>
        <sz val="10"/>
        <rFont val="宋体"/>
        <family val="3"/>
        <charset val="134"/>
      </rPr>
      <t>折旧方法</t>
    </r>
  </si>
  <si>
    <r>
      <rPr>
        <b/>
        <sz val="10"/>
        <rFont val="宋体"/>
        <family val="3"/>
        <charset val="134"/>
      </rPr>
      <t>预计使用年限</t>
    </r>
  </si>
  <si>
    <r>
      <rPr>
        <b/>
        <sz val="10"/>
        <rFont val="宋体"/>
        <family val="3"/>
        <charset val="134"/>
      </rPr>
      <t>预计残值</t>
    </r>
  </si>
  <si>
    <r>
      <rPr>
        <b/>
        <sz val="10"/>
        <rFont val="宋体"/>
        <family val="3"/>
        <charset val="134"/>
      </rPr>
      <t>备注（发票）</t>
    </r>
  </si>
  <si>
    <r>
      <rPr>
        <b/>
        <sz val="12"/>
        <rFont val="宋体"/>
        <family val="3"/>
        <charset val="134"/>
      </rPr>
      <t>集团内部现金流</t>
    </r>
  </si>
  <si>
    <r>
      <rPr>
        <b/>
        <sz val="10"/>
        <rFont val="宋体"/>
        <family val="3"/>
        <charset val="134"/>
      </rPr>
      <t>收到的现金</t>
    </r>
  </si>
  <si>
    <r>
      <rPr>
        <b/>
        <sz val="10"/>
        <rFont val="宋体"/>
        <family val="3"/>
        <charset val="134"/>
      </rPr>
      <t>销售商品、提供劳务收到的现金</t>
    </r>
  </si>
  <si>
    <r>
      <rPr>
        <b/>
        <sz val="10"/>
        <rFont val="宋体"/>
        <family val="3"/>
        <charset val="134"/>
      </rPr>
      <t>收到其他与经营活动有关的现金</t>
    </r>
  </si>
  <si>
    <r>
      <rPr>
        <b/>
        <sz val="10"/>
        <rFont val="宋体"/>
        <family val="3"/>
        <charset val="134"/>
      </rPr>
      <t>收回投资收到的现金</t>
    </r>
  </si>
  <si>
    <r>
      <rPr>
        <b/>
        <sz val="10"/>
        <rFont val="宋体"/>
        <family val="3"/>
        <charset val="134"/>
      </rPr>
      <t>取得投资收益收到的现金</t>
    </r>
  </si>
  <si>
    <r>
      <rPr>
        <b/>
        <sz val="10"/>
        <rFont val="宋体"/>
        <family val="3"/>
        <charset val="134"/>
      </rPr>
      <t>处置固定资产、无形资产和其他长期资产收回的现金净额</t>
    </r>
  </si>
  <si>
    <r>
      <rPr>
        <b/>
        <sz val="10"/>
        <rFont val="宋体"/>
        <family val="3"/>
        <charset val="134"/>
      </rPr>
      <t>处置子公司及其他营业单位收到的现金净额</t>
    </r>
  </si>
  <si>
    <r>
      <rPr>
        <b/>
        <sz val="10"/>
        <rFont val="宋体"/>
        <family val="3"/>
        <charset val="134"/>
      </rPr>
      <t>收到其他与投资活动有关的现金</t>
    </r>
  </si>
  <si>
    <r>
      <rPr>
        <b/>
        <sz val="10"/>
        <rFont val="宋体"/>
        <family val="3"/>
        <charset val="134"/>
      </rPr>
      <t>吸收投资收到的现金</t>
    </r>
  </si>
  <si>
    <r>
      <rPr>
        <b/>
        <sz val="10"/>
        <rFont val="宋体"/>
        <family val="3"/>
        <charset val="134"/>
      </rPr>
      <t>取得借款收到的现金</t>
    </r>
  </si>
  <si>
    <r>
      <rPr>
        <b/>
        <sz val="10"/>
        <rFont val="宋体"/>
        <family val="3"/>
        <charset val="134"/>
      </rPr>
      <t>收到其他与筹资活动有关的现金</t>
    </r>
  </si>
  <si>
    <r>
      <rPr>
        <b/>
        <sz val="10"/>
        <rFont val="宋体"/>
        <family val="3"/>
        <charset val="134"/>
      </rPr>
      <t>合计</t>
    </r>
  </si>
  <si>
    <r>
      <rPr>
        <b/>
        <sz val="10"/>
        <rFont val="宋体"/>
        <family val="3"/>
        <charset val="134"/>
      </rPr>
      <t>支付的现金</t>
    </r>
  </si>
  <si>
    <r>
      <rPr>
        <b/>
        <sz val="10"/>
        <rFont val="宋体"/>
        <family val="3"/>
        <charset val="134"/>
      </rPr>
      <t>购买商品、接受劳务支付的现金</t>
    </r>
  </si>
  <si>
    <r>
      <rPr>
        <b/>
        <sz val="10"/>
        <rFont val="宋体"/>
        <family val="3"/>
        <charset val="134"/>
      </rPr>
      <t>支付其他与经营活动有关的现金</t>
    </r>
  </si>
  <si>
    <r>
      <rPr>
        <b/>
        <sz val="10"/>
        <rFont val="宋体"/>
        <family val="3"/>
        <charset val="134"/>
      </rPr>
      <t>购置固定资产、无形资产和其他长期资产支付的现金</t>
    </r>
  </si>
  <si>
    <r>
      <rPr>
        <b/>
        <sz val="10"/>
        <rFont val="宋体"/>
        <family val="3"/>
        <charset val="134"/>
      </rPr>
      <t>投资支付的现金</t>
    </r>
  </si>
  <si>
    <r>
      <rPr>
        <b/>
        <sz val="10"/>
        <rFont val="宋体"/>
        <family val="3"/>
        <charset val="134"/>
      </rPr>
      <t>取得子公司及其他营业单位支付的现金净额</t>
    </r>
  </si>
  <si>
    <r>
      <rPr>
        <b/>
        <sz val="10"/>
        <rFont val="宋体"/>
        <family val="3"/>
        <charset val="134"/>
      </rPr>
      <t>支付其他与投资活动有关的现金</t>
    </r>
  </si>
  <si>
    <r>
      <rPr>
        <b/>
        <sz val="10"/>
        <rFont val="宋体"/>
        <family val="3"/>
        <charset val="134"/>
      </rPr>
      <t>偿还债务支付的现金</t>
    </r>
  </si>
  <si>
    <r>
      <rPr>
        <b/>
        <sz val="10"/>
        <rFont val="宋体"/>
        <family val="3"/>
        <charset val="134"/>
      </rPr>
      <t>分配股利、利润或偿付利息支付的现金</t>
    </r>
  </si>
  <si>
    <r>
      <rPr>
        <b/>
        <sz val="10"/>
        <rFont val="宋体"/>
        <family val="3"/>
        <charset val="134"/>
      </rPr>
      <t>支付其他与筹资活动有关的现金</t>
    </r>
  </si>
  <si>
    <r>
      <rPr>
        <b/>
        <sz val="12"/>
        <rFont val="宋体"/>
        <family val="3"/>
        <charset val="134"/>
      </rPr>
      <t>货币资金</t>
    </r>
  </si>
  <si>
    <r>
      <rPr>
        <sz val="10"/>
        <color indexed="8"/>
        <rFont val="宋体"/>
        <family val="3"/>
        <charset val="134"/>
      </rPr>
      <t>项</t>
    </r>
    <r>
      <rPr>
        <sz val="10"/>
        <color indexed="8"/>
        <rFont val="Arial Narrow"/>
        <family val="2"/>
      </rPr>
      <t xml:space="preserve">  </t>
    </r>
    <r>
      <rPr>
        <sz val="10"/>
        <color indexed="8"/>
        <rFont val="宋体"/>
        <family val="3"/>
        <charset val="134"/>
      </rPr>
      <t>目</t>
    </r>
  </si>
  <si>
    <r>
      <rPr>
        <sz val="10"/>
        <color indexed="8"/>
        <rFont val="宋体"/>
        <family val="3"/>
        <charset val="134"/>
      </rPr>
      <t>期末</t>
    </r>
  </si>
  <si>
    <r>
      <rPr>
        <sz val="10"/>
        <color indexed="8"/>
        <rFont val="宋体"/>
        <family val="3"/>
        <charset val="134"/>
      </rPr>
      <t>现金</t>
    </r>
  </si>
  <si>
    <r>
      <rPr>
        <sz val="10"/>
        <color indexed="8"/>
        <rFont val="宋体"/>
        <family val="3"/>
        <charset val="134"/>
      </rPr>
      <t>银行存款</t>
    </r>
  </si>
  <si>
    <r>
      <rPr>
        <sz val="10"/>
        <color indexed="8"/>
        <rFont val="宋体"/>
        <family val="3"/>
        <charset val="134"/>
      </rPr>
      <t>银行存款中：财务公司存款</t>
    </r>
  </si>
  <si>
    <r>
      <rPr>
        <sz val="10"/>
        <color indexed="8"/>
        <rFont val="宋体"/>
        <family val="3"/>
        <charset val="134"/>
      </rPr>
      <t>其他货币资金</t>
    </r>
  </si>
  <si>
    <r>
      <rPr>
        <sz val="10"/>
        <color indexed="8"/>
        <rFont val="宋体"/>
        <family val="3"/>
        <charset val="134"/>
      </rPr>
      <t>合</t>
    </r>
    <r>
      <rPr>
        <sz val="10"/>
        <color indexed="8"/>
        <rFont val="Arial Narrow"/>
        <family val="2"/>
      </rPr>
      <t xml:space="preserve">  </t>
    </r>
    <r>
      <rPr>
        <sz val="10"/>
        <color indexed="8"/>
        <rFont val="宋体"/>
        <family val="3"/>
        <charset val="134"/>
      </rPr>
      <t>计</t>
    </r>
  </si>
  <si>
    <r>
      <rPr>
        <sz val="10"/>
        <color indexed="8"/>
        <rFont val="宋体"/>
        <family val="3"/>
        <charset val="134"/>
      </rPr>
      <t>其中：存放在境外的款项总额</t>
    </r>
  </si>
  <si>
    <r>
      <rPr>
        <sz val="10"/>
        <color indexed="8"/>
        <rFont val="宋体"/>
        <family val="3"/>
        <charset val="134"/>
      </rPr>
      <t>报表金额</t>
    </r>
  </si>
  <si>
    <r>
      <rPr>
        <sz val="10"/>
        <rFont val="宋体"/>
        <family val="3"/>
        <charset val="134"/>
      </rPr>
      <t>其中，外币如下：</t>
    </r>
    <r>
      <rPr>
        <sz val="10"/>
        <rFont val="Arial Narrow"/>
        <family val="2"/>
      </rPr>
      <t>(</t>
    </r>
    <r>
      <rPr>
        <sz val="10"/>
        <rFont val="宋体"/>
        <family val="3"/>
        <charset val="134"/>
      </rPr>
      <t>除人民币以外的币种</t>
    </r>
    <r>
      <rPr>
        <sz val="10"/>
        <rFont val="Arial Narrow"/>
        <family val="2"/>
      </rPr>
      <t>)</t>
    </r>
  </si>
  <si>
    <r>
      <rPr>
        <sz val="10"/>
        <rFont val="宋体"/>
        <family val="3"/>
        <charset val="134"/>
      </rPr>
      <t>币</t>
    </r>
    <r>
      <rPr>
        <sz val="10"/>
        <rFont val="Arial Narrow"/>
        <family val="2"/>
      </rPr>
      <t xml:space="preserve">  </t>
    </r>
    <r>
      <rPr>
        <sz val="10"/>
        <rFont val="宋体"/>
        <family val="3"/>
        <charset val="134"/>
      </rPr>
      <t>种</t>
    </r>
  </si>
  <si>
    <r>
      <rPr>
        <sz val="10"/>
        <rFont val="宋体"/>
        <family val="3"/>
        <charset val="134"/>
      </rPr>
      <t>期末</t>
    </r>
  </si>
  <si>
    <r>
      <rPr>
        <sz val="10"/>
        <rFont val="宋体"/>
        <family val="3"/>
        <charset val="134"/>
      </rPr>
      <t>原</t>
    </r>
    <r>
      <rPr>
        <sz val="10"/>
        <rFont val="Arial Narrow"/>
        <family val="2"/>
      </rPr>
      <t xml:space="preserve"> </t>
    </r>
    <r>
      <rPr>
        <sz val="10"/>
        <rFont val="宋体"/>
        <family val="3"/>
        <charset val="134"/>
      </rPr>
      <t>币</t>
    </r>
  </si>
  <si>
    <r>
      <rPr>
        <sz val="10"/>
        <rFont val="宋体"/>
        <family val="3"/>
        <charset val="134"/>
      </rPr>
      <t>汇率</t>
    </r>
  </si>
  <si>
    <r>
      <rPr>
        <sz val="10"/>
        <rFont val="宋体"/>
        <family val="3"/>
        <charset val="134"/>
      </rPr>
      <t>折合本位币</t>
    </r>
  </si>
  <si>
    <r>
      <rPr>
        <sz val="10"/>
        <rFont val="宋体"/>
        <family val="3"/>
        <charset val="134"/>
      </rPr>
      <t>美元</t>
    </r>
  </si>
  <si>
    <r>
      <rPr>
        <sz val="10"/>
        <rFont val="宋体"/>
        <family val="3"/>
        <charset val="134"/>
      </rPr>
      <t>港币</t>
    </r>
  </si>
  <si>
    <r>
      <rPr>
        <sz val="10"/>
        <rFont val="宋体"/>
        <family val="3"/>
        <charset val="134"/>
      </rPr>
      <t>合</t>
    </r>
    <r>
      <rPr>
        <sz val="10"/>
        <rFont val="Arial Narrow"/>
        <family val="2"/>
      </rPr>
      <t xml:space="preserve">  </t>
    </r>
    <r>
      <rPr>
        <sz val="10"/>
        <rFont val="宋体"/>
        <family val="3"/>
        <charset val="134"/>
      </rPr>
      <t>计</t>
    </r>
  </si>
  <si>
    <r>
      <rPr>
        <sz val="10"/>
        <rFont val="宋体"/>
        <family val="3"/>
        <charset val="134"/>
      </rPr>
      <t>列示于现金流量表的现金及现金等价物包括：</t>
    </r>
  </si>
  <si>
    <r>
      <rPr>
        <sz val="10"/>
        <rFont val="Arial Narrow"/>
        <family val="2"/>
      </rPr>
      <t xml:space="preserve">   </t>
    </r>
    <r>
      <rPr>
        <sz val="10"/>
        <rFont val="宋体"/>
        <family val="3"/>
        <charset val="134"/>
      </rPr>
      <t>金</t>
    </r>
    <r>
      <rPr>
        <sz val="10"/>
        <rFont val="Arial Narrow"/>
        <family val="2"/>
      </rPr>
      <t xml:space="preserve">  </t>
    </r>
    <r>
      <rPr>
        <sz val="10"/>
        <rFont val="宋体"/>
        <family val="3"/>
        <charset val="134"/>
      </rPr>
      <t>额</t>
    </r>
  </si>
  <si>
    <r>
      <rPr>
        <sz val="10"/>
        <rFont val="宋体"/>
        <family val="3"/>
        <charset val="134"/>
      </rPr>
      <t>期末货币资金</t>
    </r>
  </si>
  <si>
    <r>
      <rPr>
        <sz val="10"/>
        <rFont val="宋体"/>
        <family val="3"/>
        <charset val="134"/>
      </rPr>
      <t>减：使用受到限制的存款</t>
    </r>
  </si>
  <si>
    <r>
      <rPr>
        <sz val="10"/>
        <rFont val="宋体"/>
        <family val="3"/>
        <charset val="134"/>
      </rPr>
      <t>加：现金等价物</t>
    </r>
  </si>
  <si>
    <r>
      <rPr>
        <sz val="10"/>
        <rFont val="宋体"/>
        <family val="3"/>
        <charset val="134"/>
      </rPr>
      <t>期末现金及现金等价物余额</t>
    </r>
  </si>
  <si>
    <r>
      <rPr>
        <sz val="10"/>
        <rFont val="宋体"/>
        <family val="3"/>
        <charset val="134"/>
      </rPr>
      <t>减：期初现金及现金等价物余额</t>
    </r>
  </si>
  <si>
    <r>
      <rPr>
        <sz val="10"/>
        <rFont val="宋体"/>
        <family val="3"/>
        <charset val="134"/>
      </rPr>
      <t>现金及现金等价物净增加</t>
    </r>
    <r>
      <rPr>
        <sz val="10"/>
        <rFont val="Arial Narrow"/>
        <family val="2"/>
      </rPr>
      <t>/</t>
    </r>
    <r>
      <rPr>
        <sz val="10"/>
        <rFont val="宋体"/>
        <family val="3"/>
        <charset val="134"/>
      </rPr>
      <t>（减少）额</t>
    </r>
  </si>
  <si>
    <r>
      <rPr>
        <sz val="10"/>
        <rFont val="宋体"/>
        <family val="3"/>
        <charset val="134"/>
      </rPr>
      <t>说明：因抵押或冻结等对使用有限制、存放在境外、有潜在回收风险的款项内容</t>
    </r>
  </si>
  <si>
    <r>
      <rPr>
        <b/>
        <sz val="12"/>
        <rFont val="宋体"/>
        <family val="3"/>
        <charset val="134"/>
      </rPr>
      <t>以公允价值计量且其变动计入当期损益的金融资产</t>
    </r>
  </si>
  <si>
    <r>
      <rPr>
        <sz val="10"/>
        <rFont val="宋体"/>
        <family val="3"/>
        <charset val="134"/>
      </rPr>
      <t>项</t>
    </r>
    <r>
      <rPr>
        <sz val="10"/>
        <rFont val="Arial Narrow"/>
        <family val="2"/>
      </rPr>
      <t xml:space="preserve">  </t>
    </r>
    <r>
      <rPr>
        <sz val="10"/>
        <rFont val="宋体"/>
        <family val="3"/>
        <charset val="134"/>
      </rPr>
      <t>目</t>
    </r>
  </si>
  <si>
    <r>
      <rPr>
        <sz val="10"/>
        <rFont val="宋体"/>
        <family val="3"/>
        <charset val="134"/>
      </rPr>
      <t>交易性金融资产</t>
    </r>
  </si>
  <si>
    <r>
      <rPr>
        <sz val="10"/>
        <rFont val="Arial Narrow"/>
        <family val="2"/>
      </rPr>
      <t xml:space="preserve">  </t>
    </r>
    <r>
      <rPr>
        <sz val="10"/>
        <rFont val="宋体"/>
        <family val="3"/>
        <charset val="134"/>
      </rPr>
      <t>其中：债务工具投资</t>
    </r>
  </si>
  <si>
    <r>
      <rPr>
        <sz val="10"/>
        <rFont val="Arial Narrow"/>
        <family val="2"/>
      </rPr>
      <t xml:space="preserve">        </t>
    </r>
    <r>
      <rPr>
        <sz val="10"/>
        <rFont val="宋体"/>
        <family val="3"/>
        <charset val="134"/>
      </rPr>
      <t>权益工具投资</t>
    </r>
  </si>
  <si>
    <r>
      <rPr>
        <sz val="10"/>
        <rFont val="Arial Narrow"/>
        <family val="2"/>
      </rPr>
      <t xml:space="preserve">        </t>
    </r>
    <r>
      <rPr>
        <sz val="10"/>
        <rFont val="宋体"/>
        <family val="3"/>
        <charset val="134"/>
      </rPr>
      <t>衍生金融资产</t>
    </r>
  </si>
  <si>
    <r>
      <rPr>
        <sz val="10"/>
        <rFont val="Arial Narrow"/>
        <family val="2"/>
      </rPr>
      <t xml:space="preserve">        </t>
    </r>
    <r>
      <rPr>
        <sz val="10"/>
        <rFont val="宋体"/>
        <family val="3"/>
        <charset val="134"/>
      </rPr>
      <t>其他</t>
    </r>
  </si>
  <si>
    <r>
      <rPr>
        <sz val="10"/>
        <rFont val="宋体"/>
        <family val="3"/>
        <charset val="134"/>
      </rPr>
      <t>指定为以公允价值计量且其变动计入当期损益的金融资产</t>
    </r>
  </si>
  <si>
    <r>
      <rPr>
        <sz val="10"/>
        <rFont val="宋体"/>
        <family val="3"/>
        <charset val="134"/>
      </rPr>
      <t>报表金额</t>
    </r>
  </si>
  <si>
    <r>
      <rPr>
        <sz val="10"/>
        <rFont val="宋体"/>
        <family val="3"/>
        <charset val="134"/>
      </rPr>
      <t>说明：</t>
    </r>
  </si>
  <si>
    <r>
      <rPr>
        <sz val="10"/>
        <rFont val="宋体"/>
        <family val="3"/>
        <charset val="134"/>
      </rPr>
      <t>（</t>
    </r>
    <r>
      <rPr>
        <sz val="10"/>
        <rFont val="Arial Narrow"/>
        <family val="2"/>
      </rPr>
      <t>1</t>
    </r>
    <r>
      <rPr>
        <sz val="10"/>
        <rFont val="宋体"/>
        <family val="3"/>
        <charset val="134"/>
      </rPr>
      <t>）管理层认为交易性金融资产投资变现</t>
    </r>
    <r>
      <rPr>
        <sz val="10"/>
        <rFont val="Arial Narrow"/>
        <family val="2"/>
      </rPr>
      <t>[</t>
    </r>
    <r>
      <rPr>
        <sz val="10"/>
        <rFont val="宋体"/>
        <family val="3"/>
        <charset val="134"/>
      </rPr>
      <t>不存在重大限制</t>
    </r>
    <r>
      <rPr>
        <sz val="10"/>
        <rFont val="Arial Narrow"/>
        <family val="2"/>
      </rPr>
      <t>]</t>
    </r>
    <r>
      <rPr>
        <sz val="10"/>
        <rFont val="宋体"/>
        <family val="3"/>
        <charset val="134"/>
      </rPr>
      <t>。</t>
    </r>
    <r>
      <rPr>
        <sz val="10"/>
        <rFont val="Arial Narrow"/>
        <family val="2"/>
      </rPr>
      <t>/</t>
    </r>
    <r>
      <rPr>
        <sz val="10"/>
        <rFont val="宋体"/>
        <family val="3"/>
        <charset val="134"/>
      </rPr>
      <t>〔存在下列限制：具体限制及原因〕）</t>
    </r>
  </si>
  <si>
    <r>
      <rPr>
        <sz val="10"/>
        <rFont val="宋体"/>
        <family val="3"/>
        <charset val="134"/>
      </rPr>
      <t>（</t>
    </r>
    <r>
      <rPr>
        <sz val="10"/>
        <rFont val="Arial Narrow"/>
        <family val="2"/>
      </rPr>
      <t>2</t>
    </r>
    <r>
      <rPr>
        <sz val="10"/>
        <rFont val="宋体"/>
        <family val="3"/>
        <charset val="134"/>
      </rPr>
      <t>）请说明交易性金融资产期末公允价值的确认方法及对当期损益的影响，如采用估值技术确定公允价值时，应详细披露估值模型、重要参数的选取依据和估值过程，以及必要的敏感性分析。</t>
    </r>
  </si>
  <si>
    <r>
      <rPr>
        <b/>
        <sz val="12"/>
        <rFont val="宋体"/>
        <family val="3"/>
        <charset val="134"/>
      </rPr>
      <t>衍生金融资产</t>
    </r>
  </si>
  <si>
    <r>
      <rPr>
        <sz val="10"/>
        <color rgb="FF000000"/>
        <rFont val="宋体"/>
        <family val="3"/>
        <charset val="134"/>
      </rPr>
      <t>期末公允价值</t>
    </r>
  </si>
  <si>
    <r>
      <rPr>
        <sz val="10"/>
        <color rgb="FF0000FF"/>
        <rFont val="宋体"/>
        <family val="3"/>
        <charset val="134"/>
      </rPr>
      <t>说明：（衍生金融资产产生的原因以及相关会计处理。）</t>
    </r>
  </si>
  <si>
    <r>
      <rPr>
        <sz val="10"/>
        <rFont val="宋体"/>
        <family val="3"/>
        <charset val="134"/>
      </rPr>
      <t>种</t>
    </r>
    <r>
      <rPr>
        <sz val="10"/>
        <rFont val="Arial Narrow"/>
        <family val="2"/>
      </rPr>
      <t xml:space="preserve">  </t>
    </r>
    <r>
      <rPr>
        <sz val="10"/>
        <rFont val="宋体"/>
        <family val="3"/>
        <charset val="134"/>
      </rPr>
      <t>类</t>
    </r>
  </si>
  <si>
    <r>
      <rPr>
        <b/>
        <sz val="12"/>
        <rFont val="宋体"/>
        <family val="3"/>
        <charset val="134"/>
      </rPr>
      <t>应收票据</t>
    </r>
  </si>
  <si>
    <r>
      <rPr>
        <sz val="10"/>
        <rFont val="宋体"/>
        <family val="3"/>
        <charset val="134"/>
      </rPr>
      <t>银行承兑汇票</t>
    </r>
  </si>
  <si>
    <r>
      <rPr>
        <sz val="10"/>
        <rFont val="宋体"/>
        <family val="3"/>
        <charset val="134"/>
      </rPr>
      <t>商业承兑汇票</t>
    </r>
  </si>
  <si>
    <t>如发生减值披露格式如下：</t>
  </si>
  <si>
    <t>种  类</t>
  </si>
  <si>
    <t>期末数</t>
  </si>
  <si>
    <t>期末余额</t>
  </si>
  <si>
    <t>坏账准备</t>
  </si>
  <si>
    <t>期末账面价值</t>
  </si>
  <si>
    <t>银行承兑汇票</t>
  </si>
  <si>
    <t>商业承兑汇票</t>
  </si>
  <si>
    <r>
      <rPr>
        <sz val="10"/>
        <rFont val="Arial Narrow"/>
        <family val="2"/>
      </rPr>
      <t>合</t>
    </r>
    <r>
      <rPr>
        <b/>
        <sz val="10"/>
        <color theme="1"/>
        <rFont val="Arial Narrow"/>
        <family val="2"/>
      </rPr>
      <t xml:space="preserve">  </t>
    </r>
    <r>
      <rPr>
        <b/>
        <sz val="10"/>
        <color theme="1"/>
        <rFont val="仿宋_GB2312"/>
        <family val="3"/>
        <charset val="134"/>
      </rPr>
      <t>计</t>
    </r>
  </si>
  <si>
    <r>
      <rPr>
        <sz val="10"/>
        <rFont val="宋体"/>
        <family val="3"/>
        <charset val="134"/>
      </rPr>
      <t>其中，用于质押的票据如下：</t>
    </r>
  </si>
  <si>
    <r>
      <rPr>
        <sz val="10"/>
        <rFont val="宋体"/>
        <family val="3"/>
        <charset val="134"/>
      </rPr>
      <t>期末已质押金额</t>
    </r>
  </si>
  <si>
    <r>
      <rPr>
        <sz val="10"/>
        <rFont val="宋体"/>
        <family val="3"/>
        <charset val="134"/>
      </rPr>
      <t>其中，已背书或贴现但尚未到期的应收票据</t>
    </r>
  </si>
  <si>
    <r>
      <rPr>
        <sz val="10"/>
        <rFont val="宋体"/>
        <family val="3"/>
        <charset val="134"/>
      </rPr>
      <t>期末终止确认金额</t>
    </r>
  </si>
  <si>
    <r>
      <rPr>
        <sz val="10"/>
        <rFont val="宋体"/>
        <family val="3"/>
        <charset val="134"/>
      </rPr>
      <t>期末未终止确认金额</t>
    </r>
  </si>
  <si>
    <r>
      <rPr>
        <sz val="10"/>
        <rFont val="宋体"/>
        <family val="3"/>
        <charset val="134"/>
      </rPr>
      <t>银行承兑票据</t>
    </r>
  </si>
  <si>
    <r>
      <rPr>
        <sz val="10"/>
        <rFont val="宋体"/>
        <family val="3"/>
        <charset val="134"/>
      </rPr>
      <t>商业承兑票据</t>
    </r>
  </si>
  <si>
    <r>
      <rPr>
        <sz val="10"/>
        <color theme="1"/>
        <rFont val="宋体"/>
        <family val="3"/>
        <charset val="134"/>
      </rPr>
      <t>可无限量添加行</t>
    </r>
  </si>
  <si>
    <r>
      <rPr>
        <sz val="10"/>
        <rFont val="宋体"/>
        <family val="3"/>
        <charset val="134"/>
      </rPr>
      <t>其中，因出票人未履约而其转应收账款</t>
    </r>
  </si>
  <si>
    <r>
      <rPr>
        <sz val="10"/>
        <rFont val="宋体"/>
        <family val="3"/>
        <charset val="134"/>
      </rPr>
      <t>期末转应收账款金额</t>
    </r>
  </si>
  <si>
    <r>
      <rPr>
        <b/>
        <sz val="12"/>
        <rFont val="宋体"/>
        <family val="3"/>
        <charset val="134"/>
      </rPr>
      <t>应收账款</t>
    </r>
  </si>
  <si>
    <r>
      <rPr>
        <b/>
        <sz val="10"/>
        <rFont val="宋体"/>
        <family val="3"/>
        <charset val="134"/>
      </rPr>
      <t>（</t>
    </r>
    <r>
      <rPr>
        <b/>
        <sz val="10"/>
        <rFont val="Arial Narrow"/>
        <family val="2"/>
      </rPr>
      <t>1</t>
    </r>
    <r>
      <rPr>
        <b/>
        <sz val="10"/>
        <rFont val="宋体"/>
        <family val="3"/>
        <charset val="134"/>
      </rPr>
      <t>）</t>
    </r>
    <r>
      <rPr>
        <b/>
        <sz val="10"/>
        <rFont val="Arial Narrow"/>
        <family val="2"/>
      </rPr>
      <t>A</t>
    </r>
    <r>
      <rPr>
        <b/>
        <sz val="10"/>
        <rFont val="宋体"/>
        <family val="3"/>
        <charset val="134"/>
      </rPr>
      <t>、按风险分类</t>
    </r>
  </si>
  <si>
    <r>
      <rPr>
        <b/>
        <sz val="10"/>
        <rFont val="宋体"/>
        <family val="3"/>
        <charset val="134"/>
      </rPr>
      <t>类</t>
    </r>
    <r>
      <rPr>
        <b/>
        <sz val="10"/>
        <rFont val="Arial Narrow"/>
        <family val="2"/>
      </rPr>
      <t xml:space="preserve">  </t>
    </r>
    <r>
      <rPr>
        <b/>
        <sz val="10"/>
        <rFont val="宋体"/>
        <family val="3"/>
        <charset val="134"/>
      </rPr>
      <t>别</t>
    </r>
  </si>
  <si>
    <r>
      <rPr>
        <b/>
        <sz val="10"/>
        <rFont val="宋体"/>
        <family val="3"/>
        <charset val="134"/>
      </rPr>
      <t>期末</t>
    </r>
  </si>
  <si>
    <r>
      <rPr>
        <b/>
        <sz val="10"/>
        <rFont val="宋体"/>
        <family val="3"/>
        <charset val="134"/>
      </rPr>
      <t>金</t>
    </r>
    <r>
      <rPr>
        <b/>
        <sz val="10"/>
        <rFont val="Arial Narrow"/>
        <family val="2"/>
      </rPr>
      <t xml:space="preserve"> </t>
    </r>
    <r>
      <rPr>
        <b/>
        <sz val="10"/>
        <rFont val="宋体"/>
        <family val="3"/>
        <charset val="134"/>
      </rPr>
      <t>额</t>
    </r>
  </si>
  <si>
    <r>
      <rPr>
        <b/>
        <sz val="10"/>
        <rFont val="宋体"/>
        <family val="3"/>
        <charset val="134"/>
      </rPr>
      <t>坏账准备</t>
    </r>
  </si>
  <si>
    <r>
      <rPr>
        <sz val="10"/>
        <rFont val="宋体"/>
        <family val="3"/>
        <charset val="134"/>
      </rPr>
      <t>单项金额重大的应收账款</t>
    </r>
  </si>
  <si>
    <r>
      <rPr>
        <sz val="10"/>
        <rFont val="宋体"/>
        <family val="3"/>
        <charset val="134"/>
      </rPr>
      <t>单项金额不重大但按信用风险特征组合后该组合的风险较大的应收账款（组合依据见附注四（</t>
    </r>
    <r>
      <rPr>
        <sz val="10"/>
        <rFont val="Arial Narrow"/>
        <family val="2"/>
      </rPr>
      <t>7</t>
    </r>
    <r>
      <rPr>
        <sz val="10"/>
        <rFont val="宋体"/>
        <family val="3"/>
        <charset val="134"/>
      </rPr>
      <t>））</t>
    </r>
  </si>
  <si>
    <r>
      <rPr>
        <sz val="10"/>
        <rFont val="宋体"/>
        <family val="3"/>
        <charset val="134"/>
      </rPr>
      <t>其他不重大应收账款</t>
    </r>
  </si>
  <si>
    <r>
      <rPr>
        <b/>
        <sz val="10"/>
        <rFont val="宋体"/>
        <family val="3"/>
        <charset val="134"/>
      </rPr>
      <t>（</t>
    </r>
    <r>
      <rPr>
        <b/>
        <sz val="10"/>
        <rFont val="Arial Narrow"/>
        <family val="2"/>
      </rPr>
      <t>1</t>
    </r>
    <r>
      <rPr>
        <b/>
        <sz val="10"/>
        <rFont val="宋体"/>
        <family val="3"/>
        <charset val="134"/>
      </rPr>
      <t>）</t>
    </r>
    <r>
      <rPr>
        <b/>
        <sz val="10"/>
        <rFont val="Arial Narrow"/>
        <family val="2"/>
      </rPr>
      <t>B</t>
    </r>
    <r>
      <rPr>
        <b/>
        <sz val="10"/>
        <rFont val="宋体"/>
        <family val="3"/>
        <charset val="134"/>
      </rPr>
      <t>、期末单项金额重大并单项计提坏账准备的应收账款</t>
    </r>
  </si>
  <si>
    <r>
      <rPr>
        <b/>
        <sz val="10"/>
        <rFont val="宋体"/>
        <family val="3"/>
        <charset val="134"/>
      </rPr>
      <t>应收账款（按单位）</t>
    </r>
  </si>
  <si>
    <r>
      <rPr>
        <b/>
        <sz val="10"/>
        <rFont val="宋体"/>
        <family val="3"/>
        <charset val="134"/>
      </rPr>
      <t>账面余额</t>
    </r>
  </si>
  <si>
    <r>
      <rPr>
        <b/>
        <sz val="10"/>
        <rFont val="宋体"/>
        <family val="3"/>
        <charset val="134"/>
      </rPr>
      <t>计提比例</t>
    </r>
    <r>
      <rPr>
        <b/>
        <sz val="10"/>
        <rFont val="Arial Narrow"/>
        <family val="2"/>
      </rPr>
      <t>%</t>
    </r>
  </si>
  <si>
    <r>
      <rPr>
        <b/>
        <sz val="10"/>
        <rFont val="宋体"/>
        <family val="3"/>
        <charset val="134"/>
      </rPr>
      <t>计提理由</t>
    </r>
  </si>
  <si>
    <r>
      <rPr>
        <sz val="10"/>
        <color indexed="8"/>
        <rFont val="宋体"/>
        <family val="3"/>
        <charset val="134"/>
      </rPr>
      <t>核对金额</t>
    </r>
  </si>
  <si>
    <r>
      <rPr>
        <b/>
        <sz val="10"/>
        <rFont val="宋体"/>
        <family val="3"/>
        <charset val="134"/>
      </rPr>
      <t>（</t>
    </r>
    <r>
      <rPr>
        <b/>
        <sz val="10"/>
        <rFont val="Arial Narrow"/>
        <family val="2"/>
      </rPr>
      <t>1</t>
    </r>
    <r>
      <rPr>
        <b/>
        <sz val="10"/>
        <rFont val="宋体"/>
        <family val="3"/>
        <charset val="134"/>
      </rPr>
      <t>）</t>
    </r>
    <r>
      <rPr>
        <b/>
        <sz val="10"/>
        <rFont val="Arial Narrow"/>
        <family val="2"/>
      </rPr>
      <t>C</t>
    </r>
    <r>
      <rPr>
        <b/>
        <sz val="10"/>
        <rFont val="宋体"/>
        <family val="3"/>
        <charset val="134"/>
      </rPr>
      <t>、账龄组合（和</t>
    </r>
    <r>
      <rPr>
        <b/>
        <sz val="10"/>
        <rFont val="Arial Narrow"/>
        <family val="2"/>
      </rPr>
      <t>XX</t>
    </r>
    <r>
      <rPr>
        <b/>
        <sz val="10"/>
        <rFont val="宋体"/>
        <family val="3"/>
        <charset val="134"/>
      </rPr>
      <t>组合），按账龄分析法计提坏账准备的应收账款</t>
    </r>
  </si>
  <si>
    <r>
      <rPr>
        <b/>
        <sz val="10"/>
        <rFont val="宋体"/>
        <family val="3"/>
        <charset val="134"/>
      </rPr>
      <t>账</t>
    </r>
    <r>
      <rPr>
        <b/>
        <sz val="10"/>
        <rFont val="Arial Narrow"/>
        <family val="2"/>
      </rPr>
      <t xml:space="preserve"> </t>
    </r>
    <r>
      <rPr>
        <b/>
        <sz val="10"/>
        <rFont val="宋体"/>
        <family val="3"/>
        <charset val="134"/>
      </rPr>
      <t>龄</t>
    </r>
  </si>
  <si>
    <r>
      <rPr>
        <sz val="10"/>
        <rFont val="Arial Narrow"/>
        <family val="2"/>
      </rPr>
      <t>1</t>
    </r>
    <r>
      <rPr>
        <sz val="10"/>
        <rFont val="宋体"/>
        <family val="3"/>
        <charset val="134"/>
      </rPr>
      <t>年以内</t>
    </r>
  </si>
  <si>
    <r>
      <rPr>
        <sz val="10"/>
        <rFont val="Arial Narrow"/>
        <family val="2"/>
      </rPr>
      <t>1</t>
    </r>
    <r>
      <rPr>
        <sz val="10"/>
        <rFont val="宋体"/>
        <family val="3"/>
        <charset val="134"/>
      </rPr>
      <t>至</t>
    </r>
    <r>
      <rPr>
        <sz val="10"/>
        <rFont val="Arial Narrow"/>
        <family val="2"/>
      </rPr>
      <t>2</t>
    </r>
    <r>
      <rPr>
        <sz val="10"/>
        <rFont val="宋体"/>
        <family val="3"/>
        <charset val="134"/>
      </rPr>
      <t>年</t>
    </r>
  </si>
  <si>
    <r>
      <rPr>
        <sz val="10"/>
        <rFont val="Arial Narrow"/>
        <family val="2"/>
      </rPr>
      <t>2</t>
    </r>
    <r>
      <rPr>
        <sz val="10"/>
        <rFont val="宋体"/>
        <family val="3"/>
        <charset val="134"/>
      </rPr>
      <t>至</t>
    </r>
    <r>
      <rPr>
        <sz val="10"/>
        <rFont val="Arial Narrow"/>
        <family val="2"/>
      </rPr>
      <t>3</t>
    </r>
    <r>
      <rPr>
        <sz val="10"/>
        <rFont val="宋体"/>
        <family val="3"/>
        <charset val="134"/>
      </rPr>
      <t>年</t>
    </r>
  </si>
  <si>
    <r>
      <rPr>
        <sz val="10"/>
        <color theme="1"/>
        <rFont val="Arial Narrow"/>
        <family val="2"/>
      </rPr>
      <t>3</t>
    </r>
    <r>
      <rPr>
        <sz val="10"/>
        <color theme="1"/>
        <rFont val="宋体"/>
        <family val="3"/>
        <charset val="134"/>
      </rPr>
      <t>至</t>
    </r>
    <r>
      <rPr>
        <sz val="10"/>
        <color theme="1"/>
        <rFont val="Arial Narrow"/>
        <family val="2"/>
      </rPr>
      <t>4</t>
    </r>
    <r>
      <rPr>
        <sz val="10"/>
        <color theme="1"/>
        <rFont val="宋体"/>
        <family val="3"/>
        <charset val="134"/>
      </rPr>
      <t>年</t>
    </r>
  </si>
  <si>
    <r>
      <rPr>
        <sz val="10"/>
        <color theme="1"/>
        <rFont val="Arial Narrow"/>
        <family val="2"/>
      </rPr>
      <t>4</t>
    </r>
    <r>
      <rPr>
        <sz val="10"/>
        <color theme="1"/>
        <rFont val="宋体"/>
        <family val="3"/>
        <charset val="134"/>
      </rPr>
      <t>至</t>
    </r>
    <r>
      <rPr>
        <sz val="10"/>
        <color theme="1"/>
        <rFont val="Arial Narrow"/>
        <family val="2"/>
      </rPr>
      <t>5</t>
    </r>
    <r>
      <rPr>
        <sz val="10"/>
        <color theme="1"/>
        <rFont val="宋体"/>
        <family val="3"/>
        <charset val="134"/>
      </rPr>
      <t>年</t>
    </r>
  </si>
  <si>
    <r>
      <rPr>
        <sz val="10"/>
        <color theme="1"/>
        <rFont val="Arial Narrow"/>
        <family val="2"/>
      </rPr>
      <t>5</t>
    </r>
    <r>
      <rPr>
        <sz val="10"/>
        <color theme="1"/>
        <rFont val="宋体"/>
        <family val="3"/>
        <charset val="134"/>
      </rPr>
      <t>年以上</t>
    </r>
  </si>
  <si>
    <r>
      <rPr>
        <sz val="10"/>
        <rFont val="宋体"/>
        <family val="3"/>
        <charset val="134"/>
      </rPr>
      <t>合</t>
    </r>
    <r>
      <rPr>
        <sz val="10"/>
        <rFont val="Arial Narrow"/>
        <family val="2"/>
      </rPr>
      <t xml:space="preserve"> </t>
    </r>
    <r>
      <rPr>
        <sz val="10"/>
        <rFont val="宋体"/>
        <family val="3"/>
        <charset val="134"/>
      </rPr>
      <t>计</t>
    </r>
  </si>
  <si>
    <r>
      <rPr>
        <b/>
        <sz val="10"/>
        <rFont val="宋体"/>
        <family val="3"/>
        <charset val="134"/>
      </rPr>
      <t>（</t>
    </r>
    <r>
      <rPr>
        <b/>
        <sz val="10"/>
        <rFont val="Arial Narrow"/>
        <family val="2"/>
      </rPr>
      <t>2</t>
    </r>
    <r>
      <rPr>
        <b/>
        <sz val="10"/>
        <rFont val="宋体"/>
        <family val="3"/>
        <charset val="134"/>
      </rPr>
      <t>）本期计提、收回或转回的坏账准备情况</t>
    </r>
  </si>
  <si>
    <r>
      <rPr>
        <sz val="10"/>
        <rFont val="宋体"/>
        <family val="3"/>
        <charset val="134"/>
      </rPr>
      <t>本期计提坏账准备金额</t>
    </r>
    <r>
      <rPr>
        <sz val="10"/>
        <rFont val="Arial Narrow"/>
        <family val="2"/>
      </rPr>
      <t>XX</t>
    </r>
    <r>
      <rPr>
        <sz val="10"/>
        <rFont val="宋体"/>
        <family val="3"/>
        <charset val="134"/>
      </rPr>
      <t>元；本期收回或转回坏账准备金额</t>
    </r>
    <r>
      <rPr>
        <sz val="10"/>
        <rFont val="Arial Narrow"/>
        <family val="2"/>
      </rPr>
      <t>XX</t>
    </r>
    <r>
      <rPr>
        <sz val="10"/>
        <rFont val="宋体"/>
        <family val="3"/>
        <charset val="134"/>
      </rPr>
      <t>元。</t>
    </r>
  </si>
  <si>
    <r>
      <rPr>
        <sz val="10"/>
        <rFont val="宋体"/>
        <family val="3"/>
        <charset val="134"/>
      </rPr>
      <t>其中，本期坏账准备转回或收回金额重要的：</t>
    </r>
  </si>
  <si>
    <r>
      <rPr>
        <b/>
        <sz val="10"/>
        <rFont val="宋体"/>
        <family val="3"/>
        <charset val="134"/>
      </rPr>
      <t>单位名称</t>
    </r>
  </si>
  <si>
    <r>
      <rPr>
        <b/>
        <sz val="10"/>
        <rFont val="宋体"/>
        <family val="3"/>
        <charset val="134"/>
      </rPr>
      <t>转回原因</t>
    </r>
  </si>
  <si>
    <r>
      <rPr>
        <b/>
        <sz val="10"/>
        <rFont val="宋体"/>
        <family val="3"/>
        <charset val="134"/>
      </rPr>
      <t>收回方式</t>
    </r>
  </si>
  <si>
    <r>
      <rPr>
        <b/>
        <sz val="10"/>
        <rFont val="宋体"/>
        <family val="3"/>
        <charset val="134"/>
      </rPr>
      <t>原确定坏账准备的依据</t>
    </r>
  </si>
  <si>
    <r>
      <rPr>
        <b/>
        <sz val="10"/>
        <rFont val="宋体"/>
        <family val="3"/>
        <charset val="134"/>
      </rPr>
      <t>转回或收回金额</t>
    </r>
  </si>
  <si>
    <r>
      <rPr>
        <sz val="10"/>
        <color rgb="FF0000FF"/>
        <rFont val="宋体"/>
        <family val="3"/>
        <charset val="134"/>
      </rPr>
      <t>可无限量添加行</t>
    </r>
  </si>
  <si>
    <r>
      <rPr>
        <b/>
        <sz val="10"/>
        <rFont val="宋体"/>
        <family val="3"/>
        <charset val="134"/>
      </rPr>
      <t>（</t>
    </r>
    <r>
      <rPr>
        <b/>
        <sz val="10"/>
        <rFont val="Arial Narrow"/>
        <family val="2"/>
      </rPr>
      <t>3</t>
    </r>
    <r>
      <rPr>
        <b/>
        <sz val="10"/>
        <rFont val="宋体"/>
        <family val="3"/>
        <charset val="134"/>
      </rPr>
      <t>）本期实际核销的应收账款情况</t>
    </r>
  </si>
  <si>
    <r>
      <rPr>
        <b/>
        <sz val="10"/>
        <rFont val="宋体"/>
        <family val="3"/>
        <charset val="134"/>
      </rPr>
      <t>核销金额</t>
    </r>
  </si>
  <si>
    <r>
      <rPr>
        <sz val="10"/>
        <rFont val="宋体"/>
        <family val="3"/>
        <charset val="134"/>
      </rPr>
      <t>实际核销的应收账款</t>
    </r>
  </si>
  <si>
    <r>
      <rPr>
        <sz val="10"/>
        <rFont val="宋体"/>
        <family val="3"/>
        <charset val="134"/>
      </rPr>
      <t>其中，重要的应收账款核销情况（逐项披露）：</t>
    </r>
  </si>
  <si>
    <r>
      <rPr>
        <b/>
        <sz val="10"/>
        <rFont val="宋体"/>
        <family val="3"/>
        <charset val="134"/>
      </rPr>
      <t>应收账款性质</t>
    </r>
  </si>
  <si>
    <r>
      <rPr>
        <b/>
        <sz val="10"/>
        <rFont val="宋体"/>
        <family val="3"/>
        <charset val="134"/>
      </rPr>
      <t>核销原因</t>
    </r>
  </si>
  <si>
    <r>
      <rPr>
        <b/>
        <sz val="10"/>
        <rFont val="宋体"/>
        <family val="3"/>
        <charset val="134"/>
      </rPr>
      <t>履行的核销程序</t>
    </r>
  </si>
  <si>
    <r>
      <rPr>
        <b/>
        <sz val="10"/>
        <rFont val="宋体"/>
        <family val="3"/>
        <charset val="134"/>
      </rPr>
      <t>是否由关联交易产生</t>
    </r>
  </si>
  <si>
    <r>
      <rPr>
        <b/>
        <sz val="10"/>
        <rFont val="宋体"/>
        <family val="3"/>
        <charset val="134"/>
      </rPr>
      <t>（</t>
    </r>
    <r>
      <rPr>
        <b/>
        <sz val="10"/>
        <rFont val="Arial Narrow"/>
        <family val="2"/>
      </rPr>
      <t>4</t>
    </r>
    <r>
      <rPr>
        <b/>
        <sz val="10"/>
        <rFont val="宋体"/>
        <family val="3"/>
        <charset val="134"/>
      </rPr>
      <t>）按欠款方归集的应收账款期末余额前五名单位情况</t>
    </r>
  </si>
  <si>
    <r>
      <rPr>
        <sz val="10"/>
        <color rgb="FF00B0F0"/>
        <rFont val="宋体"/>
        <family val="3"/>
        <charset val="134"/>
      </rPr>
      <t>汇总披露格式：</t>
    </r>
  </si>
  <si>
    <r>
      <rPr>
        <sz val="10"/>
        <rFont val="宋体"/>
        <family val="3"/>
        <charset val="134"/>
      </rPr>
      <t>本期按欠款方归集的期末余额前五名应收账款汇总金额</t>
    </r>
    <r>
      <rPr>
        <sz val="10"/>
        <rFont val="Arial Narrow"/>
        <family val="2"/>
      </rPr>
      <t>XXXX</t>
    </r>
    <r>
      <rPr>
        <sz val="10"/>
        <rFont val="宋体"/>
        <family val="3"/>
        <charset val="134"/>
      </rPr>
      <t>元，占应收账款期末余额合计数的比例</t>
    </r>
    <r>
      <rPr>
        <u/>
        <sz val="10"/>
        <rFont val="Arial Narrow"/>
        <family val="2"/>
      </rPr>
      <t xml:space="preserve">      </t>
    </r>
    <r>
      <rPr>
        <sz val="10"/>
        <rFont val="Arial Narrow"/>
        <family val="2"/>
      </rPr>
      <t>%</t>
    </r>
    <r>
      <rPr>
        <sz val="10"/>
        <rFont val="宋体"/>
        <family val="3"/>
        <charset val="134"/>
      </rPr>
      <t>，相应计提的坏账准备期末余额汇总金额</t>
    </r>
    <r>
      <rPr>
        <sz val="10"/>
        <rFont val="Arial Narrow"/>
        <family val="2"/>
      </rPr>
      <t xml:space="preserve"> XXXX</t>
    </r>
    <r>
      <rPr>
        <sz val="10"/>
        <rFont val="宋体"/>
        <family val="3"/>
        <charset val="134"/>
      </rPr>
      <t>元。</t>
    </r>
  </si>
  <si>
    <r>
      <rPr>
        <sz val="10"/>
        <color rgb="FF00B0F0"/>
        <rFont val="宋体"/>
        <family val="3"/>
        <charset val="134"/>
      </rPr>
      <t>分别披露格式：</t>
    </r>
  </si>
  <si>
    <r>
      <rPr>
        <b/>
        <sz val="10"/>
        <rFont val="宋体"/>
        <family val="3"/>
        <charset val="134"/>
      </rPr>
      <t>应收账款期末余额</t>
    </r>
  </si>
  <si>
    <r>
      <rPr>
        <b/>
        <sz val="10"/>
        <rFont val="宋体"/>
        <family val="3"/>
        <charset val="134"/>
      </rPr>
      <t>占应收账款期末余额合计数的比例</t>
    </r>
    <r>
      <rPr>
        <b/>
        <sz val="10"/>
        <rFont val="Arial Narrow"/>
        <family val="2"/>
      </rPr>
      <t>%</t>
    </r>
  </si>
  <si>
    <r>
      <rPr>
        <b/>
        <sz val="10"/>
        <rFont val="宋体"/>
        <family val="3"/>
        <charset val="134"/>
      </rPr>
      <t>坏账准备期末余额</t>
    </r>
  </si>
  <si>
    <r>
      <rPr>
        <b/>
        <sz val="10"/>
        <rFont val="宋体"/>
        <family val="3"/>
        <charset val="134"/>
      </rPr>
      <t>（</t>
    </r>
    <r>
      <rPr>
        <b/>
        <sz val="10"/>
        <rFont val="Arial Narrow"/>
        <family val="2"/>
      </rPr>
      <t>5</t>
    </r>
    <r>
      <rPr>
        <b/>
        <sz val="10"/>
        <rFont val="宋体"/>
        <family val="3"/>
        <charset val="134"/>
      </rPr>
      <t>）因金融资产转移而终止确认的应收账款情况</t>
    </r>
  </si>
  <si>
    <r>
      <rPr>
        <b/>
        <sz val="10"/>
        <rFont val="宋体"/>
        <family val="3"/>
        <charset val="134"/>
      </rPr>
      <t>项</t>
    </r>
    <r>
      <rPr>
        <b/>
        <sz val="10"/>
        <rFont val="Arial Narrow"/>
        <family val="2"/>
      </rPr>
      <t xml:space="preserve">  </t>
    </r>
    <r>
      <rPr>
        <b/>
        <sz val="10"/>
        <rFont val="宋体"/>
        <family val="3"/>
        <charset val="134"/>
      </rPr>
      <t>目</t>
    </r>
  </si>
  <si>
    <r>
      <rPr>
        <b/>
        <sz val="10"/>
        <rFont val="宋体"/>
        <family val="3"/>
        <charset val="134"/>
      </rPr>
      <t>转移方式</t>
    </r>
  </si>
  <si>
    <r>
      <rPr>
        <b/>
        <sz val="10"/>
        <rFont val="宋体"/>
        <family val="3"/>
        <charset val="134"/>
      </rPr>
      <t>终止确认金额</t>
    </r>
  </si>
  <si>
    <r>
      <rPr>
        <b/>
        <sz val="10"/>
        <rFont val="宋体"/>
        <family val="3"/>
        <charset val="134"/>
      </rPr>
      <t>与终止确认相关的利得或损失</t>
    </r>
  </si>
  <si>
    <r>
      <rPr>
        <sz val="10"/>
        <rFont val="宋体"/>
        <family val="3"/>
        <charset val="134"/>
      </rPr>
      <t>①</t>
    </r>
    <r>
      <rPr>
        <sz val="10"/>
        <color rgb="FFFF0000"/>
        <rFont val="宋体"/>
        <family val="3"/>
        <charset val="134"/>
      </rPr>
      <t>期末，本集团因办理了不附追索权的应收账款保理，保理金额为</t>
    </r>
    <r>
      <rPr>
        <sz val="10"/>
        <color rgb="FFFF0000"/>
        <rFont val="Arial Narrow"/>
        <family val="2"/>
      </rPr>
      <t>XXX</t>
    </r>
    <r>
      <rPr>
        <sz val="10"/>
        <color rgb="FFFF0000"/>
        <rFont val="宋体"/>
        <family val="3"/>
        <charset val="134"/>
      </rPr>
      <t>元，同时终止确认应收账款账面价值为</t>
    </r>
    <r>
      <rPr>
        <sz val="10"/>
        <color rgb="FFFF0000"/>
        <rFont val="Arial Narrow"/>
        <family val="2"/>
      </rPr>
      <t>XXX</t>
    </r>
    <r>
      <rPr>
        <sz val="10"/>
        <color rgb="FFFF0000"/>
        <rFont val="宋体"/>
        <family val="3"/>
        <charset val="134"/>
      </rPr>
      <t>元，账面余额为</t>
    </r>
    <r>
      <rPr>
        <sz val="10"/>
        <color rgb="FFFF0000"/>
        <rFont val="Arial Narrow"/>
        <family val="2"/>
      </rPr>
      <t>XXX</t>
    </r>
    <r>
      <rPr>
        <sz val="10"/>
        <color rgb="FFFF0000"/>
        <rFont val="宋体"/>
        <family val="3"/>
        <charset val="134"/>
      </rPr>
      <t>元，账龄为一年以内，已计提坏账准备</t>
    </r>
    <r>
      <rPr>
        <sz val="10"/>
        <color rgb="FFFF0000"/>
        <rFont val="Arial Narrow"/>
        <family val="2"/>
      </rPr>
      <t>XXX</t>
    </r>
    <r>
      <rPr>
        <sz val="10"/>
        <color rgb="FFFF0000"/>
        <rFont val="宋体"/>
        <family val="3"/>
        <charset val="134"/>
      </rPr>
      <t>元。</t>
    </r>
  </si>
  <si>
    <r>
      <rPr>
        <sz val="10"/>
        <rFont val="宋体"/>
        <family val="3"/>
        <charset val="134"/>
      </rPr>
      <t>②（</t>
    </r>
    <r>
      <rPr>
        <sz val="10"/>
        <color rgb="FF0000FF"/>
        <rFont val="宋体"/>
        <family val="3"/>
        <charset val="134"/>
      </rPr>
      <t>不符合终止确认条件的应收账款的转移，应在附注中单独列示其金额。）参考披露格式：</t>
    </r>
  </si>
  <si>
    <r>
      <rPr>
        <sz val="10"/>
        <rFont val="宋体"/>
        <family val="3"/>
        <charset val="134"/>
      </rPr>
      <t>期末，本集团共有账面价值为</t>
    </r>
    <r>
      <rPr>
        <sz val="10"/>
        <color rgb="FFFF0000"/>
        <rFont val="Arial Narrow"/>
        <family val="2"/>
      </rPr>
      <t>XXX</t>
    </r>
    <r>
      <rPr>
        <sz val="10"/>
        <color rgb="FFFF0000"/>
        <rFont val="宋体"/>
        <family val="3"/>
        <charset val="134"/>
      </rPr>
      <t>元的应收账款，账面余额为</t>
    </r>
    <r>
      <rPr>
        <sz val="10"/>
        <color rgb="FFFF0000"/>
        <rFont val="Arial Narrow"/>
        <family val="2"/>
      </rPr>
      <t>XXX</t>
    </r>
    <r>
      <rPr>
        <sz val="10"/>
        <color rgb="FFFF0000"/>
        <rFont val="宋体"/>
        <family val="3"/>
        <charset val="134"/>
      </rPr>
      <t>元，已计提坏账准备</t>
    </r>
    <r>
      <rPr>
        <sz val="10"/>
        <color rgb="FFFF0000"/>
        <rFont val="Arial Narrow"/>
        <family val="2"/>
      </rPr>
      <t>XXX</t>
    </r>
    <r>
      <rPr>
        <sz val="10"/>
        <color rgb="FFFF0000"/>
        <rFont val="宋体"/>
        <family val="3"/>
        <charset val="134"/>
      </rPr>
      <t>元，质押给银行取得短期借款</t>
    </r>
    <r>
      <rPr>
        <sz val="10"/>
        <color rgb="FFFF0000"/>
        <rFont val="Arial Narrow"/>
        <family val="2"/>
      </rPr>
      <t>XXX</t>
    </r>
    <r>
      <rPr>
        <sz val="10"/>
        <color rgb="FFFF0000"/>
        <rFont val="宋体"/>
        <family val="3"/>
        <charset val="134"/>
      </rPr>
      <t>元。</t>
    </r>
  </si>
  <si>
    <r>
      <rPr>
        <b/>
        <sz val="10"/>
        <rFont val="宋体"/>
        <family val="3"/>
        <charset val="134"/>
      </rPr>
      <t>（</t>
    </r>
    <r>
      <rPr>
        <b/>
        <sz val="10"/>
        <rFont val="Arial Narrow"/>
        <family val="2"/>
      </rPr>
      <t>6</t>
    </r>
    <r>
      <rPr>
        <b/>
        <sz val="10"/>
        <rFont val="宋体"/>
        <family val="3"/>
        <charset val="134"/>
      </rPr>
      <t>）转移应收账款且继续涉入形成的资产、负债的金额</t>
    </r>
  </si>
  <si>
    <r>
      <rPr>
        <b/>
        <sz val="10"/>
        <rFont val="宋体"/>
        <family val="3"/>
        <charset val="134"/>
      </rPr>
      <t>期末数</t>
    </r>
  </si>
  <si>
    <r>
      <rPr>
        <sz val="10"/>
        <rFont val="宋体"/>
        <family val="3"/>
        <charset val="134"/>
      </rPr>
      <t>资产：</t>
    </r>
  </si>
  <si>
    <r>
      <rPr>
        <sz val="10"/>
        <rFont val="宋体"/>
        <family val="3"/>
        <charset val="134"/>
      </rPr>
      <t>资产小计</t>
    </r>
  </si>
  <si>
    <t>X.XX</t>
  </si>
  <si>
    <r>
      <rPr>
        <sz val="10"/>
        <rFont val="宋体"/>
        <family val="3"/>
        <charset val="134"/>
      </rPr>
      <t>负债：</t>
    </r>
  </si>
  <si>
    <r>
      <rPr>
        <sz val="10"/>
        <rFont val="宋体"/>
        <family val="3"/>
        <charset val="134"/>
      </rPr>
      <t>负债小计</t>
    </r>
  </si>
  <si>
    <r>
      <rPr>
        <sz val="10"/>
        <rFont val="宋体"/>
        <family val="3"/>
        <charset val="134"/>
      </rPr>
      <t>说明：</t>
    </r>
    <r>
      <rPr>
        <sz val="10"/>
        <color rgb="FF0000FF"/>
        <rFont val="宋体"/>
        <family val="3"/>
        <charset val="134"/>
      </rPr>
      <t>（资产转移方式；未全部终止确认的被转移金融资产与相关负债之间的关系，已终止确认的金融资产继续涉入的性质及相关风险的信息。）</t>
    </r>
  </si>
  <si>
    <r>
      <rPr>
        <b/>
        <sz val="12"/>
        <rFont val="宋体"/>
        <family val="3"/>
        <charset val="134"/>
      </rPr>
      <t>预付款项</t>
    </r>
  </si>
  <si>
    <r>
      <rPr>
        <b/>
        <sz val="10"/>
        <rFont val="宋体"/>
        <family val="3"/>
        <charset val="134"/>
      </rPr>
      <t>（</t>
    </r>
    <r>
      <rPr>
        <b/>
        <sz val="10"/>
        <rFont val="Arial Narrow"/>
        <family val="2"/>
      </rPr>
      <t>1</t>
    </r>
    <r>
      <rPr>
        <b/>
        <sz val="10"/>
        <rFont val="宋体"/>
        <family val="3"/>
        <charset val="134"/>
      </rPr>
      <t>）账龄分析</t>
    </r>
  </si>
  <si>
    <r>
      <rPr>
        <b/>
        <sz val="10"/>
        <rFont val="宋体"/>
        <family val="3"/>
        <charset val="134"/>
      </rPr>
      <t>期</t>
    </r>
    <r>
      <rPr>
        <b/>
        <sz val="10"/>
        <rFont val="Arial Narrow"/>
        <family val="2"/>
      </rPr>
      <t xml:space="preserve"> </t>
    </r>
    <r>
      <rPr>
        <b/>
        <sz val="10"/>
        <rFont val="宋体"/>
        <family val="3"/>
        <charset val="134"/>
      </rPr>
      <t>末</t>
    </r>
  </si>
  <si>
    <r>
      <rPr>
        <b/>
        <sz val="10"/>
        <rFont val="宋体"/>
        <family val="3"/>
        <charset val="134"/>
      </rPr>
      <t>金</t>
    </r>
    <r>
      <rPr>
        <b/>
        <sz val="10"/>
        <rFont val="Arial Narrow"/>
        <family val="2"/>
      </rPr>
      <t xml:space="preserve">  </t>
    </r>
    <r>
      <rPr>
        <b/>
        <sz val="10"/>
        <rFont val="宋体"/>
        <family val="3"/>
        <charset val="134"/>
      </rPr>
      <t>额</t>
    </r>
  </si>
  <si>
    <r>
      <rPr>
        <b/>
        <sz val="10"/>
        <rFont val="宋体"/>
        <family val="3"/>
        <charset val="134"/>
      </rPr>
      <t>比例</t>
    </r>
    <r>
      <rPr>
        <b/>
        <sz val="10"/>
        <rFont val="Arial Narrow"/>
        <family val="2"/>
      </rPr>
      <t>%</t>
    </r>
  </si>
  <si>
    <r>
      <rPr>
        <sz val="10"/>
        <rFont val="Arial Narrow"/>
        <family val="2"/>
      </rPr>
      <t>3</t>
    </r>
    <r>
      <rPr>
        <sz val="10"/>
        <rFont val="宋体"/>
        <family val="3"/>
        <charset val="134"/>
      </rPr>
      <t>年以上</t>
    </r>
  </si>
  <si>
    <r>
      <rPr>
        <sz val="10"/>
        <rFont val="宋体"/>
        <family val="3"/>
        <charset val="134"/>
      </rPr>
      <t>账龄在</t>
    </r>
    <r>
      <rPr>
        <sz val="10"/>
        <rFont val="Arial Narrow"/>
        <family val="2"/>
      </rPr>
      <t>1</t>
    </r>
    <r>
      <rPr>
        <sz val="10"/>
        <rFont val="宋体"/>
        <family val="3"/>
        <charset val="134"/>
      </rPr>
      <t>年以上的预付款项超过</t>
    </r>
    <r>
      <rPr>
        <sz val="10"/>
        <rFont val="Arial Narrow"/>
        <family val="2"/>
      </rPr>
      <t>XX</t>
    </r>
    <r>
      <rPr>
        <sz val="10"/>
        <rFont val="宋体"/>
        <family val="3"/>
        <charset val="134"/>
      </rPr>
      <t>万元，请说明如下信息</t>
    </r>
  </si>
  <si>
    <r>
      <rPr>
        <b/>
        <sz val="10"/>
        <rFont val="宋体"/>
        <family val="3"/>
        <charset val="134"/>
      </rPr>
      <t>公司名称</t>
    </r>
  </si>
  <si>
    <r>
      <rPr>
        <b/>
        <sz val="10"/>
        <rFont val="宋体"/>
        <family val="3"/>
        <charset val="134"/>
      </rPr>
      <t>预付款项金额</t>
    </r>
  </si>
  <si>
    <r>
      <rPr>
        <b/>
        <sz val="10"/>
        <rFont val="宋体"/>
        <family val="3"/>
        <charset val="134"/>
      </rPr>
      <t>账龄超过一年的原因</t>
    </r>
  </si>
  <si>
    <r>
      <rPr>
        <sz val="10"/>
        <rFont val="宋体"/>
        <family val="3"/>
        <charset val="134"/>
      </rPr>
      <t>（</t>
    </r>
    <r>
      <rPr>
        <sz val="10"/>
        <rFont val="Arial Narrow"/>
        <family val="2"/>
      </rPr>
      <t>2</t>
    </r>
    <r>
      <rPr>
        <sz val="10"/>
        <rFont val="宋体"/>
        <family val="3"/>
        <charset val="134"/>
      </rPr>
      <t>）按预付对象归集的预付款项期末余额前五名单位情况</t>
    </r>
  </si>
  <si>
    <r>
      <rPr>
        <sz val="10"/>
        <color rgb="FF0000FF"/>
        <rFont val="宋体"/>
        <family val="3"/>
        <charset val="134"/>
      </rPr>
      <t>汇总披露格式：</t>
    </r>
  </si>
  <si>
    <r>
      <rPr>
        <sz val="10"/>
        <rFont val="宋体"/>
        <family val="3"/>
        <charset val="134"/>
      </rPr>
      <t>本期按预付对象归集的期末余额前五名预付款项汇总金额</t>
    </r>
    <r>
      <rPr>
        <sz val="10"/>
        <rFont val="Arial Narrow"/>
        <family val="2"/>
      </rPr>
      <t>XXXX</t>
    </r>
    <r>
      <rPr>
        <sz val="10"/>
        <rFont val="宋体"/>
        <family val="3"/>
        <charset val="134"/>
      </rPr>
      <t>元，占预付款项期末余额合计数的比例</t>
    </r>
    <r>
      <rPr>
        <u/>
        <sz val="10"/>
        <rFont val="Arial Narrow"/>
        <family val="2"/>
      </rPr>
      <t xml:space="preserve">      </t>
    </r>
    <r>
      <rPr>
        <sz val="10"/>
        <rFont val="Arial Narrow"/>
        <family val="2"/>
      </rPr>
      <t>%</t>
    </r>
    <r>
      <rPr>
        <sz val="10"/>
        <rFont val="宋体"/>
        <family val="3"/>
        <charset val="134"/>
      </rPr>
      <t>。</t>
    </r>
  </si>
  <si>
    <r>
      <rPr>
        <sz val="10"/>
        <color rgb="FF0000FF"/>
        <rFont val="宋体"/>
        <family val="3"/>
        <charset val="134"/>
      </rPr>
      <t>分别披露格式：</t>
    </r>
  </si>
  <si>
    <r>
      <rPr>
        <b/>
        <sz val="10"/>
        <rFont val="宋体"/>
        <family val="3"/>
        <charset val="134"/>
      </rPr>
      <t>预付款项期末余额</t>
    </r>
  </si>
  <si>
    <r>
      <rPr>
        <b/>
        <sz val="10"/>
        <rFont val="宋体"/>
        <family val="3"/>
        <charset val="134"/>
      </rPr>
      <t>占预付款项期末余额合计数的比例</t>
    </r>
    <r>
      <rPr>
        <b/>
        <sz val="10"/>
        <rFont val="Arial Narrow"/>
        <family val="2"/>
      </rPr>
      <t>%</t>
    </r>
  </si>
  <si>
    <t>公司名称</t>
  </si>
  <si>
    <t>财务期间</t>
  </si>
  <si>
    <t>内容</t>
  </si>
  <si>
    <t>期末</t>
  </si>
  <si>
    <t>应收利息</t>
  </si>
  <si>
    <t>应收股利</t>
  </si>
  <si>
    <r>
      <rPr>
        <b/>
        <sz val="12"/>
        <rFont val="宋体"/>
        <family val="3"/>
        <charset val="134"/>
      </rPr>
      <t>应收利息</t>
    </r>
  </si>
  <si>
    <r>
      <rPr>
        <sz val="10"/>
        <rFont val="宋体"/>
        <family val="3"/>
        <charset val="134"/>
      </rPr>
      <t>定期存款</t>
    </r>
  </si>
  <si>
    <r>
      <rPr>
        <sz val="10"/>
        <rFont val="宋体"/>
        <family val="3"/>
        <charset val="134"/>
      </rPr>
      <t>委托贷款</t>
    </r>
  </si>
  <si>
    <r>
      <rPr>
        <sz val="10"/>
        <rFont val="宋体"/>
        <family val="3"/>
        <charset val="134"/>
      </rPr>
      <t>债券投资</t>
    </r>
  </si>
  <si>
    <r>
      <rPr>
        <sz val="10"/>
        <color rgb="FF00B0F0"/>
        <rFont val="宋体"/>
        <family val="3"/>
        <charset val="134"/>
      </rPr>
      <t>可无限量添加行</t>
    </r>
  </si>
  <si>
    <r>
      <rPr>
        <sz val="10"/>
        <rFont val="宋体"/>
        <family val="3"/>
        <charset val="134"/>
      </rPr>
      <t>其中，</t>
    </r>
    <r>
      <rPr>
        <sz val="10"/>
        <color rgb="FF000000"/>
        <rFont val="宋体"/>
        <family val="3"/>
        <charset val="134"/>
      </rPr>
      <t>重要的逾期应收利息如下</t>
    </r>
    <r>
      <rPr>
        <sz val="10"/>
        <rFont val="宋体"/>
        <family val="3"/>
        <charset val="134"/>
      </rPr>
      <t>：</t>
    </r>
  </si>
  <si>
    <r>
      <rPr>
        <b/>
        <sz val="10"/>
        <rFont val="宋体"/>
        <family val="3"/>
        <charset val="134"/>
      </rPr>
      <t>借款单位</t>
    </r>
  </si>
  <si>
    <r>
      <rPr>
        <b/>
        <sz val="10"/>
        <color rgb="FF000000"/>
        <rFont val="宋体"/>
        <family val="3"/>
        <charset val="134"/>
      </rPr>
      <t>期末数</t>
    </r>
  </si>
  <si>
    <r>
      <rPr>
        <b/>
        <sz val="10"/>
        <rFont val="宋体"/>
        <family val="3"/>
        <charset val="134"/>
      </rPr>
      <t>逾期时间</t>
    </r>
  </si>
  <si>
    <r>
      <rPr>
        <b/>
        <sz val="10"/>
        <rFont val="宋体"/>
        <family val="3"/>
        <charset val="134"/>
      </rPr>
      <t>逾期原因</t>
    </r>
  </si>
  <si>
    <r>
      <rPr>
        <b/>
        <sz val="10"/>
        <rFont val="宋体"/>
        <family val="3"/>
        <charset val="134"/>
      </rPr>
      <t>是否发生减值及其原因</t>
    </r>
  </si>
  <si>
    <r>
      <rPr>
        <sz val="10"/>
        <color rgb="FF0000FF"/>
        <rFont val="宋体"/>
        <family val="3"/>
        <charset val="134"/>
      </rPr>
      <t>（对于重要的逾期应收利息，应按借款单位披露应收利息的期末余额、逾期时间和逾期原因、是否发生减值的判断。）</t>
    </r>
  </si>
  <si>
    <r>
      <rPr>
        <b/>
        <sz val="12"/>
        <rFont val="宋体"/>
        <family val="3"/>
        <charset val="134"/>
      </rPr>
      <t>应收股利</t>
    </r>
  </si>
  <si>
    <r>
      <rPr>
        <b/>
        <sz val="10"/>
        <rFont val="宋体"/>
        <family val="3"/>
        <charset val="134"/>
      </rPr>
      <t>被投资单位名称</t>
    </r>
  </si>
  <si>
    <r>
      <rPr>
        <sz val="10"/>
        <rFont val="宋体"/>
        <family val="3"/>
        <charset val="134"/>
      </rPr>
      <t>其中，重要的账龄超过</t>
    </r>
    <r>
      <rPr>
        <sz val="10"/>
        <rFont val="Arial Narrow"/>
        <family val="2"/>
      </rPr>
      <t>1</t>
    </r>
    <r>
      <rPr>
        <sz val="10"/>
        <rFont val="宋体"/>
        <family val="3"/>
        <charset val="134"/>
      </rPr>
      <t>年的应收股利如下：</t>
    </r>
  </si>
  <si>
    <r>
      <rPr>
        <b/>
        <sz val="10"/>
        <rFont val="宋体"/>
        <family val="3"/>
        <charset val="134"/>
      </rPr>
      <t>项目</t>
    </r>
    <r>
      <rPr>
        <b/>
        <sz val="10"/>
        <color rgb="FF0000FF"/>
        <rFont val="宋体"/>
        <family val="3"/>
        <charset val="134"/>
      </rPr>
      <t>（或被投资单位）</t>
    </r>
  </si>
  <si>
    <r>
      <rPr>
        <b/>
        <sz val="10"/>
        <rFont val="宋体"/>
        <family val="3"/>
        <charset val="134"/>
      </rPr>
      <t>账龄</t>
    </r>
  </si>
  <si>
    <r>
      <rPr>
        <b/>
        <sz val="10"/>
        <color rgb="FF000000"/>
        <rFont val="宋体"/>
        <family val="3"/>
        <charset val="134"/>
      </rPr>
      <t>未收回的原因</t>
    </r>
  </si>
  <si>
    <r>
      <rPr>
        <b/>
        <sz val="10"/>
        <color rgb="FF000000"/>
        <rFont val="宋体"/>
        <family val="3"/>
        <charset val="134"/>
      </rPr>
      <t>是否发生减值及其判断依据</t>
    </r>
  </si>
  <si>
    <r>
      <rPr>
        <sz val="10"/>
        <rFont val="宋体"/>
        <family val="3"/>
        <charset val="134"/>
      </rPr>
      <t>（对于重要的账龄超过</t>
    </r>
    <r>
      <rPr>
        <sz val="10"/>
        <rFont val="Arial Narrow"/>
        <family val="2"/>
      </rPr>
      <t xml:space="preserve">1 </t>
    </r>
    <r>
      <rPr>
        <sz val="10"/>
        <rFont val="宋体"/>
        <family val="3"/>
        <charset val="134"/>
      </rPr>
      <t>年的应收股利，应披露未收回的原因和对相关款项是否发生减值的判断。）</t>
    </r>
  </si>
  <si>
    <r>
      <rPr>
        <b/>
        <sz val="12"/>
        <rFont val="宋体"/>
        <family val="3"/>
        <charset val="134"/>
      </rPr>
      <t>其他应收款</t>
    </r>
  </si>
  <si>
    <r>
      <rPr>
        <sz val="10"/>
        <rFont val="宋体"/>
        <family val="3"/>
        <charset val="134"/>
      </rPr>
      <t>单项金额重大的其他应收款</t>
    </r>
    <r>
      <rPr>
        <sz val="10"/>
        <rFont val="Arial Narrow"/>
        <family val="2"/>
      </rPr>
      <t>(XX</t>
    </r>
    <r>
      <rPr>
        <sz val="10"/>
        <rFont val="宋体"/>
        <family val="3"/>
        <charset val="134"/>
      </rPr>
      <t>万元以上</t>
    </r>
    <r>
      <rPr>
        <sz val="10"/>
        <rFont val="Arial Narrow"/>
        <family val="2"/>
      </rPr>
      <t>)</t>
    </r>
  </si>
  <si>
    <r>
      <rPr>
        <sz val="10"/>
        <rFont val="宋体"/>
        <family val="3"/>
        <charset val="134"/>
      </rPr>
      <t>单项金额不重大但按信用风险特征组合后该组合的风险较大的其他应收款</t>
    </r>
  </si>
  <si>
    <r>
      <rPr>
        <sz val="10"/>
        <rFont val="宋体"/>
        <family val="3"/>
        <charset val="134"/>
      </rPr>
      <t>其他不重大其他应收款</t>
    </r>
  </si>
  <si>
    <r>
      <rPr>
        <sz val="10"/>
        <rFont val="宋体"/>
        <family val="3"/>
        <charset val="134"/>
      </rPr>
      <t>（</t>
    </r>
    <r>
      <rPr>
        <sz val="10"/>
        <rFont val="Arial Narrow"/>
        <family val="2"/>
      </rPr>
      <t>1</t>
    </r>
    <r>
      <rPr>
        <sz val="10"/>
        <rFont val="宋体"/>
        <family val="3"/>
        <charset val="134"/>
      </rPr>
      <t>）</t>
    </r>
    <r>
      <rPr>
        <sz val="10"/>
        <rFont val="Arial Narrow"/>
        <family val="2"/>
      </rPr>
      <t>B</t>
    </r>
    <r>
      <rPr>
        <sz val="10"/>
        <rFont val="宋体"/>
        <family val="3"/>
        <charset val="134"/>
      </rPr>
      <t>、期末单项金额重大并单项计提坏账准备的其他应收款</t>
    </r>
  </si>
  <si>
    <r>
      <rPr>
        <b/>
        <sz val="10"/>
        <rFont val="宋体"/>
        <family val="3"/>
        <charset val="134"/>
      </rPr>
      <t>其他应收款（按单位）</t>
    </r>
  </si>
  <si>
    <r>
      <rPr>
        <sz val="10"/>
        <rFont val="宋体"/>
        <family val="3"/>
        <charset val="134"/>
      </rPr>
      <t>（</t>
    </r>
    <r>
      <rPr>
        <sz val="10"/>
        <rFont val="Arial Narrow"/>
        <family val="2"/>
      </rPr>
      <t>1</t>
    </r>
    <r>
      <rPr>
        <sz val="10"/>
        <rFont val="宋体"/>
        <family val="3"/>
        <charset val="134"/>
      </rPr>
      <t>）</t>
    </r>
    <r>
      <rPr>
        <sz val="10"/>
        <rFont val="Arial Narrow"/>
        <family val="2"/>
      </rPr>
      <t>C</t>
    </r>
    <r>
      <rPr>
        <sz val="10"/>
        <rFont val="宋体"/>
        <family val="3"/>
        <charset val="134"/>
      </rPr>
      <t>、账龄组合（和</t>
    </r>
    <r>
      <rPr>
        <sz val="10"/>
        <rFont val="Arial Narrow"/>
        <family val="2"/>
      </rPr>
      <t>XX</t>
    </r>
    <r>
      <rPr>
        <sz val="10"/>
        <rFont val="宋体"/>
        <family val="3"/>
        <charset val="134"/>
      </rPr>
      <t>组合），按账龄分析法计提坏账准备的其他应收账款</t>
    </r>
  </si>
  <si>
    <r>
      <rPr>
        <sz val="10"/>
        <rFont val="宋体"/>
        <family val="3"/>
        <charset val="134"/>
      </rPr>
      <t>（</t>
    </r>
    <r>
      <rPr>
        <sz val="10"/>
        <rFont val="Arial Narrow"/>
        <family val="2"/>
      </rPr>
      <t>2</t>
    </r>
    <r>
      <rPr>
        <sz val="10"/>
        <rFont val="宋体"/>
        <family val="3"/>
        <charset val="134"/>
      </rPr>
      <t>）本期计提、收回或转回的坏账准备情况</t>
    </r>
  </si>
  <si>
    <r>
      <rPr>
        <sz val="10"/>
        <rFont val="宋体"/>
        <family val="3"/>
        <charset val="134"/>
      </rPr>
      <t>（</t>
    </r>
    <r>
      <rPr>
        <sz val="10"/>
        <rFont val="Arial Narrow"/>
        <family val="2"/>
      </rPr>
      <t>3</t>
    </r>
    <r>
      <rPr>
        <sz val="10"/>
        <rFont val="宋体"/>
        <family val="3"/>
        <charset val="134"/>
      </rPr>
      <t>）本期实际核销的其他应收账款情况</t>
    </r>
  </si>
  <si>
    <r>
      <rPr>
        <sz val="10"/>
        <rFont val="宋体"/>
        <family val="3"/>
        <charset val="134"/>
      </rPr>
      <t>实际核销的其他应收账款</t>
    </r>
  </si>
  <si>
    <r>
      <rPr>
        <sz val="10"/>
        <rFont val="宋体"/>
        <family val="3"/>
        <charset val="134"/>
      </rPr>
      <t>其中，重要的其他应收账款核销情况（逐项披露）：</t>
    </r>
  </si>
  <si>
    <r>
      <rPr>
        <b/>
        <sz val="10"/>
        <rFont val="宋体"/>
        <family val="3"/>
        <charset val="134"/>
      </rPr>
      <t>其他应收账款性质</t>
    </r>
  </si>
  <si>
    <r>
      <rPr>
        <sz val="10"/>
        <rFont val="宋体"/>
        <family val="3"/>
        <charset val="134"/>
      </rPr>
      <t>（</t>
    </r>
    <r>
      <rPr>
        <sz val="10"/>
        <rFont val="Arial Narrow"/>
        <family val="2"/>
      </rPr>
      <t>4</t>
    </r>
    <r>
      <rPr>
        <sz val="10"/>
        <rFont val="宋体"/>
        <family val="3"/>
        <charset val="134"/>
      </rPr>
      <t>）其他应收款按款项性质披露</t>
    </r>
  </si>
  <si>
    <r>
      <rPr>
        <sz val="10"/>
        <rFont val="宋体"/>
        <family val="3"/>
        <charset val="134"/>
      </rPr>
      <t>项</t>
    </r>
    <r>
      <rPr>
        <sz val="10"/>
        <rFont val="Arial Narrow"/>
        <family val="2"/>
      </rPr>
      <t xml:space="preserve"> </t>
    </r>
    <r>
      <rPr>
        <sz val="10"/>
        <rFont val="宋体"/>
        <family val="3"/>
        <charset val="134"/>
      </rPr>
      <t>目</t>
    </r>
  </si>
  <si>
    <r>
      <rPr>
        <sz val="10"/>
        <rFont val="宋体"/>
        <family val="3"/>
        <charset val="134"/>
      </rPr>
      <t>期末余额</t>
    </r>
  </si>
  <si>
    <r>
      <rPr>
        <sz val="10"/>
        <color rgb="FFFF0000"/>
        <rFont val="宋体"/>
        <family val="3"/>
        <charset val="134"/>
      </rPr>
      <t>备用金</t>
    </r>
  </si>
  <si>
    <r>
      <rPr>
        <sz val="10"/>
        <color rgb="FFFF0000"/>
        <rFont val="宋体"/>
        <family val="3"/>
        <charset val="134"/>
      </rPr>
      <t>保证金</t>
    </r>
  </si>
  <si>
    <r>
      <rPr>
        <sz val="10"/>
        <rFont val="宋体"/>
        <family val="3"/>
        <charset val="134"/>
      </rPr>
      <t>（</t>
    </r>
    <r>
      <rPr>
        <sz val="10"/>
        <rFont val="Arial Narrow"/>
        <family val="2"/>
      </rPr>
      <t>5</t>
    </r>
    <r>
      <rPr>
        <sz val="10"/>
        <rFont val="宋体"/>
        <family val="3"/>
        <charset val="134"/>
      </rPr>
      <t>）按欠款方归集的其他应收账款期末余额前五名单位情况</t>
    </r>
  </si>
  <si>
    <r>
      <rPr>
        <sz val="10"/>
        <rFont val="宋体"/>
        <family val="3"/>
        <charset val="134"/>
      </rPr>
      <t>本期按欠款方归集的期末余额前五名其他应收账款汇总金额</t>
    </r>
    <r>
      <rPr>
        <sz val="10"/>
        <rFont val="Arial Narrow"/>
        <family val="2"/>
      </rPr>
      <t>XXXX</t>
    </r>
    <r>
      <rPr>
        <sz val="10"/>
        <rFont val="宋体"/>
        <family val="3"/>
        <charset val="134"/>
      </rPr>
      <t>元，占其他应收账款期末余额合计数的比例</t>
    </r>
    <r>
      <rPr>
        <sz val="10"/>
        <rFont val="Arial Narrow"/>
        <family val="2"/>
      </rPr>
      <t xml:space="preserve">      %</t>
    </r>
    <r>
      <rPr>
        <sz val="10"/>
        <rFont val="宋体"/>
        <family val="3"/>
        <charset val="134"/>
      </rPr>
      <t>，相应计提的坏账准备期末余额汇总金额</t>
    </r>
    <r>
      <rPr>
        <sz val="10"/>
        <rFont val="Arial Narrow"/>
        <family val="2"/>
      </rPr>
      <t xml:space="preserve"> XXXX</t>
    </r>
    <r>
      <rPr>
        <sz val="10"/>
        <rFont val="宋体"/>
        <family val="3"/>
        <charset val="134"/>
      </rPr>
      <t>元。</t>
    </r>
  </si>
  <si>
    <r>
      <rPr>
        <b/>
        <sz val="10"/>
        <rFont val="宋体"/>
        <family val="3"/>
        <charset val="134"/>
      </rPr>
      <t>其他应收账款期末余额</t>
    </r>
  </si>
  <si>
    <r>
      <rPr>
        <b/>
        <sz val="10"/>
        <rFont val="宋体"/>
        <family val="3"/>
        <charset val="134"/>
      </rPr>
      <t>占其他应收账款期末余额合计数的比例</t>
    </r>
    <r>
      <rPr>
        <b/>
        <sz val="10"/>
        <rFont val="Arial Narrow"/>
        <family val="2"/>
      </rPr>
      <t>%</t>
    </r>
  </si>
  <si>
    <r>
      <rPr>
        <sz val="10"/>
        <rFont val="宋体"/>
        <family val="3"/>
        <charset val="134"/>
      </rPr>
      <t>（</t>
    </r>
    <r>
      <rPr>
        <sz val="10"/>
        <rFont val="Arial Narrow"/>
        <family val="2"/>
      </rPr>
      <t>6</t>
    </r>
    <r>
      <rPr>
        <sz val="10"/>
        <rFont val="宋体"/>
        <family val="3"/>
        <charset val="134"/>
      </rPr>
      <t>）应收政府补助情况（逐项披露）</t>
    </r>
  </si>
  <si>
    <r>
      <rPr>
        <b/>
        <sz val="10"/>
        <rFont val="宋体"/>
        <family val="3"/>
        <charset val="134"/>
      </rPr>
      <t>单位名称（</t>
    </r>
    <r>
      <rPr>
        <b/>
        <sz val="10"/>
        <color rgb="FF0070C0"/>
        <rFont val="宋体"/>
        <family val="3"/>
        <charset val="134"/>
      </rPr>
      <t>注：政府补助的发文单位</t>
    </r>
    <r>
      <rPr>
        <b/>
        <sz val="10"/>
        <rFont val="宋体"/>
        <family val="3"/>
        <charset val="134"/>
      </rPr>
      <t>）</t>
    </r>
  </si>
  <si>
    <r>
      <rPr>
        <b/>
        <sz val="10"/>
        <rFont val="宋体"/>
        <family val="3"/>
        <charset val="134"/>
      </rPr>
      <t>政府补助项目名称</t>
    </r>
  </si>
  <si>
    <r>
      <rPr>
        <b/>
        <sz val="10"/>
        <rFont val="宋体"/>
        <family val="3"/>
        <charset val="134"/>
      </rPr>
      <t>期末余额</t>
    </r>
  </si>
  <si>
    <r>
      <rPr>
        <b/>
        <sz val="10"/>
        <rFont val="宋体"/>
        <family val="3"/>
        <charset val="134"/>
      </rPr>
      <t>期末账龄</t>
    </r>
  </si>
  <si>
    <r>
      <rPr>
        <b/>
        <sz val="10"/>
        <rFont val="宋体"/>
        <family val="3"/>
        <charset val="134"/>
      </rPr>
      <t>预计收取的时间、金额及依据</t>
    </r>
  </si>
  <si>
    <r>
      <rPr>
        <sz val="10"/>
        <rFont val="宋体"/>
        <family val="3"/>
        <charset val="134"/>
      </rPr>
      <t>（</t>
    </r>
    <r>
      <rPr>
        <sz val="10"/>
        <rFont val="Arial Narrow"/>
        <family val="2"/>
      </rPr>
      <t>7</t>
    </r>
    <r>
      <rPr>
        <sz val="10"/>
        <rFont val="宋体"/>
        <family val="3"/>
        <charset val="134"/>
      </rPr>
      <t>）因金融资产转移而终止确认的其他应收账款情况</t>
    </r>
  </si>
  <si>
    <r>
      <rPr>
        <sz val="10"/>
        <rFont val="宋体"/>
        <family val="3"/>
        <charset val="134"/>
      </rPr>
      <t>①期末，本集团因办理了不附追索权的其他应收账款保理，保理金额为</t>
    </r>
    <r>
      <rPr>
        <sz val="10"/>
        <rFont val="Arial Narrow"/>
        <family val="2"/>
      </rPr>
      <t>XXX</t>
    </r>
    <r>
      <rPr>
        <sz val="10"/>
        <rFont val="宋体"/>
        <family val="3"/>
        <charset val="134"/>
      </rPr>
      <t>元，同时终止确认其他应收账款账面价值为</t>
    </r>
    <r>
      <rPr>
        <sz val="10"/>
        <rFont val="Arial Narrow"/>
        <family val="2"/>
      </rPr>
      <t>XXX</t>
    </r>
    <r>
      <rPr>
        <sz val="10"/>
        <rFont val="宋体"/>
        <family val="3"/>
        <charset val="134"/>
      </rPr>
      <t>元，账面余额为</t>
    </r>
    <r>
      <rPr>
        <sz val="10"/>
        <rFont val="Arial Narrow"/>
        <family val="2"/>
      </rPr>
      <t>XXX</t>
    </r>
    <r>
      <rPr>
        <sz val="10"/>
        <rFont val="宋体"/>
        <family val="3"/>
        <charset val="134"/>
      </rPr>
      <t>元，账龄为一年以内，已计提坏账准备</t>
    </r>
    <r>
      <rPr>
        <sz val="10"/>
        <rFont val="Arial Narrow"/>
        <family val="2"/>
      </rPr>
      <t>XXX</t>
    </r>
    <r>
      <rPr>
        <sz val="10"/>
        <rFont val="宋体"/>
        <family val="3"/>
        <charset val="134"/>
      </rPr>
      <t>元。</t>
    </r>
  </si>
  <si>
    <r>
      <rPr>
        <sz val="10"/>
        <rFont val="宋体"/>
        <family val="3"/>
        <charset val="134"/>
      </rPr>
      <t>②（不符合终止确认条件的其他应收账款的转移，应在附注中单独列示其金额。）参考披露格式：</t>
    </r>
  </si>
  <si>
    <r>
      <rPr>
        <sz val="10"/>
        <rFont val="宋体"/>
        <family val="3"/>
        <charset val="134"/>
      </rPr>
      <t>期末，本集团共有账面价值为</t>
    </r>
    <r>
      <rPr>
        <sz val="10"/>
        <rFont val="Arial Narrow"/>
        <family val="2"/>
      </rPr>
      <t>XXX</t>
    </r>
    <r>
      <rPr>
        <sz val="10"/>
        <rFont val="宋体"/>
        <family val="3"/>
        <charset val="134"/>
      </rPr>
      <t>元的其他应收账款，账面余额为</t>
    </r>
    <r>
      <rPr>
        <sz val="10"/>
        <rFont val="Arial Narrow"/>
        <family val="2"/>
      </rPr>
      <t>XXX</t>
    </r>
    <r>
      <rPr>
        <sz val="10"/>
        <rFont val="宋体"/>
        <family val="3"/>
        <charset val="134"/>
      </rPr>
      <t>元，已计提坏账准备</t>
    </r>
    <r>
      <rPr>
        <sz val="10"/>
        <rFont val="Arial Narrow"/>
        <family val="2"/>
      </rPr>
      <t>XXX</t>
    </r>
    <r>
      <rPr>
        <sz val="10"/>
        <rFont val="宋体"/>
        <family val="3"/>
        <charset val="134"/>
      </rPr>
      <t>元，质押给银行取得短期借款</t>
    </r>
    <r>
      <rPr>
        <sz val="10"/>
        <rFont val="Arial Narrow"/>
        <family val="2"/>
      </rPr>
      <t>XXX</t>
    </r>
    <r>
      <rPr>
        <sz val="10"/>
        <rFont val="宋体"/>
        <family val="3"/>
        <charset val="134"/>
      </rPr>
      <t>元。</t>
    </r>
  </si>
  <si>
    <r>
      <rPr>
        <sz val="10"/>
        <rFont val="宋体"/>
        <family val="3"/>
        <charset val="134"/>
      </rPr>
      <t>（</t>
    </r>
    <r>
      <rPr>
        <sz val="10"/>
        <rFont val="Arial Narrow"/>
        <family val="2"/>
      </rPr>
      <t>8</t>
    </r>
    <r>
      <rPr>
        <sz val="10"/>
        <rFont val="宋体"/>
        <family val="3"/>
        <charset val="134"/>
      </rPr>
      <t>）转移其他应收账款且继续涉入形成的资产、负债的金额</t>
    </r>
  </si>
  <si>
    <r>
      <rPr>
        <b/>
        <sz val="12"/>
        <rFont val="宋体"/>
        <family val="3"/>
        <charset val="134"/>
      </rPr>
      <t>存货</t>
    </r>
  </si>
  <si>
    <r>
      <rPr>
        <b/>
        <sz val="12"/>
        <rFont val="宋体"/>
        <family val="3"/>
        <charset val="134"/>
      </rPr>
      <t>（</t>
    </r>
    <r>
      <rPr>
        <b/>
        <sz val="12"/>
        <rFont val="Arial Narrow"/>
        <family val="2"/>
      </rPr>
      <t>1</t>
    </r>
    <r>
      <rPr>
        <b/>
        <sz val="12"/>
        <rFont val="宋体"/>
        <family val="3"/>
        <charset val="134"/>
      </rPr>
      <t>）存货分项目列示</t>
    </r>
  </si>
  <si>
    <r>
      <rPr>
        <b/>
        <sz val="12"/>
        <rFont val="宋体"/>
        <family val="3"/>
        <charset val="134"/>
      </rPr>
      <t>期末数</t>
    </r>
  </si>
  <si>
    <r>
      <rPr>
        <b/>
        <sz val="12"/>
        <rFont val="宋体"/>
        <family val="3"/>
        <charset val="134"/>
      </rPr>
      <t>账面余额</t>
    </r>
  </si>
  <si>
    <r>
      <rPr>
        <b/>
        <sz val="12"/>
        <rFont val="宋体"/>
        <family val="3"/>
        <charset val="134"/>
      </rPr>
      <t>跌价准备</t>
    </r>
  </si>
  <si>
    <r>
      <rPr>
        <b/>
        <sz val="12"/>
        <rFont val="宋体"/>
        <family val="3"/>
        <charset val="134"/>
      </rPr>
      <t>账面价值</t>
    </r>
  </si>
  <si>
    <r>
      <rPr>
        <sz val="10"/>
        <rFont val="宋体"/>
        <family val="3"/>
        <charset val="134"/>
      </rPr>
      <t>原材料</t>
    </r>
  </si>
  <si>
    <r>
      <rPr>
        <sz val="10"/>
        <rFont val="宋体"/>
        <family val="3"/>
        <charset val="134"/>
      </rPr>
      <t>自制半成品及在产品</t>
    </r>
  </si>
  <si>
    <r>
      <rPr>
        <sz val="10"/>
        <rFont val="宋体"/>
        <family val="3"/>
        <charset val="134"/>
      </rPr>
      <t>库存商品（产成品）</t>
    </r>
  </si>
  <si>
    <r>
      <rPr>
        <sz val="10"/>
        <rFont val="宋体"/>
        <family val="3"/>
        <charset val="134"/>
      </rPr>
      <t>周转材料（包装物、低值易耗品等）</t>
    </r>
  </si>
  <si>
    <r>
      <rPr>
        <sz val="10"/>
        <rFont val="宋体"/>
        <family val="3"/>
        <charset val="134"/>
      </rPr>
      <t>消耗性生物资产</t>
    </r>
  </si>
  <si>
    <r>
      <rPr>
        <sz val="10"/>
        <rFont val="宋体"/>
        <family val="3"/>
        <charset val="134"/>
      </rPr>
      <t>房地产开发成本</t>
    </r>
  </si>
  <si>
    <r>
      <rPr>
        <sz val="10"/>
        <rFont val="宋体"/>
        <family val="3"/>
        <charset val="134"/>
      </rPr>
      <t>房地产开发产品</t>
    </r>
  </si>
  <si>
    <r>
      <rPr>
        <sz val="10"/>
        <color rgb="FF0000FF"/>
        <rFont val="宋体"/>
        <family val="3"/>
        <charset val="134"/>
      </rPr>
      <t>（注：根据企业具体情况分类，房地产开发企业应增加</t>
    </r>
    <r>
      <rPr>
        <sz val="10"/>
        <color rgb="FF0000FF"/>
        <rFont val="Arial Narrow"/>
        <family val="2"/>
      </rPr>
      <t>“</t>
    </r>
    <r>
      <rPr>
        <sz val="10"/>
        <color rgb="FF0000FF"/>
        <rFont val="宋体"/>
        <family val="3"/>
        <charset val="134"/>
      </rPr>
      <t>开发成本</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开发产品</t>
    </r>
    <r>
      <rPr>
        <sz val="10"/>
        <color rgb="FF0000FF"/>
        <rFont val="Arial Narrow"/>
        <family val="2"/>
      </rPr>
      <t>”</t>
    </r>
    <r>
      <rPr>
        <sz val="10"/>
        <color rgb="FF0000FF"/>
        <rFont val="宋体"/>
        <family val="3"/>
        <charset val="134"/>
      </rPr>
      <t>等种类）</t>
    </r>
  </si>
  <si>
    <r>
      <rPr>
        <b/>
        <sz val="12"/>
        <rFont val="宋体"/>
        <family val="3"/>
        <charset val="134"/>
      </rPr>
      <t>（</t>
    </r>
    <r>
      <rPr>
        <b/>
        <sz val="12"/>
        <rFont val="Arial Narrow"/>
        <family val="2"/>
      </rPr>
      <t>2</t>
    </r>
    <r>
      <rPr>
        <b/>
        <sz val="12"/>
        <rFont val="宋体"/>
        <family val="3"/>
        <charset val="134"/>
      </rPr>
      <t>）存货跌价准备</t>
    </r>
  </si>
  <si>
    <r>
      <rPr>
        <b/>
        <sz val="12"/>
        <color rgb="FF000000"/>
        <rFont val="宋体"/>
        <family val="3"/>
        <charset val="134"/>
      </rPr>
      <t>存货种类</t>
    </r>
  </si>
  <si>
    <r>
      <rPr>
        <b/>
        <sz val="12"/>
        <color rgb="FF000000"/>
        <rFont val="宋体"/>
        <family val="3"/>
        <charset val="134"/>
      </rPr>
      <t>期初数</t>
    </r>
  </si>
  <si>
    <r>
      <rPr>
        <b/>
        <sz val="12"/>
        <color rgb="FF000000"/>
        <rFont val="宋体"/>
        <family val="3"/>
        <charset val="134"/>
      </rPr>
      <t>本期增加</t>
    </r>
  </si>
  <si>
    <r>
      <rPr>
        <b/>
        <sz val="12"/>
        <color rgb="FF000000"/>
        <rFont val="宋体"/>
        <family val="3"/>
        <charset val="134"/>
      </rPr>
      <t>本期减少</t>
    </r>
  </si>
  <si>
    <r>
      <rPr>
        <b/>
        <sz val="12"/>
        <color rgb="FF000000"/>
        <rFont val="宋体"/>
        <family val="3"/>
        <charset val="134"/>
      </rPr>
      <t>期末数</t>
    </r>
  </si>
  <si>
    <r>
      <rPr>
        <b/>
        <sz val="12"/>
        <color rgb="FF000000"/>
        <rFont val="宋体"/>
        <family val="3"/>
        <charset val="134"/>
      </rPr>
      <t>计提</t>
    </r>
  </si>
  <si>
    <r>
      <rPr>
        <b/>
        <sz val="12"/>
        <color rgb="FF000000"/>
        <rFont val="宋体"/>
        <family val="3"/>
        <charset val="134"/>
      </rPr>
      <t>其他</t>
    </r>
  </si>
  <si>
    <r>
      <rPr>
        <b/>
        <sz val="12"/>
        <color rgb="FF000000"/>
        <rFont val="宋体"/>
        <family val="3"/>
        <charset val="134"/>
      </rPr>
      <t>转回或转销</t>
    </r>
  </si>
  <si>
    <r>
      <rPr>
        <sz val="10"/>
        <rFont val="宋体"/>
        <family val="3"/>
        <charset val="134"/>
      </rPr>
      <t>在产品</t>
    </r>
  </si>
  <si>
    <r>
      <rPr>
        <sz val="10"/>
        <rFont val="宋体"/>
        <family val="3"/>
        <charset val="134"/>
      </rPr>
      <t>库存商品</t>
    </r>
  </si>
  <si>
    <r>
      <rPr>
        <sz val="10"/>
        <rFont val="宋体"/>
        <family val="3"/>
        <charset val="134"/>
      </rPr>
      <t>周转材料</t>
    </r>
  </si>
  <si>
    <r>
      <rPr>
        <sz val="10"/>
        <rFont val="宋体"/>
        <family val="3"/>
        <charset val="134"/>
      </rPr>
      <t>存货跌价准备（续）</t>
    </r>
  </si>
  <si>
    <r>
      <rPr>
        <b/>
        <sz val="10"/>
        <color rgb="FF000000"/>
        <rFont val="宋体"/>
        <family val="3"/>
        <charset val="134"/>
      </rPr>
      <t>存货种类</t>
    </r>
  </si>
  <si>
    <r>
      <rPr>
        <b/>
        <sz val="10"/>
        <rFont val="宋体"/>
        <family val="3"/>
        <charset val="134"/>
      </rPr>
      <t>确定可变现净值的具体依据</t>
    </r>
  </si>
  <si>
    <r>
      <rPr>
        <b/>
        <sz val="10"/>
        <rFont val="宋体"/>
        <family val="3"/>
        <charset val="134"/>
      </rPr>
      <t>本期转回或转销存货跌价准备的原因</t>
    </r>
  </si>
  <si>
    <r>
      <rPr>
        <sz val="10"/>
        <color rgb="FF0000FF"/>
        <rFont val="宋体"/>
        <family val="3"/>
        <charset val="134"/>
      </rPr>
      <t>【披露确定可变现净值的具体依据及本期转回或转销存货跌价准备的原因。】</t>
    </r>
  </si>
  <si>
    <r>
      <rPr>
        <sz val="10"/>
        <rFont val="宋体"/>
        <family val="3"/>
        <charset val="134"/>
      </rPr>
      <t>（</t>
    </r>
    <r>
      <rPr>
        <sz val="10"/>
        <rFont val="Arial Narrow"/>
        <family val="2"/>
      </rPr>
      <t>3</t>
    </r>
    <r>
      <rPr>
        <sz val="10"/>
        <rFont val="宋体"/>
        <family val="3"/>
        <charset val="134"/>
      </rPr>
      <t>）存货期末余额中含有借款费用资本化金额的说明：</t>
    </r>
  </si>
  <si>
    <r>
      <rPr>
        <sz val="10"/>
        <color rgb="FF0000FF"/>
        <rFont val="宋体"/>
        <family val="3"/>
        <charset val="134"/>
      </rPr>
      <t>（房地产开发企业，应按下列格式披露</t>
    </r>
    <r>
      <rPr>
        <sz val="10"/>
        <color rgb="FF0000FF"/>
        <rFont val="Arial Narrow"/>
        <family val="2"/>
      </rPr>
      <t>“</t>
    </r>
    <r>
      <rPr>
        <sz val="10"/>
        <color rgb="FF0000FF"/>
        <rFont val="宋体"/>
        <family val="3"/>
        <charset val="134"/>
      </rPr>
      <t>开发成本</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开发产品</t>
    </r>
    <r>
      <rPr>
        <sz val="10"/>
        <color rgb="FF0000FF"/>
        <rFont val="Arial Narrow"/>
        <family val="2"/>
      </rPr>
      <t>”</t>
    </r>
    <r>
      <rPr>
        <sz val="10"/>
        <color rgb="FF0000FF"/>
        <rFont val="宋体"/>
        <family val="3"/>
        <charset val="134"/>
      </rPr>
      <t>等相关信息</t>
    </r>
    <r>
      <rPr>
        <sz val="10"/>
        <color rgb="FF0000FF"/>
        <rFont val="Arial Narrow"/>
        <family val="2"/>
      </rPr>
      <t>)</t>
    </r>
  </si>
  <si>
    <t>持有待售资产和持有待售负债</t>
  </si>
  <si>
    <r>
      <rPr>
        <b/>
        <sz val="10"/>
        <color rgb="FF000000"/>
        <rFont val="宋体"/>
        <family val="3"/>
        <charset val="134"/>
      </rPr>
      <t>项</t>
    </r>
    <r>
      <rPr>
        <b/>
        <sz val="10"/>
        <color rgb="FF000000"/>
        <rFont val="Arial Narrow"/>
        <family val="2"/>
      </rPr>
      <t xml:space="preserve"> </t>
    </r>
    <r>
      <rPr>
        <b/>
        <sz val="10"/>
        <color rgb="FF000000"/>
        <rFont val="宋体"/>
        <family val="3"/>
        <charset val="134"/>
      </rPr>
      <t>目</t>
    </r>
  </si>
  <si>
    <t>持有待售的资产：</t>
  </si>
  <si>
    <t>持有待售的非流动资产</t>
  </si>
  <si>
    <t>持有待售的处置组中的资产</t>
  </si>
  <si>
    <r>
      <rPr>
        <sz val="10"/>
        <color rgb="FF000000"/>
        <rFont val="宋体"/>
        <family val="3"/>
        <charset val="134"/>
      </rPr>
      <t>其中：子公司</t>
    </r>
    <r>
      <rPr>
        <sz val="10"/>
        <color rgb="FF000000"/>
        <rFont val="Arial Narrow"/>
        <family val="2"/>
      </rPr>
      <t>A</t>
    </r>
  </si>
  <si>
    <r>
      <rPr>
        <sz val="10"/>
        <color rgb="FF000000"/>
        <rFont val="Arial Narrow"/>
        <family val="2"/>
      </rPr>
      <t xml:space="preserve">      </t>
    </r>
    <r>
      <rPr>
        <sz val="10"/>
        <color rgb="FF000000"/>
        <rFont val="宋体"/>
        <family val="3"/>
        <charset val="134"/>
      </rPr>
      <t>分公司</t>
    </r>
    <r>
      <rPr>
        <sz val="10"/>
        <color rgb="FF000000"/>
        <rFont val="Arial Narrow"/>
        <family val="2"/>
      </rPr>
      <t>B</t>
    </r>
  </si>
  <si>
    <r>
      <rPr>
        <sz val="10"/>
        <color rgb="FF000000"/>
        <rFont val="宋体"/>
        <family val="3"/>
        <charset val="134"/>
      </rPr>
      <t>合</t>
    </r>
    <r>
      <rPr>
        <sz val="10"/>
        <color rgb="FF000000"/>
        <rFont val="Arial Narrow"/>
        <family val="2"/>
      </rPr>
      <t xml:space="preserve"> </t>
    </r>
    <r>
      <rPr>
        <sz val="10"/>
        <color rgb="FF000000"/>
        <rFont val="宋体"/>
        <family val="3"/>
        <charset val="134"/>
      </rPr>
      <t>计</t>
    </r>
  </si>
  <si>
    <t>持有待售的负债：</t>
  </si>
  <si>
    <t>持有待售的处置组中的负债</t>
  </si>
  <si>
    <t>说明：（应当说明持有待售的非流动资产及持有待售的处置组中的资产产生的原因、内容及性质）</t>
  </si>
  <si>
    <r>
      <rPr>
        <sz val="10"/>
        <color rgb="FF0000FF"/>
        <rFont val="宋体"/>
        <family val="3"/>
        <charset val="134"/>
      </rPr>
      <t>（</t>
    </r>
    <r>
      <rPr>
        <sz val="10"/>
        <rFont val="Arial Narrow"/>
        <family val="2"/>
      </rPr>
      <t>1</t>
    </r>
    <r>
      <rPr>
        <sz val="10"/>
        <rFont val="宋体"/>
        <family val="3"/>
        <charset val="134"/>
      </rPr>
      <t>）持有待售的非流动资产</t>
    </r>
  </si>
  <si>
    <t>期末，持有待售的资产的情况：</t>
  </si>
  <si>
    <r>
      <rPr>
        <b/>
        <sz val="10"/>
        <rFont val="宋体"/>
        <family val="3"/>
        <charset val="134"/>
      </rPr>
      <t>账面价值</t>
    </r>
  </si>
  <si>
    <r>
      <rPr>
        <b/>
        <sz val="10"/>
        <rFont val="宋体"/>
        <family val="3"/>
        <charset val="134"/>
      </rPr>
      <t>公允价值</t>
    </r>
  </si>
  <si>
    <r>
      <rPr>
        <b/>
        <sz val="10"/>
        <rFont val="宋体"/>
        <family val="3"/>
        <charset val="134"/>
      </rPr>
      <t>预计处置费用</t>
    </r>
  </si>
  <si>
    <r>
      <rPr>
        <b/>
        <sz val="10"/>
        <rFont val="宋体"/>
        <family val="3"/>
        <charset val="134"/>
      </rPr>
      <t>预计处置时间</t>
    </r>
  </si>
  <si>
    <r>
      <rPr>
        <sz val="10"/>
        <rFont val="宋体"/>
        <family val="3"/>
        <charset val="134"/>
      </rPr>
      <t>（</t>
    </r>
    <r>
      <rPr>
        <sz val="10"/>
        <rFont val="Arial Narrow"/>
        <family val="2"/>
      </rPr>
      <t>2</t>
    </r>
    <r>
      <rPr>
        <sz val="10"/>
        <rFont val="宋体"/>
        <family val="3"/>
        <charset val="134"/>
      </rPr>
      <t>）持有待售的处置组</t>
    </r>
  </si>
  <si>
    <r>
      <rPr>
        <sz val="10"/>
        <rFont val="宋体"/>
        <family val="3"/>
        <charset val="134"/>
      </rPr>
      <t>①子公司</t>
    </r>
    <r>
      <rPr>
        <sz val="10"/>
        <rFont val="Arial Narrow"/>
        <family val="2"/>
      </rPr>
      <t>A</t>
    </r>
  </si>
  <si>
    <t>……</t>
  </si>
  <si>
    <r>
      <rPr>
        <sz val="10"/>
        <rFont val="宋体"/>
        <family val="3"/>
        <charset val="134"/>
      </rPr>
      <t>应付账款</t>
    </r>
  </si>
  <si>
    <r>
      <rPr>
        <sz val="10"/>
        <rFont val="宋体"/>
        <family val="3"/>
        <charset val="134"/>
      </rPr>
      <t>②分公司</t>
    </r>
    <r>
      <rPr>
        <sz val="10"/>
        <rFont val="Arial Narrow"/>
        <family val="2"/>
      </rPr>
      <t>B</t>
    </r>
  </si>
  <si>
    <t>说明：（如存在专为转售而取得的持有待售的子公司，需披露该子公司出售原因、方式和时间安排；列报该子公司的分部；该子公司确认的减值损失及其转回金额；与该子公司有关的其他综合收益累计金额；归属于母公司股东的持续经营损益和终止经营损益。）</t>
  </si>
  <si>
    <t>（如果子公司、共同经营、合营企业、联营企业以及部分对合营企业或联营企业的投资不再继续划分为持有待售类别或从持有待售的处置组中移除的，应在当期财务报表中相应调整各个持有待售类别后可比会计期间的比较数据，且需披露改变非流动资产或处置组出售计划的原因及可比会计期间财务报表中受影响的项目名称和影响金额。）</t>
  </si>
  <si>
    <r>
      <rPr>
        <b/>
        <sz val="12"/>
        <rFont val="宋体"/>
        <family val="3"/>
        <charset val="134"/>
      </rPr>
      <t>一年内到期的非流动资产</t>
    </r>
  </si>
  <si>
    <r>
      <rPr>
        <sz val="10"/>
        <rFont val="宋体"/>
        <family val="3"/>
        <charset val="134"/>
      </rPr>
      <t>（</t>
    </r>
    <r>
      <rPr>
        <sz val="10"/>
        <rFont val="Arial Narrow"/>
        <family val="2"/>
      </rPr>
      <t>1</t>
    </r>
    <r>
      <rPr>
        <sz val="10"/>
        <rFont val="宋体"/>
        <family val="3"/>
        <charset val="134"/>
      </rPr>
      <t>）项目分析</t>
    </r>
  </si>
  <si>
    <r>
      <rPr>
        <b/>
        <sz val="10"/>
        <color rgb="FF000000"/>
        <rFont val="宋体"/>
        <family val="3"/>
        <charset val="134"/>
      </rPr>
      <t>项</t>
    </r>
    <r>
      <rPr>
        <b/>
        <sz val="10"/>
        <color rgb="FF000000"/>
        <rFont val="Arial Narrow"/>
        <family val="2"/>
      </rPr>
      <t xml:space="preserve">  </t>
    </r>
    <r>
      <rPr>
        <b/>
        <sz val="10"/>
        <color rgb="FF000000"/>
        <rFont val="宋体"/>
        <family val="3"/>
        <charset val="134"/>
      </rPr>
      <t>目</t>
    </r>
  </si>
  <si>
    <r>
      <rPr>
        <sz val="10"/>
        <color theme="1"/>
        <rFont val="Arial Narrow"/>
        <family val="2"/>
      </rPr>
      <t>1</t>
    </r>
    <r>
      <rPr>
        <sz val="10"/>
        <color theme="1"/>
        <rFont val="宋体"/>
        <family val="3"/>
        <charset val="134"/>
      </rPr>
      <t>年内到期的长期应收款</t>
    </r>
  </si>
  <si>
    <r>
      <rPr>
        <sz val="10"/>
        <color theme="1"/>
        <rFont val="Arial Narrow"/>
        <family val="2"/>
      </rPr>
      <t>1</t>
    </r>
    <r>
      <rPr>
        <sz val="10"/>
        <color theme="1"/>
        <rFont val="宋体"/>
        <family val="3"/>
        <charset val="134"/>
      </rPr>
      <t>年内到期的持有至到期投资</t>
    </r>
  </si>
  <si>
    <r>
      <rPr>
        <sz val="10"/>
        <color theme="1"/>
        <rFont val="Arial Narrow"/>
        <family val="2"/>
      </rPr>
      <t>1</t>
    </r>
    <r>
      <rPr>
        <sz val="10"/>
        <color theme="1"/>
        <rFont val="宋体"/>
        <family val="3"/>
        <charset val="134"/>
      </rPr>
      <t>年内到期的长期待摊费用</t>
    </r>
  </si>
  <si>
    <r>
      <rPr>
        <sz val="10"/>
        <color theme="1"/>
        <rFont val="宋体"/>
        <family val="3"/>
        <charset val="134"/>
      </rPr>
      <t>其他</t>
    </r>
  </si>
  <si>
    <r>
      <rPr>
        <sz val="10"/>
        <color rgb="FF000000"/>
        <rFont val="宋体"/>
        <family val="3"/>
        <charset val="134"/>
      </rPr>
      <t>合</t>
    </r>
    <r>
      <rPr>
        <sz val="10"/>
        <color rgb="FF000000"/>
        <rFont val="Arial Narrow"/>
        <family val="2"/>
      </rPr>
      <t xml:space="preserve">  </t>
    </r>
    <r>
      <rPr>
        <sz val="10"/>
        <color rgb="FF000000"/>
        <rFont val="宋体"/>
        <family val="3"/>
        <charset val="134"/>
      </rPr>
      <t>计</t>
    </r>
  </si>
  <si>
    <r>
      <rPr>
        <sz val="10"/>
        <color rgb="FF0070C0"/>
        <rFont val="宋体"/>
        <family val="3"/>
        <charset val="134"/>
      </rPr>
      <t>说明：（对于大额的一年内到期的非流动资产说明形成的原因、内容、性质。）</t>
    </r>
  </si>
  <si>
    <r>
      <rPr>
        <b/>
        <sz val="12"/>
        <rFont val="宋体"/>
        <family val="3"/>
        <charset val="134"/>
      </rPr>
      <t>其他流动资产</t>
    </r>
  </si>
  <si>
    <r>
      <rPr>
        <b/>
        <sz val="10"/>
        <color indexed="8"/>
        <rFont val="宋体"/>
        <family val="3"/>
        <charset val="134"/>
      </rPr>
      <t>项</t>
    </r>
    <r>
      <rPr>
        <b/>
        <sz val="10"/>
        <color indexed="8"/>
        <rFont val="Arial Narrow"/>
        <family val="2"/>
      </rPr>
      <t xml:space="preserve"> </t>
    </r>
    <r>
      <rPr>
        <b/>
        <sz val="10"/>
        <color indexed="8"/>
        <rFont val="宋体"/>
        <family val="3"/>
        <charset val="134"/>
      </rPr>
      <t>目</t>
    </r>
  </si>
  <si>
    <r>
      <rPr>
        <b/>
        <sz val="10"/>
        <color indexed="8"/>
        <rFont val="宋体"/>
        <family val="3"/>
        <charset val="134"/>
      </rPr>
      <t>期末</t>
    </r>
  </si>
  <si>
    <r>
      <rPr>
        <sz val="10"/>
        <color indexed="8"/>
        <rFont val="宋体"/>
        <family val="3"/>
        <charset val="134"/>
      </rPr>
      <t>待抵扣进项税</t>
    </r>
  </si>
  <si>
    <r>
      <rPr>
        <sz val="10"/>
        <color indexed="8"/>
        <rFont val="宋体"/>
        <family val="3"/>
        <charset val="134"/>
      </rPr>
      <t>预缴所得税</t>
    </r>
  </si>
  <si>
    <r>
      <rPr>
        <sz val="10"/>
        <color indexed="8"/>
        <rFont val="宋体"/>
        <family val="3"/>
        <charset val="134"/>
      </rPr>
      <t>委托贷款</t>
    </r>
  </si>
  <si>
    <r>
      <rPr>
        <sz val="10"/>
        <color indexed="8"/>
        <rFont val="宋体"/>
        <family val="3"/>
        <charset val="134"/>
      </rPr>
      <t>预缴其他税费</t>
    </r>
  </si>
  <si>
    <r>
      <rPr>
        <sz val="10"/>
        <color indexed="8"/>
        <rFont val="宋体"/>
        <family val="3"/>
        <charset val="134"/>
      </rPr>
      <t>合</t>
    </r>
    <r>
      <rPr>
        <sz val="10"/>
        <color indexed="8"/>
        <rFont val="Arial Narrow"/>
        <family val="2"/>
      </rPr>
      <t xml:space="preserve"> </t>
    </r>
    <r>
      <rPr>
        <sz val="10"/>
        <color indexed="8"/>
        <rFont val="宋体"/>
        <family val="3"/>
        <charset val="134"/>
      </rPr>
      <t>计</t>
    </r>
  </si>
  <si>
    <r>
      <rPr>
        <b/>
        <sz val="12"/>
        <rFont val="宋体"/>
        <family val="3"/>
        <charset val="134"/>
      </rPr>
      <t>可供出售金融资产</t>
    </r>
  </si>
  <si>
    <r>
      <rPr>
        <b/>
        <sz val="10"/>
        <color rgb="FF0070C0"/>
        <rFont val="宋体"/>
        <family val="3"/>
        <charset val="134"/>
      </rPr>
      <t>（</t>
    </r>
    <r>
      <rPr>
        <b/>
        <sz val="10"/>
        <color theme="1"/>
        <rFont val="Arial Narrow"/>
        <family val="2"/>
      </rPr>
      <t>1</t>
    </r>
    <r>
      <rPr>
        <b/>
        <sz val="10"/>
        <color theme="1"/>
        <rFont val="宋体"/>
        <family val="3"/>
        <charset val="134"/>
      </rPr>
      <t>）可供出售金融资产情况</t>
    </r>
  </si>
  <si>
    <r>
      <rPr>
        <b/>
        <sz val="10"/>
        <color rgb="FF000000"/>
        <rFont val="宋体"/>
        <family val="3"/>
        <charset val="134"/>
      </rPr>
      <t>账面余额</t>
    </r>
  </si>
  <si>
    <r>
      <rPr>
        <b/>
        <sz val="10"/>
        <color rgb="FF000000"/>
        <rFont val="宋体"/>
        <family val="3"/>
        <charset val="134"/>
      </rPr>
      <t>减值准备</t>
    </r>
  </si>
  <si>
    <r>
      <rPr>
        <b/>
        <sz val="10"/>
        <color rgb="FF000000"/>
        <rFont val="宋体"/>
        <family val="3"/>
        <charset val="134"/>
      </rPr>
      <t>账面价值</t>
    </r>
  </si>
  <si>
    <r>
      <rPr>
        <sz val="10"/>
        <color rgb="FF000000"/>
        <rFont val="宋体"/>
        <family val="3"/>
        <charset val="134"/>
      </rPr>
      <t>可供出售债务工具</t>
    </r>
  </si>
  <si>
    <r>
      <rPr>
        <sz val="10"/>
        <color rgb="FF000000"/>
        <rFont val="宋体"/>
        <family val="3"/>
        <charset val="134"/>
      </rPr>
      <t>可供出售权益工具</t>
    </r>
  </si>
  <si>
    <r>
      <rPr>
        <sz val="10"/>
        <color rgb="FF000000"/>
        <rFont val="Arial Narrow"/>
        <family val="2"/>
      </rPr>
      <t xml:space="preserve">   </t>
    </r>
    <r>
      <rPr>
        <sz val="10"/>
        <color rgb="FF000000"/>
        <rFont val="宋体"/>
        <family val="3"/>
        <charset val="134"/>
      </rPr>
      <t>其中：按公允价值计量</t>
    </r>
  </si>
  <si>
    <r>
      <rPr>
        <sz val="10"/>
        <color rgb="FF000000"/>
        <rFont val="宋体"/>
        <family val="3"/>
        <charset val="134"/>
      </rPr>
      <t>按成本计量</t>
    </r>
  </si>
  <si>
    <r>
      <rPr>
        <sz val="10"/>
        <color rgb="FF000000"/>
        <rFont val="宋体"/>
        <family val="3"/>
        <charset val="134"/>
      </rPr>
      <t>其他</t>
    </r>
  </si>
  <si>
    <r>
      <rPr>
        <sz val="10"/>
        <color rgb="FF0070C0"/>
        <rFont val="宋体"/>
        <family val="3"/>
        <charset val="134"/>
      </rPr>
      <t>（</t>
    </r>
    <r>
      <rPr>
        <sz val="10"/>
        <color theme="1"/>
        <rFont val="Arial Narrow"/>
        <family val="2"/>
      </rPr>
      <t>2</t>
    </r>
    <r>
      <rPr>
        <sz val="10"/>
        <color theme="1"/>
        <rFont val="宋体"/>
        <family val="3"/>
        <charset val="134"/>
      </rPr>
      <t>）按公允价值计量的可供出售金融资产</t>
    </r>
  </si>
  <si>
    <r>
      <rPr>
        <b/>
        <sz val="10"/>
        <color theme="1"/>
        <rFont val="宋体"/>
        <family val="3"/>
        <charset val="134"/>
      </rPr>
      <t>可供出售金融资产分类</t>
    </r>
  </si>
  <si>
    <r>
      <rPr>
        <b/>
        <sz val="10"/>
        <color theme="1"/>
        <rFont val="宋体"/>
        <family val="3"/>
        <charset val="134"/>
      </rPr>
      <t>可供出售权益工具</t>
    </r>
  </si>
  <si>
    <r>
      <rPr>
        <b/>
        <sz val="10"/>
        <color theme="1"/>
        <rFont val="宋体"/>
        <family val="3"/>
        <charset val="134"/>
      </rPr>
      <t>可供出售债务工具</t>
    </r>
  </si>
  <si>
    <r>
      <rPr>
        <b/>
        <sz val="10"/>
        <color theme="1"/>
        <rFont val="宋体"/>
        <family val="3"/>
        <charset val="134"/>
      </rPr>
      <t>合计</t>
    </r>
  </si>
  <si>
    <r>
      <rPr>
        <sz val="10"/>
        <color theme="1"/>
        <rFont val="宋体"/>
        <family val="3"/>
        <charset val="134"/>
      </rPr>
      <t>权益工具的成本</t>
    </r>
    <r>
      <rPr>
        <sz val="10"/>
        <color theme="1"/>
        <rFont val="Arial Narrow"/>
        <family val="2"/>
      </rPr>
      <t>/</t>
    </r>
    <r>
      <rPr>
        <sz val="10"/>
        <color theme="1"/>
        <rFont val="宋体"/>
        <family val="3"/>
        <charset val="134"/>
      </rPr>
      <t>债务工具的摊余成本</t>
    </r>
    <r>
      <rPr>
        <sz val="10"/>
        <color rgb="FF0000FF"/>
        <rFont val="Arial Narrow"/>
        <family val="2"/>
      </rPr>
      <t>A</t>
    </r>
  </si>
  <si>
    <r>
      <rPr>
        <sz val="10"/>
        <color theme="1"/>
        <rFont val="宋体"/>
        <family val="3"/>
        <charset val="134"/>
      </rPr>
      <t>公允价值</t>
    </r>
    <r>
      <rPr>
        <sz val="10"/>
        <color rgb="FF0000FF"/>
        <rFont val="Arial Narrow"/>
        <family val="2"/>
      </rPr>
      <t>B</t>
    </r>
  </si>
  <si>
    <r>
      <rPr>
        <sz val="10"/>
        <color theme="1"/>
        <rFont val="宋体"/>
        <family val="3"/>
        <charset val="134"/>
      </rPr>
      <t>累计计入其他综合收益的公允价值变动金额</t>
    </r>
    <r>
      <rPr>
        <sz val="10"/>
        <color rgb="FF0000FF"/>
        <rFont val="Arial Narrow"/>
        <family val="2"/>
      </rPr>
      <t>C</t>
    </r>
  </si>
  <si>
    <r>
      <rPr>
        <sz val="10"/>
        <color theme="1"/>
        <rFont val="宋体"/>
        <family val="3"/>
        <charset val="134"/>
      </rPr>
      <t>已计提减值金额</t>
    </r>
    <r>
      <rPr>
        <sz val="10"/>
        <color rgb="FF0000FF"/>
        <rFont val="Arial Narrow"/>
        <family val="2"/>
      </rPr>
      <t>D</t>
    </r>
  </si>
  <si>
    <r>
      <rPr>
        <sz val="10"/>
        <color rgb="FF0000FF"/>
        <rFont val="宋体"/>
        <family val="3"/>
        <charset val="134"/>
      </rPr>
      <t>【提示：</t>
    </r>
    <r>
      <rPr>
        <sz val="10"/>
        <color rgb="FF0000FF"/>
        <rFont val="Arial Narrow"/>
        <family val="2"/>
      </rPr>
      <t>C+D= A –B</t>
    </r>
    <r>
      <rPr>
        <sz val="10"/>
        <color rgb="FF0000FF"/>
        <rFont val="宋体"/>
        <family val="3"/>
        <charset val="134"/>
      </rPr>
      <t>】</t>
    </r>
  </si>
  <si>
    <r>
      <rPr>
        <sz val="10"/>
        <color rgb="FF0070C0"/>
        <rFont val="宋体"/>
        <family val="3"/>
        <charset val="134"/>
      </rPr>
      <t>（</t>
    </r>
    <r>
      <rPr>
        <sz val="10"/>
        <color theme="1"/>
        <rFont val="Arial Narrow"/>
        <family val="2"/>
      </rPr>
      <t>3</t>
    </r>
    <r>
      <rPr>
        <sz val="10"/>
        <color theme="1"/>
        <rFont val="宋体"/>
        <family val="3"/>
        <charset val="134"/>
      </rPr>
      <t>）采用成本计量的可供出售权益工具</t>
    </r>
  </si>
  <si>
    <r>
      <rPr>
        <sz val="10"/>
        <color rgb="FF0000FF"/>
        <rFont val="宋体"/>
        <family val="3"/>
        <charset val="134"/>
      </rPr>
      <t>【</t>
    </r>
    <r>
      <rPr>
        <sz val="10"/>
        <color rgb="FF0000FF"/>
        <rFont val="Arial Narrow"/>
        <family val="2"/>
      </rPr>
      <t>15</t>
    </r>
    <r>
      <rPr>
        <sz val="10"/>
        <color rgb="FF0000FF"/>
        <rFont val="宋体"/>
        <family val="3"/>
        <charset val="134"/>
      </rPr>
      <t>号文第十九条（十一），对划分为可供出售类别且采用成本计量的权益工具投资，应</t>
    </r>
    <r>
      <rPr>
        <b/>
        <sz val="10"/>
        <color rgb="FF0000FF"/>
        <rFont val="宋体"/>
        <family val="3"/>
        <charset val="134"/>
      </rPr>
      <t>分项</t>
    </r>
    <r>
      <rPr>
        <sz val="10"/>
        <color rgb="FF0000FF"/>
        <rFont val="宋体"/>
        <family val="3"/>
        <charset val="134"/>
      </rPr>
      <t>披露相关信息。】</t>
    </r>
  </si>
  <si>
    <r>
      <rPr>
        <sz val="10"/>
        <color rgb="FF0000FF"/>
        <rFont val="宋体"/>
        <family val="3"/>
        <charset val="134"/>
      </rPr>
      <t>【按照《</t>
    </r>
    <r>
      <rPr>
        <sz val="10"/>
        <color rgb="FF0000FF"/>
        <rFont val="Arial Narrow"/>
        <family val="2"/>
      </rPr>
      <t>CAS37-</t>
    </r>
    <r>
      <rPr>
        <sz val="10"/>
        <color rgb="FF0000FF"/>
        <rFont val="宋体"/>
        <family val="3"/>
        <charset val="134"/>
      </rPr>
      <t>金融工具列报》第六十条</t>
    </r>
    <r>
      <rPr>
        <sz val="10"/>
        <color rgb="FF0000FF"/>
        <rFont val="Arial Narrow"/>
        <family val="2"/>
      </rPr>
      <t xml:space="preserve"> </t>
    </r>
    <r>
      <rPr>
        <sz val="10"/>
        <color rgb="FF0000FF"/>
        <rFont val="宋体"/>
        <family val="3"/>
        <charset val="134"/>
      </rPr>
      <t>活跃市场中没有报价且其公允价值无法可靠计量的权益工具投资以及与该工具挂钩的衍生工具，企业应当披露下列信息：</t>
    </r>
  </si>
  <si>
    <r>
      <rPr>
        <sz val="10"/>
        <color rgb="FF0000FF"/>
        <rFont val="宋体"/>
        <family val="3"/>
        <charset val="134"/>
      </rPr>
      <t>（一）对金融工具的描述及其账面价值，以及因公允价值无法可靠计量而未披露其公允价值的事实和说明。</t>
    </r>
  </si>
  <si>
    <r>
      <rPr>
        <sz val="10"/>
        <color rgb="FF0000FF"/>
        <rFont val="宋体"/>
        <family val="3"/>
        <charset val="134"/>
      </rPr>
      <t>（二）金融工具的相关市场信息。</t>
    </r>
  </si>
  <si>
    <r>
      <rPr>
        <sz val="10"/>
        <color rgb="FF0000FF"/>
        <rFont val="宋体"/>
        <family val="3"/>
        <charset val="134"/>
      </rPr>
      <t>（三）企业是否有意图及如何处置这些金融工具。</t>
    </r>
  </si>
  <si>
    <r>
      <rPr>
        <sz val="10"/>
        <color rgb="FF0000FF"/>
        <rFont val="宋体"/>
        <family val="3"/>
        <charset val="134"/>
      </rPr>
      <t>（四）已终止确认金融工具的事实，以及终止确认时的账面价值和形成的利得或损失。】</t>
    </r>
  </si>
  <si>
    <r>
      <rPr>
        <b/>
        <sz val="11"/>
        <color theme="1"/>
        <rFont val="宋体"/>
        <family val="3"/>
        <charset val="134"/>
      </rPr>
      <t>被投资单位</t>
    </r>
  </si>
  <si>
    <r>
      <rPr>
        <b/>
        <sz val="12"/>
        <color theme="1"/>
        <rFont val="宋体"/>
        <family val="3"/>
        <charset val="134"/>
      </rPr>
      <t>账面余额</t>
    </r>
  </si>
  <si>
    <r>
      <rPr>
        <b/>
        <sz val="12"/>
        <color theme="1"/>
        <rFont val="宋体"/>
        <family val="3"/>
        <charset val="134"/>
      </rPr>
      <t>减值准备</t>
    </r>
  </si>
  <si>
    <r>
      <rPr>
        <b/>
        <sz val="12"/>
        <color theme="1"/>
        <rFont val="宋体"/>
        <family val="3"/>
        <charset val="134"/>
      </rPr>
      <t>在被投资单位持股比例</t>
    </r>
    <r>
      <rPr>
        <b/>
        <sz val="12"/>
        <color theme="1"/>
        <rFont val="Arial Narrow"/>
        <family val="2"/>
      </rPr>
      <t>(%)</t>
    </r>
  </si>
  <si>
    <r>
      <rPr>
        <b/>
        <sz val="12"/>
        <color theme="1"/>
        <rFont val="宋体"/>
        <family val="3"/>
        <charset val="134"/>
      </rPr>
      <t>本期现金红利</t>
    </r>
  </si>
  <si>
    <r>
      <rPr>
        <b/>
        <sz val="12"/>
        <color theme="1"/>
        <rFont val="宋体"/>
        <family val="3"/>
        <charset val="134"/>
      </rPr>
      <t>期初</t>
    </r>
  </si>
  <si>
    <r>
      <rPr>
        <b/>
        <sz val="12"/>
        <color theme="1"/>
        <rFont val="宋体"/>
        <family val="3"/>
        <charset val="134"/>
      </rPr>
      <t>本期增加</t>
    </r>
  </si>
  <si>
    <r>
      <rPr>
        <b/>
        <sz val="12"/>
        <color theme="1"/>
        <rFont val="宋体"/>
        <family val="3"/>
        <charset val="134"/>
      </rPr>
      <t>本期减少</t>
    </r>
  </si>
  <si>
    <r>
      <rPr>
        <b/>
        <sz val="12"/>
        <color theme="1"/>
        <rFont val="宋体"/>
        <family val="3"/>
        <charset val="134"/>
      </rPr>
      <t>期末</t>
    </r>
  </si>
  <si>
    <r>
      <rPr>
        <sz val="11"/>
        <color theme="1"/>
        <rFont val="宋体"/>
        <family val="3"/>
        <charset val="134"/>
      </rPr>
      <t>公司</t>
    </r>
    <r>
      <rPr>
        <sz val="11"/>
        <color theme="1"/>
        <rFont val="Arial Narrow"/>
        <family val="2"/>
      </rPr>
      <t>1</t>
    </r>
  </si>
  <si>
    <r>
      <rPr>
        <sz val="11"/>
        <color theme="1"/>
        <rFont val="宋体"/>
        <family val="3"/>
        <charset val="134"/>
      </rPr>
      <t>公司</t>
    </r>
    <r>
      <rPr>
        <sz val="11"/>
        <color theme="1"/>
        <rFont val="Arial Narrow"/>
        <family val="2"/>
      </rPr>
      <t>2</t>
    </r>
  </si>
  <si>
    <r>
      <rPr>
        <sz val="11"/>
        <color rgb="FF0000FF"/>
        <rFont val="宋体"/>
        <family val="3"/>
        <charset val="134"/>
      </rPr>
      <t>可无限量添加行</t>
    </r>
  </si>
  <si>
    <r>
      <rPr>
        <sz val="11"/>
        <color theme="1"/>
        <rFont val="宋体"/>
        <family val="3"/>
        <charset val="134"/>
      </rPr>
      <t>合</t>
    </r>
    <r>
      <rPr>
        <sz val="11"/>
        <color theme="1"/>
        <rFont val="Arial Narrow"/>
        <family val="2"/>
      </rPr>
      <t xml:space="preserve">  </t>
    </r>
    <r>
      <rPr>
        <sz val="11"/>
        <color theme="1"/>
        <rFont val="宋体"/>
        <family val="3"/>
        <charset val="134"/>
      </rPr>
      <t>计</t>
    </r>
  </si>
  <si>
    <t>--</t>
  </si>
  <si>
    <r>
      <rPr>
        <sz val="10"/>
        <color theme="1"/>
        <rFont val="宋体"/>
        <family val="3"/>
        <charset val="134"/>
      </rPr>
      <t>说明：</t>
    </r>
    <r>
      <rPr>
        <sz val="10"/>
        <color rgb="FF0000FF"/>
        <rFont val="宋体"/>
        <family val="3"/>
        <charset val="134"/>
      </rPr>
      <t>按被投资单位</t>
    </r>
    <r>
      <rPr>
        <b/>
        <sz val="10"/>
        <color rgb="FF0000FF"/>
        <rFont val="宋体"/>
        <family val="3"/>
        <charset val="134"/>
      </rPr>
      <t>逐项</t>
    </r>
    <r>
      <rPr>
        <sz val="10"/>
        <color rgb="FF0000FF"/>
        <rFont val="宋体"/>
        <family val="3"/>
        <charset val="134"/>
      </rPr>
      <t>描述，说明因公允价值无法可靠计量而未披露其公允价值的事实和说明；相关市场信息；企业是否有意图及如何处置这些金融工具；已终止确认的事实，以及终止确认时的账面价值和形成的利得或损失（如，当期处置对损益的影响）。</t>
    </r>
  </si>
  <si>
    <r>
      <rPr>
        <sz val="10"/>
        <color rgb="FF0070C0"/>
        <rFont val="宋体"/>
        <family val="3"/>
        <charset val="134"/>
      </rPr>
      <t>（</t>
    </r>
    <r>
      <rPr>
        <sz val="10"/>
        <color theme="1"/>
        <rFont val="Arial Narrow"/>
        <family val="2"/>
      </rPr>
      <t>4</t>
    </r>
    <r>
      <rPr>
        <sz val="10"/>
        <color theme="1"/>
        <rFont val="宋体"/>
        <family val="3"/>
        <charset val="134"/>
      </rPr>
      <t>）报告期内可供出售金融资产减值的变动情况。</t>
    </r>
  </si>
  <si>
    <r>
      <rPr>
        <sz val="10"/>
        <color theme="1"/>
        <rFont val="宋体"/>
        <family val="3"/>
        <charset val="134"/>
      </rPr>
      <t>期初已计提减值金额</t>
    </r>
  </si>
  <si>
    <r>
      <rPr>
        <sz val="10"/>
        <color theme="1"/>
        <rFont val="宋体"/>
        <family val="3"/>
        <charset val="134"/>
      </rPr>
      <t>本年计提</t>
    </r>
  </si>
  <si>
    <r>
      <rPr>
        <sz val="10"/>
        <color theme="1"/>
        <rFont val="宋体"/>
        <family val="3"/>
        <charset val="134"/>
      </rPr>
      <t>其中：从其他综合收益转入</t>
    </r>
  </si>
  <si>
    <r>
      <rPr>
        <sz val="10"/>
        <color theme="1"/>
        <rFont val="宋体"/>
        <family val="3"/>
        <charset val="134"/>
      </rPr>
      <t>本年减少</t>
    </r>
  </si>
  <si>
    <r>
      <rPr>
        <sz val="10"/>
        <color theme="1"/>
        <rFont val="宋体"/>
        <family val="3"/>
        <charset val="134"/>
      </rPr>
      <t>其中：期后公允价值回升转回</t>
    </r>
  </si>
  <si>
    <r>
      <rPr>
        <sz val="10"/>
        <color theme="1"/>
        <rFont val="宋体"/>
        <family val="3"/>
        <charset val="134"/>
      </rPr>
      <t>期末已计提减值金额</t>
    </r>
  </si>
  <si>
    <r>
      <rPr>
        <sz val="10"/>
        <color rgb="FF0070C0"/>
        <rFont val="宋体"/>
        <family val="3"/>
        <charset val="134"/>
      </rPr>
      <t>（</t>
    </r>
    <r>
      <rPr>
        <sz val="10"/>
        <color theme="1"/>
        <rFont val="Arial Narrow"/>
        <family val="2"/>
      </rPr>
      <t>5</t>
    </r>
    <r>
      <rPr>
        <sz val="10"/>
        <color theme="1"/>
        <rFont val="宋体"/>
        <family val="3"/>
        <charset val="134"/>
      </rPr>
      <t>）可供出售权益工具期末公允价值大幅下跌或持续下跌相关说明：</t>
    </r>
  </si>
  <si>
    <r>
      <rPr>
        <b/>
        <sz val="10"/>
        <color theme="1"/>
        <rFont val="宋体"/>
        <family val="3"/>
        <charset val="134"/>
      </rPr>
      <t>可供出售权益工具项目</t>
    </r>
  </si>
  <si>
    <r>
      <rPr>
        <b/>
        <sz val="10"/>
        <color theme="1"/>
        <rFont val="宋体"/>
        <family val="3"/>
        <charset val="134"/>
      </rPr>
      <t>投资成本</t>
    </r>
  </si>
  <si>
    <r>
      <rPr>
        <b/>
        <sz val="10"/>
        <color theme="1"/>
        <rFont val="宋体"/>
        <family val="3"/>
        <charset val="134"/>
      </rPr>
      <t>期末公允价值</t>
    </r>
  </si>
  <si>
    <r>
      <rPr>
        <b/>
        <sz val="10"/>
        <color theme="1"/>
        <rFont val="宋体"/>
        <family val="3"/>
        <charset val="134"/>
      </rPr>
      <t>公允价值相对于成本的下跌幅度（</t>
    </r>
    <r>
      <rPr>
        <b/>
        <sz val="10"/>
        <color theme="1"/>
        <rFont val="Arial Narrow"/>
        <family val="2"/>
      </rPr>
      <t>%</t>
    </r>
    <r>
      <rPr>
        <b/>
        <sz val="10"/>
        <color theme="1"/>
        <rFont val="宋体"/>
        <family val="3"/>
        <charset val="134"/>
      </rPr>
      <t>）</t>
    </r>
  </si>
  <si>
    <r>
      <rPr>
        <b/>
        <sz val="10"/>
        <color theme="1"/>
        <rFont val="宋体"/>
        <family val="3"/>
        <charset val="134"/>
      </rPr>
      <t>持续下跌时间（个月）</t>
    </r>
  </si>
  <si>
    <r>
      <rPr>
        <b/>
        <sz val="10"/>
        <color theme="1"/>
        <rFont val="宋体"/>
        <family val="3"/>
        <charset val="134"/>
      </rPr>
      <t>已计提减值金额</t>
    </r>
  </si>
  <si>
    <r>
      <rPr>
        <b/>
        <sz val="10"/>
        <color theme="1"/>
        <rFont val="宋体"/>
        <family val="3"/>
        <charset val="134"/>
      </rPr>
      <t>未计提减值原因</t>
    </r>
  </si>
  <si>
    <r>
      <rPr>
        <sz val="10"/>
        <color theme="1"/>
        <rFont val="宋体"/>
        <family val="3"/>
        <charset val="134"/>
      </rPr>
      <t>合</t>
    </r>
    <r>
      <rPr>
        <sz val="10"/>
        <color theme="1"/>
        <rFont val="Arial Narrow"/>
        <family val="2"/>
      </rPr>
      <t xml:space="preserve"> </t>
    </r>
    <r>
      <rPr>
        <sz val="10"/>
        <color theme="1"/>
        <rFont val="宋体"/>
        <family val="3"/>
        <charset val="134"/>
      </rPr>
      <t>计</t>
    </r>
  </si>
  <si>
    <r>
      <rPr>
        <sz val="10"/>
        <color theme="1"/>
        <rFont val="宋体"/>
        <family val="3"/>
        <charset val="134"/>
      </rPr>
      <t>说明：</t>
    </r>
    <r>
      <rPr>
        <sz val="10"/>
        <color rgb="FF0000FF"/>
        <rFont val="宋体"/>
        <family val="3"/>
        <charset val="134"/>
      </rPr>
      <t>（对于期末公允价值相对于成本的下跌幅度已达到或超过</t>
    </r>
    <r>
      <rPr>
        <sz val="10"/>
        <color rgb="FF0000FF"/>
        <rFont val="Arial Narrow"/>
        <family val="2"/>
      </rPr>
      <t>50%</t>
    </r>
    <r>
      <rPr>
        <sz val="10"/>
        <color rgb="FF0000FF"/>
        <rFont val="宋体"/>
        <family val="3"/>
        <charset val="134"/>
      </rPr>
      <t>，或者持续下跌时间已达到或超过</t>
    </r>
    <r>
      <rPr>
        <sz val="10"/>
        <color rgb="FF0000FF"/>
        <rFont val="Arial Narrow"/>
        <family val="2"/>
      </rPr>
      <t>12</t>
    </r>
    <r>
      <rPr>
        <sz val="10"/>
        <color rgb="FF0000FF"/>
        <rFont val="宋体"/>
        <family val="3"/>
        <charset val="134"/>
      </rPr>
      <t>个月，尚未根据成本与期末公允价值差额计提减值的可供出售权益工具，公司应详细披露各项投资的成本和公允价值的金额、公允价值相对于成本的下跌幅度、持续下跌时间、已计提减值金额，以及未根据成本与期末公允价值的差额计提减值的理由。）</t>
    </r>
  </si>
  <si>
    <r>
      <rPr>
        <b/>
        <sz val="12"/>
        <rFont val="宋体"/>
        <family val="3"/>
        <charset val="134"/>
      </rPr>
      <t>持有至到期投资</t>
    </r>
  </si>
  <si>
    <r>
      <rPr>
        <b/>
        <sz val="10"/>
        <rFont val="宋体"/>
        <family val="3"/>
        <charset val="134"/>
      </rPr>
      <t>（</t>
    </r>
    <r>
      <rPr>
        <b/>
        <sz val="10"/>
        <rFont val="Arial Narrow"/>
        <family val="2"/>
      </rPr>
      <t>1</t>
    </r>
    <r>
      <rPr>
        <b/>
        <sz val="10"/>
        <rFont val="宋体"/>
        <family val="3"/>
        <charset val="134"/>
      </rPr>
      <t>）持有至到期投资情况</t>
    </r>
  </si>
  <si>
    <r>
      <rPr>
        <sz val="10"/>
        <color rgb="FF000000"/>
        <rFont val="宋体"/>
        <family val="3"/>
        <charset val="134"/>
      </rPr>
      <t>小</t>
    </r>
    <r>
      <rPr>
        <sz val="10"/>
        <color rgb="FF000000"/>
        <rFont val="Arial Narrow"/>
        <family val="2"/>
      </rPr>
      <t xml:space="preserve">  </t>
    </r>
    <r>
      <rPr>
        <sz val="10"/>
        <color rgb="FF000000"/>
        <rFont val="宋体"/>
        <family val="3"/>
        <charset val="134"/>
      </rPr>
      <t>计</t>
    </r>
  </si>
  <si>
    <r>
      <rPr>
        <sz val="10"/>
        <color rgb="FF000000"/>
        <rFont val="宋体"/>
        <family val="3"/>
        <charset val="134"/>
      </rPr>
      <t>减：</t>
    </r>
    <r>
      <rPr>
        <sz val="10"/>
        <color theme="1"/>
        <rFont val="Arial Narrow"/>
        <family val="2"/>
      </rPr>
      <t>1</t>
    </r>
    <r>
      <rPr>
        <sz val="10"/>
        <color theme="1"/>
        <rFont val="宋体"/>
        <family val="3"/>
        <charset val="134"/>
      </rPr>
      <t>年内到期的持有至到期投资</t>
    </r>
  </si>
  <si>
    <r>
      <rPr>
        <b/>
        <sz val="10"/>
        <rFont val="宋体"/>
        <family val="3"/>
        <charset val="134"/>
      </rPr>
      <t>（</t>
    </r>
    <r>
      <rPr>
        <b/>
        <sz val="10"/>
        <color theme="1"/>
        <rFont val="Arial Narrow"/>
        <family val="2"/>
      </rPr>
      <t>2</t>
    </r>
    <r>
      <rPr>
        <b/>
        <sz val="10"/>
        <color theme="1"/>
        <rFont val="宋体"/>
        <family val="3"/>
        <charset val="134"/>
      </rPr>
      <t>）重要的持有至到期投资</t>
    </r>
  </si>
  <si>
    <r>
      <rPr>
        <b/>
        <sz val="10"/>
        <color theme="1"/>
        <rFont val="宋体"/>
        <family val="3"/>
        <charset val="134"/>
      </rPr>
      <t>债券项目</t>
    </r>
  </si>
  <si>
    <r>
      <rPr>
        <b/>
        <sz val="10"/>
        <color theme="1"/>
        <rFont val="宋体"/>
        <family val="3"/>
        <charset val="134"/>
      </rPr>
      <t>面值</t>
    </r>
  </si>
  <si>
    <r>
      <rPr>
        <b/>
        <sz val="10"/>
        <color theme="1"/>
        <rFont val="宋体"/>
        <family val="3"/>
        <charset val="134"/>
      </rPr>
      <t>票面利率</t>
    </r>
  </si>
  <si>
    <r>
      <rPr>
        <b/>
        <sz val="10"/>
        <color theme="1"/>
        <rFont val="宋体"/>
        <family val="3"/>
        <charset val="134"/>
      </rPr>
      <t>实际利率</t>
    </r>
  </si>
  <si>
    <r>
      <rPr>
        <b/>
        <sz val="10"/>
        <color theme="1"/>
        <rFont val="宋体"/>
        <family val="3"/>
        <charset val="134"/>
      </rPr>
      <t>到期日</t>
    </r>
  </si>
  <si>
    <r>
      <rPr>
        <sz val="10"/>
        <color theme="1"/>
        <rFont val="宋体"/>
        <family val="3"/>
        <charset val="134"/>
      </rPr>
      <t>合</t>
    </r>
    <r>
      <rPr>
        <sz val="10"/>
        <color theme="1"/>
        <rFont val="Arial Narrow"/>
        <family val="2"/>
      </rPr>
      <t xml:space="preserve">  </t>
    </r>
    <r>
      <rPr>
        <sz val="10"/>
        <color theme="1"/>
        <rFont val="宋体"/>
        <family val="3"/>
        <charset val="134"/>
      </rPr>
      <t>计</t>
    </r>
  </si>
  <si>
    <r>
      <rPr>
        <sz val="10"/>
        <color rgb="FF0000FF"/>
        <rFont val="宋体"/>
        <family val="3"/>
        <charset val="134"/>
      </rPr>
      <t>（对于重要的持有至到期投资，应分别列示其面值、票面利率、实际利率、到期日。）</t>
    </r>
  </si>
  <si>
    <r>
      <rPr>
        <sz val="10"/>
        <rFont val="宋体"/>
        <family val="3"/>
        <charset val="134"/>
      </rPr>
      <t>（</t>
    </r>
    <r>
      <rPr>
        <sz val="10"/>
        <color theme="1"/>
        <rFont val="Arial Narrow"/>
        <family val="2"/>
      </rPr>
      <t>3</t>
    </r>
    <r>
      <rPr>
        <sz val="10"/>
        <color theme="1"/>
        <rFont val="宋体"/>
        <family val="3"/>
        <charset val="134"/>
      </rPr>
      <t>）持有至到期投资重分类情况</t>
    </r>
  </si>
  <si>
    <r>
      <rPr>
        <sz val="10"/>
        <color rgb="FF0000FF"/>
        <rFont val="宋体"/>
        <family val="3"/>
        <charset val="134"/>
      </rPr>
      <t>（本期存在重分类的，应披露重分类的原因和具体情况。）</t>
    </r>
  </si>
  <si>
    <r>
      <rPr>
        <sz val="10"/>
        <color theme="1"/>
        <rFont val="宋体"/>
        <family val="3"/>
        <charset val="134"/>
      </rPr>
      <t>由于</t>
    </r>
    <r>
      <rPr>
        <sz val="10"/>
        <color theme="1"/>
        <rFont val="Arial Narrow"/>
        <family val="2"/>
      </rPr>
      <t>XX</t>
    </r>
    <r>
      <rPr>
        <sz val="10"/>
        <color theme="1"/>
        <rFont val="宋体"/>
        <family val="3"/>
        <charset val="134"/>
      </rPr>
      <t>原因，本期将持有至到期投资重分类为可供出售金融资产，重分类的金额</t>
    </r>
    <r>
      <rPr>
        <sz val="10"/>
        <color theme="1"/>
        <rFont val="Arial Narrow"/>
        <family val="2"/>
      </rPr>
      <t>XX</t>
    </r>
    <r>
      <rPr>
        <sz val="10"/>
        <color theme="1"/>
        <rFont val="宋体"/>
        <family val="3"/>
        <charset val="134"/>
      </rPr>
      <t>元，该金额占重分类前持有至到期投资总额的比例</t>
    </r>
    <r>
      <rPr>
        <sz val="10"/>
        <color theme="1"/>
        <rFont val="Arial Narrow"/>
        <family val="2"/>
      </rPr>
      <t>XX%</t>
    </r>
    <r>
      <rPr>
        <sz val="10"/>
        <color theme="1"/>
        <rFont val="宋体"/>
        <family val="3"/>
        <charset val="134"/>
      </rPr>
      <t>。</t>
    </r>
  </si>
  <si>
    <r>
      <rPr>
        <b/>
        <sz val="12"/>
        <rFont val="宋体"/>
        <family val="3"/>
        <charset val="134"/>
      </rPr>
      <t>长期应收款</t>
    </r>
  </si>
  <si>
    <r>
      <rPr>
        <b/>
        <sz val="10"/>
        <color theme="1"/>
        <rFont val="宋体"/>
        <family val="3"/>
        <charset val="134"/>
      </rPr>
      <t>（</t>
    </r>
    <r>
      <rPr>
        <b/>
        <sz val="10"/>
        <color theme="1"/>
        <rFont val="Arial Narrow"/>
        <family val="2"/>
      </rPr>
      <t>1</t>
    </r>
    <r>
      <rPr>
        <b/>
        <sz val="10"/>
        <color theme="1"/>
        <rFont val="宋体"/>
        <family val="3"/>
        <charset val="134"/>
      </rPr>
      <t>）长期应收款按性质披露</t>
    </r>
  </si>
  <si>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</si>
  <si>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b/>
        <sz val="10"/>
        <color theme="1"/>
        <rFont val="宋体"/>
        <family val="3"/>
        <charset val="134"/>
      </rPr>
      <t>期末数</t>
    </r>
  </si>
  <si>
    <r>
      <rPr>
        <b/>
        <sz val="10"/>
        <color theme="1"/>
        <rFont val="宋体"/>
        <family val="3"/>
        <charset val="134"/>
      </rPr>
      <t>折现率区间</t>
    </r>
  </si>
  <si>
    <r>
      <rPr>
        <b/>
        <sz val="10"/>
        <color theme="1"/>
        <rFont val="宋体"/>
        <family val="3"/>
        <charset val="134"/>
      </rPr>
      <t>账面余额</t>
    </r>
  </si>
  <si>
    <r>
      <rPr>
        <b/>
        <sz val="10"/>
        <color theme="1"/>
        <rFont val="宋体"/>
        <family val="3"/>
        <charset val="134"/>
      </rPr>
      <t>坏账准备</t>
    </r>
  </si>
  <si>
    <r>
      <rPr>
        <b/>
        <sz val="10"/>
        <color theme="1"/>
        <rFont val="宋体"/>
        <family val="3"/>
        <charset val="134"/>
      </rPr>
      <t>账面价值</t>
    </r>
  </si>
  <si>
    <r>
      <rPr>
        <sz val="10"/>
        <color theme="1"/>
        <rFont val="宋体"/>
        <family val="3"/>
        <charset val="134"/>
      </rPr>
      <t>融资租赁款</t>
    </r>
  </si>
  <si>
    <r>
      <rPr>
        <sz val="10"/>
        <color theme="1"/>
        <rFont val="Arial Narrow"/>
        <family val="2"/>
      </rPr>
      <t xml:space="preserve">  </t>
    </r>
    <r>
      <rPr>
        <sz val="10"/>
        <color theme="1"/>
        <rFont val="宋体"/>
        <family val="3"/>
        <charset val="134"/>
      </rPr>
      <t>其中：未实现融资收益</t>
    </r>
  </si>
  <si>
    <r>
      <rPr>
        <sz val="10"/>
        <color theme="1"/>
        <rFont val="宋体"/>
        <family val="3"/>
        <charset val="134"/>
      </rPr>
      <t>分期收款销售商品</t>
    </r>
  </si>
  <si>
    <r>
      <rPr>
        <sz val="10"/>
        <color theme="1"/>
        <rFont val="宋体"/>
        <family val="3"/>
        <charset val="134"/>
      </rPr>
      <t>其中：未实现融资收益</t>
    </r>
  </si>
  <si>
    <r>
      <rPr>
        <sz val="10"/>
        <color theme="1"/>
        <rFont val="宋体"/>
        <family val="3"/>
        <charset val="134"/>
      </rPr>
      <t>分期收款提供劳务</t>
    </r>
  </si>
  <si>
    <r>
      <rPr>
        <sz val="10"/>
        <color theme="1"/>
        <rFont val="宋体"/>
        <family val="3"/>
        <charset val="134"/>
      </rPr>
      <t>小</t>
    </r>
    <r>
      <rPr>
        <sz val="10"/>
        <color theme="1"/>
        <rFont val="Arial Narrow"/>
        <family val="2"/>
      </rPr>
      <t xml:space="preserve">  </t>
    </r>
    <r>
      <rPr>
        <sz val="10"/>
        <color theme="1"/>
        <rFont val="宋体"/>
        <family val="3"/>
        <charset val="134"/>
      </rPr>
      <t>计</t>
    </r>
  </si>
  <si>
    <r>
      <rPr>
        <sz val="10"/>
        <color theme="1"/>
        <rFont val="宋体"/>
        <family val="3"/>
        <charset val="134"/>
      </rPr>
      <t>减：</t>
    </r>
    <r>
      <rPr>
        <sz val="10"/>
        <color theme="1"/>
        <rFont val="Arial Narrow"/>
        <family val="2"/>
      </rPr>
      <t>1</t>
    </r>
    <r>
      <rPr>
        <sz val="10"/>
        <color theme="1"/>
        <rFont val="宋体"/>
        <family val="3"/>
        <charset val="134"/>
      </rPr>
      <t>年内到期的长期应收款</t>
    </r>
  </si>
  <si>
    <r>
      <rPr>
        <sz val="10"/>
        <color theme="1"/>
        <rFont val="宋体"/>
        <family val="3"/>
        <charset val="134"/>
      </rPr>
      <t>说明：</t>
    </r>
    <r>
      <rPr>
        <sz val="10"/>
        <color theme="1"/>
        <rFont val="Arial Narrow"/>
        <family val="2"/>
      </rPr>
      <t xml:space="preserve"> </t>
    </r>
  </si>
  <si>
    <r>
      <rPr>
        <b/>
        <sz val="10"/>
        <rFont val="宋体"/>
        <family val="3"/>
        <charset val="134"/>
      </rPr>
      <t>（</t>
    </r>
    <r>
      <rPr>
        <b/>
        <sz val="10"/>
        <color theme="1"/>
        <rFont val="Arial Narrow"/>
        <family val="2"/>
      </rPr>
      <t>2</t>
    </r>
    <r>
      <rPr>
        <b/>
        <sz val="10"/>
        <color theme="1"/>
        <rFont val="宋体"/>
        <family val="3"/>
        <charset val="134"/>
      </rPr>
      <t>）长期应收款逾期情况分析：</t>
    </r>
  </si>
  <si>
    <r>
      <rPr>
        <b/>
        <sz val="10"/>
        <color theme="1"/>
        <rFont val="宋体"/>
        <family val="3"/>
        <charset val="134"/>
      </rPr>
      <t>逾</t>
    </r>
    <r>
      <rPr>
        <b/>
        <sz val="10"/>
        <color theme="1"/>
        <rFont val="Arial Narrow"/>
        <family val="2"/>
      </rPr>
      <t xml:space="preserve">  </t>
    </r>
    <r>
      <rPr>
        <b/>
        <sz val="10"/>
        <color theme="1"/>
        <rFont val="宋体"/>
        <family val="3"/>
        <charset val="134"/>
      </rPr>
      <t>期</t>
    </r>
  </si>
  <si>
    <r>
      <rPr>
        <sz val="10"/>
        <color theme="1"/>
        <rFont val="Arial Narrow"/>
        <family val="2"/>
      </rPr>
      <t>1</t>
    </r>
    <r>
      <rPr>
        <sz val="10"/>
        <color theme="1"/>
        <rFont val="宋体"/>
        <family val="3"/>
        <charset val="134"/>
      </rPr>
      <t>年以内</t>
    </r>
  </si>
  <si>
    <r>
      <rPr>
        <sz val="10"/>
        <color theme="1"/>
        <rFont val="Arial Narrow"/>
        <family val="2"/>
      </rPr>
      <t>1</t>
    </r>
    <r>
      <rPr>
        <sz val="10"/>
        <color theme="1"/>
        <rFont val="宋体"/>
        <family val="3"/>
        <charset val="134"/>
      </rPr>
      <t>至</t>
    </r>
    <r>
      <rPr>
        <sz val="10"/>
        <color theme="1"/>
        <rFont val="Arial Narrow"/>
        <family val="2"/>
      </rPr>
      <t>2</t>
    </r>
    <r>
      <rPr>
        <sz val="10"/>
        <color theme="1"/>
        <rFont val="宋体"/>
        <family val="3"/>
        <charset val="134"/>
      </rPr>
      <t>年</t>
    </r>
  </si>
  <si>
    <r>
      <rPr>
        <sz val="10"/>
        <color theme="1"/>
        <rFont val="Arial Narrow"/>
        <family val="2"/>
      </rPr>
      <t>2</t>
    </r>
    <r>
      <rPr>
        <sz val="10"/>
        <color theme="1"/>
        <rFont val="宋体"/>
        <family val="3"/>
        <charset val="134"/>
      </rPr>
      <t>至</t>
    </r>
    <r>
      <rPr>
        <sz val="10"/>
        <color theme="1"/>
        <rFont val="Arial Narrow"/>
        <family val="2"/>
      </rPr>
      <t>3</t>
    </r>
    <r>
      <rPr>
        <sz val="10"/>
        <color theme="1"/>
        <rFont val="宋体"/>
        <family val="3"/>
        <charset val="134"/>
      </rPr>
      <t>年</t>
    </r>
  </si>
  <si>
    <r>
      <rPr>
        <sz val="10"/>
        <color theme="1"/>
        <rFont val="Arial Narrow"/>
        <family val="2"/>
      </rPr>
      <t>3</t>
    </r>
    <r>
      <rPr>
        <sz val="10"/>
        <color theme="1"/>
        <rFont val="宋体"/>
        <family val="3"/>
        <charset val="134"/>
      </rPr>
      <t>年以上</t>
    </r>
  </si>
  <si>
    <r>
      <rPr>
        <sz val="10"/>
        <color theme="1"/>
        <rFont val="宋体"/>
        <family val="3"/>
        <charset val="134"/>
      </rPr>
      <t>说明：</t>
    </r>
    <r>
      <rPr>
        <sz val="10"/>
        <color rgb="FF0000FF"/>
        <rFont val="宋体"/>
        <family val="3"/>
        <charset val="134"/>
      </rPr>
      <t>（逾期客户的名称、逾期年限、逾期原因等）</t>
    </r>
  </si>
  <si>
    <r>
      <rPr>
        <b/>
        <sz val="10"/>
        <rFont val="宋体"/>
        <family val="3"/>
        <charset val="134"/>
      </rPr>
      <t>（</t>
    </r>
    <r>
      <rPr>
        <b/>
        <sz val="10"/>
        <color theme="1"/>
        <rFont val="Arial Narrow"/>
        <family val="2"/>
      </rPr>
      <t>3</t>
    </r>
    <r>
      <rPr>
        <b/>
        <sz val="10"/>
        <color theme="1"/>
        <rFont val="宋体"/>
        <family val="3"/>
        <charset val="134"/>
      </rPr>
      <t>）终止确认的长期应收款情况</t>
    </r>
  </si>
  <si>
    <r>
      <rPr>
        <sz val="10"/>
        <color rgb="FF0000FF"/>
        <rFont val="宋体"/>
        <family val="3"/>
        <charset val="134"/>
      </rPr>
      <t>（因资产转移而终止确认的长期应收款，列示资产转移的方式、终止确认的长期应收款金额，以及与终止确认相关的利得或损失。）</t>
    </r>
  </si>
  <si>
    <r>
      <rPr>
        <b/>
        <sz val="10"/>
        <color theme="1"/>
        <rFont val="宋体"/>
        <family val="3"/>
        <charset val="134"/>
      </rPr>
      <t>转移方式</t>
    </r>
  </si>
  <si>
    <r>
      <rPr>
        <b/>
        <sz val="10"/>
        <color theme="1"/>
        <rFont val="宋体"/>
        <family val="3"/>
        <charset val="134"/>
      </rPr>
      <t>终止确认金额</t>
    </r>
  </si>
  <si>
    <r>
      <rPr>
        <b/>
        <sz val="10"/>
        <color theme="1"/>
        <rFont val="宋体"/>
        <family val="3"/>
        <charset val="134"/>
      </rPr>
      <t>与终止确认相关的利得或损失</t>
    </r>
  </si>
  <si>
    <r>
      <rPr>
        <sz val="10"/>
        <color theme="1"/>
        <rFont val="宋体"/>
        <family val="3"/>
        <charset val="134"/>
      </rPr>
      <t>说明：</t>
    </r>
  </si>
  <si>
    <r>
      <rPr>
        <sz val="10"/>
        <color theme="1"/>
        <rFont val="宋体"/>
        <family val="3"/>
        <charset val="134"/>
      </rPr>
      <t>（</t>
    </r>
    <r>
      <rPr>
        <sz val="10"/>
        <color theme="1"/>
        <rFont val="Arial Narrow"/>
        <family val="2"/>
      </rPr>
      <t>4</t>
    </r>
    <r>
      <rPr>
        <sz val="10"/>
        <color theme="1"/>
        <rFont val="宋体"/>
        <family val="3"/>
        <charset val="134"/>
      </rPr>
      <t>）转移长期应收款且继续涉入形成的资产、负债的金额</t>
    </r>
  </si>
  <si>
    <r>
      <rPr>
        <sz val="10"/>
        <color rgb="FF0000FF"/>
        <rFont val="宋体"/>
        <family val="3"/>
        <charset val="134"/>
      </rPr>
      <t>（转移长期应收款且继续涉入的，应披露资产转移方式、分项列示继续涉入形成的资产、负债的金额。）</t>
    </r>
  </si>
  <si>
    <r>
      <rPr>
        <sz val="10"/>
        <color theme="1"/>
        <rFont val="宋体"/>
        <family val="3"/>
        <charset val="134"/>
      </rPr>
      <t>资产：</t>
    </r>
  </si>
  <si>
    <r>
      <rPr>
        <sz val="10"/>
        <color theme="1"/>
        <rFont val="宋体"/>
        <family val="3"/>
        <charset val="134"/>
      </rPr>
      <t>资产小计</t>
    </r>
  </si>
  <si>
    <r>
      <rPr>
        <sz val="10"/>
        <color theme="1"/>
        <rFont val="宋体"/>
        <family val="3"/>
        <charset val="134"/>
      </rPr>
      <t>负债：</t>
    </r>
  </si>
  <si>
    <r>
      <rPr>
        <sz val="10"/>
        <color theme="1"/>
        <rFont val="宋体"/>
        <family val="3"/>
        <charset val="134"/>
      </rPr>
      <t>负债小计</t>
    </r>
  </si>
  <si>
    <r>
      <rPr>
        <sz val="10"/>
        <color rgb="FF0000FF"/>
        <rFont val="宋体"/>
        <family val="3"/>
        <charset val="134"/>
      </rPr>
      <t>（资产转移方式；未全部终止确认的被转移金融资产与相关负债之间的关系，已终止确认的金融资产继续涉入的性质及相关风险的信息。）</t>
    </r>
  </si>
  <si>
    <r>
      <rPr>
        <b/>
        <sz val="12"/>
        <rFont val="宋体"/>
        <family val="3"/>
        <charset val="134"/>
      </rPr>
      <t>设定受益计划净资产</t>
    </r>
  </si>
  <si>
    <r>
      <rPr>
        <b/>
        <sz val="10"/>
        <rFont val="宋体"/>
        <family val="3"/>
        <charset val="134"/>
      </rPr>
      <t>（</t>
    </r>
    <r>
      <rPr>
        <b/>
        <sz val="10"/>
        <rFont val="Arial Narrow"/>
        <family val="2"/>
      </rPr>
      <t>1</t>
    </r>
    <r>
      <rPr>
        <b/>
        <sz val="10"/>
        <rFont val="宋体"/>
        <family val="3"/>
        <charset val="134"/>
      </rPr>
      <t>）项目分析</t>
    </r>
  </si>
  <si>
    <r>
      <rPr>
        <b/>
        <sz val="10"/>
        <rFont val="宋体"/>
        <family val="3"/>
        <charset val="134"/>
      </rPr>
      <t>期初数</t>
    </r>
  </si>
  <si>
    <r>
      <rPr>
        <b/>
        <sz val="10"/>
        <rFont val="宋体"/>
        <family val="3"/>
        <charset val="134"/>
      </rPr>
      <t>本期增加</t>
    </r>
  </si>
  <si>
    <r>
      <rPr>
        <b/>
        <sz val="10"/>
        <rFont val="宋体"/>
        <family val="3"/>
        <charset val="134"/>
      </rPr>
      <t>本期减少</t>
    </r>
  </si>
  <si>
    <r>
      <rPr>
        <sz val="10"/>
        <rFont val="宋体"/>
        <family val="3"/>
        <charset val="134"/>
      </rPr>
      <t>符合设定受益计划条件的其他长期职工福利的净资产</t>
    </r>
    <r>
      <rPr>
        <strike/>
        <sz val="10"/>
        <color rgb="FFFF0000"/>
        <rFont val="宋体"/>
        <family val="3"/>
        <charset val="134"/>
      </rPr>
      <t>（不适用删除）</t>
    </r>
  </si>
  <si>
    <r>
      <rPr>
        <sz val="10"/>
        <color rgb="FF0070C0"/>
        <rFont val="Arial Narrow"/>
        <family val="2"/>
      </rPr>
      <t xml:space="preserve"> </t>
    </r>
    <r>
      <rPr>
        <sz val="10"/>
        <color rgb="FF0070C0"/>
        <rFont val="宋体"/>
        <family val="3"/>
        <charset val="134"/>
      </rPr>
      <t>【提示：需要按照五、</t>
    </r>
    <r>
      <rPr>
        <sz val="10"/>
        <color rgb="FF0070C0"/>
        <rFont val="Arial Narrow"/>
        <family val="2"/>
      </rPr>
      <t>46</t>
    </r>
    <r>
      <rPr>
        <sz val="10"/>
        <color rgb="FF0070C0"/>
        <rFont val="宋体"/>
        <family val="3"/>
        <charset val="134"/>
      </rPr>
      <t>中的披露格式披露设定收益计划相关信息。】</t>
    </r>
  </si>
  <si>
    <r>
      <rPr>
        <b/>
        <sz val="12"/>
        <rFont val="宋体"/>
        <family val="3"/>
        <charset val="134"/>
      </rPr>
      <t>长期股权投资</t>
    </r>
  </si>
  <si>
    <r>
      <rPr>
        <b/>
        <sz val="10"/>
        <rFont val="宋体"/>
        <family val="3"/>
        <charset val="134"/>
      </rPr>
      <t>被投资单位</t>
    </r>
  </si>
  <si>
    <r>
      <rPr>
        <b/>
        <sz val="10"/>
        <rFont val="宋体"/>
        <family val="3"/>
        <charset val="134"/>
      </rPr>
      <t>期初余额</t>
    </r>
  </si>
  <si>
    <r>
      <rPr>
        <b/>
        <sz val="10"/>
        <rFont val="宋体"/>
        <family val="3"/>
        <charset val="134"/>
      </rPr>
      <t>本期增减变动</t>
    </r>
  </si>
  <si>
    <r>
      <rPr>
        <b/>
        <sz val="10"/>
        <rFont val="宋体"/>
        <family val="3"/>
        <charset val="134"/>
      </rPr>
      <t>减值准备期末余额</t>
    </r>
  </si>
  <si>
    <r>
      <rPr>
        <b/>
        <sz val="10"/>
        <rFont val="宋体"/>
        <family val="3"/>
        <charset val="134"/>
      </rPr>
      <t>追加投资</t>
    </r>
  </si>
  <si>
    <r>
      <rPr>
        <b/>
        <sz val="10"/>
        <rFont val="宋体"/>
        <family val="3"/>
        <charset val="134"/>
      </rPr>
      <t>减少投资</t>
    </r>
  </si>
  <si>
    <r>
      <rPr>
        <b/>
        <sz val="10"/>
        <rFont val="宋体"/>
        <family val="3"/>
        <charset val="134"/>
      </rPr>
      <t>权益法下确认的投资损益</t>
    </r>
  </si>
  <si>
    <r>
      <rPr>
        <b/>
        <sz val="10"/>
        <rFont val="宋体"/>
        <family val="3"/>
        <charset val="134"/>
      </rPr>
      <t>其他综合收益调整</t>
    </r>
  </si>
  <si>
    <r>
      <rPr>
        <b/>
        <sz val="10"/>
        <color rgb="FF000000"/>
        <rFont val="宋体"/>
        <family val="3"/>
        <charset val="134"/>
      </rPr>
      <t>其他权益变动</t>
    </r>
  </si>
  <si>
    <r>
      <rPr>
        <b/>
        <sz val="10"/>
        <color rgb="FF000000"/>
        <rFont val="宋体"/>
        <family val="3"/>
        <charset val="134"/>
      </rPr>
      <t>宣告发放现金股利或利润</t>
    </r>
  </si>
  <si>
    <r>
      <rPr>
        <b/>
        <sz val="10"/>
        <rFont val="宋体"/>
        <family val="3"/>
        <charset val="134"/>
      </rPr>
      <t>计提减准备值</t>
    </r>
  </si>
  <si>
    <r>
      <rPr>
        <b/>
        <sz val="10"/>
        <rFont val="宋体"/>
        <family val="3"/>
        <charset val="134"/>
      </rPr>
      <t>其他</t>
    </r>
  </si>
  <si>
    <r>
      <rPr>
        <sz val="10"/>
        <rFont val="宋体"/>
        <family val="3"/>
        <charset val="134"/>
      </rPr>
      <t>①合营企业</t>
    </r>
  </si>
  <si>
    <t>…</t>
  </si>
  <si>
    <r>
      <rPr>
        <sz val="10"/>
        <rFont val="宋体"/>
        <family val="3"/>
        <charset val="134"/>
      </rPr>
      <t>小计</t>
    </r>
  </si>
  <si>
    <r>
      <rPr>
        <sz val="10"/>
        <rFont val="宋体"/>
        <family val="3"/>
        <charset val="134"/>
      </rPr>
      <t>②联营企业</t>
    </r>
  </si>
  <si>
    <r>
      <rPr>
        <b/>
        <sz val="10"/>
        <rFont val="宋体"/>
        <family val="3"/>
        <charset val="134"/>
      </rPr>
      <t>（</t>
    </r>
    <r>
      <rPr>
        <b/>
        <sz val="10"/>
        <rFont val="Arial Narrow"/>
        <family val="2"/>
      </rPr>
      <t>1</t>
    </r>
    <r>
      <rPr>
        <b/>
        <sz val="10"/>
        <rFont val="宋体"/>
        <family val="3"/>
        <charset val="134"/>
      </rPr>
      <t>）重要的合营企业或联营企业</t>
    </r>
  </si>
  <si>
    <r>
      <rPr>
        <b/>
        <sz val="10"/>
        <rFont val="宋体"/>
        <family val="3"/>
        <charset val="134"/>
      </rPr>
      <t>合营企业或联营企业名称</t>
    </r>
  </si>
  <si>
    <r>
      <rPr>
        <b/>
        <sz val="10"/>
        <rFont val="宋体"/>
        <family val="3"/>
        <charset val="134"/>
      </rPr>
      <t>主要经营地</t>
    </r>
  </si>
  <si>
    <r>
      <rPr>
        <b/>
        <sz val="10"/>
        <rFont val="宋体"/>
        <family val="3"/>
        <charset val="134"/>
      </rPr>
      <t>注册地</t>
    </r>
  </si>
  <si>
    <r>
      <rPr>
        <b/>
        <sz val="10"/>
        <rFont val="宋体"/>
        <family val="3"/>
        <charset val="134"/>
      </rPr>
      <t>业务性质</t>
    </r>
  </si>
  <si>
    <r>
      <rPr>
        <b/>
        <sz val="10"/>
        <rFont val="宋体"/>
        <family val="3"/>
        <charset val="134"/>
      </rPr>
      <t>持股比例</t>
    </r>
    <r>
      <rPr>
        <b/>
        <sz val="10"/>
        <rFont val="Arial Narrow"/>
        <family val="2"/>
      </rPr>
      <t>(%)</t>
    </r>
  </si>
  <si>
    <r>
      <rPr>
        <b/>
        <sz val="10"/>
        <rFont val="宋体"/>
        <family val="3"/>
        <charset val="134"/>
      </rPr>
      <t>对合营企业或联营企业投资的会计处理方法</t>
    </r>
  </si>
  <si>
    <r>
      <rPr>
        <b/>
        <sz val="10"/>
        <rFont val="宋体"/>
        <family val="3"/>
        <charset val="134"/>
      </rPr>
      <t>直接</t>
    </r>
  </si>
  <si>
    <r>
      <rPr>
        <b/>
        <sz val="10"/>
        <rFont val="宋体"/>
        <family val="3"/>
        <charset val="134"/>
      </rPr>
      <t>间接</t>
    </r>
  </si>
  <si>
    <r>
      <rPr>
        <sz val="10"/>
        <rFont val="宋体"/>
        <family val="3"/>
        <charset val="134"/>
      </rPr>
      <t>①</t>
    </r>
    <r>
      <rPr>
        <sz val="10"/>
        <color rgb="FF000000"/>
        <rFont val="宋体"/>
        <family val="3"/>
        <charset val="134"/>
      </rPr>
      <t>合营企业</t>
    </r>
  </si>
  <si>
    <r>
      <rPr>
        <sz val="10"/>
        <color rgb="FF000000"/>
        <rFont val="宋体"/>
        <family val="3"/>
        <charset val="134"/>
      </rPr>
      <t>②联营企业</t>
    </r>
  </si>
  <si>
    <r>
      <rPr>
        <sz val="10"/>
        <rFont val="宋体"/>
        <family val="3"/>
        <charset val="134"/>
      </rPr>
      <t>（</t>
    </r>
    <r>
      <rPr>
        <sz val="10"/>
        <color rgb="FF0000FF"/>
        <rFont val="Arial Narrow"/>
        <family val="2"/>
      </rPr>
      <t>1</t>
    </r>
    <r>
      <rPr>
        <sz val="10"/>
        <color rgb="FF0000FF"/>
        <rFont val="宋体"/>
        <family val="3"/>
        <charset val="134"/>
      </rPr>
      <t>）持股比例不同于表决权比例的，应说明表决权比例及差异原因。</t>
    </r>
  </si>
  <si>
    <r>
      <rPr>
        <sz val="10"/>
        <rFont val="宋体"/>
        <family val="3"/>
        <charset val="134"/>
      </rPr>
      <t>（</t>
    </r>
    <r>
      <rPr>
        <sz val="10"/>
        <color rgb="FF0000FF"/>
        <rFont val="Arial Narrow"/>
        <family val="2"/>
      </rPr>
      <t>2</t>
    </r>
    <r>
      <rPr>
        <sz val="10"/>
        <color rgb="FF0000FF"/>
        <rFont val="宋体"/>
        <family val="3"/>
        <charset val="134"/>
      </rPr>
      <t>）持有其他主体</t>
    </r>
    <r>
      <rPr>
        <sz val="10"/>
        <color rgb="FF0000FF"/>
        <rFont val="Arial Narrow"/>
        <family val="2"/>
      </rPr>
      <t>20%</t>
    </r>
    <r>
      <rPr>
        <sz val="10"/>
        <color rgb="FF0000FF"/>
        <rFont val="宋体"/>
        <family val="3"/>
        <charset val="134"/>
      </rPr>
      <t>以下表决权但具有重大影响，或者持有其他主体</t>
    </r>
    <r>
      <rPr>
        <sz val="10"/>
        <color rgb="FF0000FF"/>
        <rFont val="Arial Narrow"/>
        <family val="2"/>
      </rPr>
      <t>20%</t>
    </r>
    <r>
      <rPr>
        <sz val="10"/>
        <color rgb="FF0000FF"/>
        <rFont val="宋体"/>
        <family val="3"/>
        <charset val="134"/>
      </rPr>
      <t>或以上表决权但不具有重大影响的，应披露相关判断和依据。</t>
    </r>
  </si>
  <si>
    <r>
      <rPr>
        <sz val="10"/>
        <rFont val="宋体"/>
        <family val="3"/>
        <charset val="134"/>
      </rPr>
      <t>（</t>
    </r>
    <r>
      <rPr>
        <sz val="10"/>
        <rFont val="Arial Narrow"/>
        <family val="2"/>
      </rPr>
      <t>2</t>
    </r>
    <r>
      <rPr>
        <sz val="10"/>
        <rFont val="宋体"/>
        <family val="3"/>
        <charset val="134"/>
      </rPr>
      <t>）重要合营企业的主要财务信息：</t>
    </r>
    <r>
      <rPr>
        <sz val="10"/>
        <color rgb="FF0000FF"/>
        <rFont val="宋体"/>
        <family val="3"/>
        <charset val="134"/>
      </rPr>
      <t>（划分为持有待售的除外）</t>
    </r>
  </si>
  <si>
    <r>
      <rPr>
        <sz val="10"/>
        <rFont val="宋体"/>
        <family val="3"/>
        <charset val="134"/>
      </rPr>
      <t>（主要财务信息按照权益法调整后的金额披露；）</t>
    </r>
  </si>
  <si>
    <r>
      <rPr>
        <sz val="10"/>
        <rFont val="宋体"/>
        <family val="3"/>
        <charset val="134"/>
      </rPr>
      <t>（</t>
    </r>
    <r>
      <rPr>
        <sz val="10"/>
        <rFont val="Arial Narrow"/>
        <family val="2"/>
      </rPr>
      <t>“</t>
    </r>
    <r>
      <rPr>
        <sz val="10"/>
        <rFont val="宋体"/>
        <family val="3"/>
        <charset val="134"/>
      </rPr>
      <t>调整事项</t>
    </r>
    <r>
      <rPr>
        <sz val="10"/>
        <rFont val="Arial Narrow"/>
        <family val="2"/>
      </rPr>
      <t>”</t>
    </r>
    <r>
      <rPr>
        <sz val="10"/>
        <rFont val="宋体"/>
        <family val="3"/>
        <charset val="134"/>
      </rPr>
      <t>包括投资形成的正商誉、抵消的未实现内部交易损益、减值准备等事项；）</t>
    </r>
  </si>
  <si>
    <r>
      <rPr>
        <sz val="10"/>
        <rFont val="宋体"/>
        <family val="3"/>
        <charset val="134"/>
      </rPr>
      <t>（如果母公司为投资性主体，无需披露下列财务信息。）</t>
    </r>
  </si>
  <si>
    <r>
      <rPr>
        <b/>
        <sz val="10"/>
        <rFont val="宋体"/>
        <family val="3"/>
        <charset val="134"/>
      </rPr>
      <t>项</t>
    </r>
    <r>
      <rPr>
        <b/>
        <sz val="10"/>
        <rFont val="Arial Narrow"/>
        <family val="2"/>
      </rPr>
      <t xml:space="preserve"> </t>
    </r>
    <r>
      <rPr>
        <b/>
        <sz val="10"/>
        <rFont val="宋体"/>
        <family val="3"/>
        <charset val="134"/>
      </rPr>
      <t>目</t>
    </r>
  </si>
  <si>
    <r>
      <rPr>
        <b/>
        <sz val="10"/>
        <color rgb="FFFF0000"/>
        <rFont val="宋体"/>
        <family val="3"/>
        <charset val="134"/>
      </rPr>
      <t>（</t>
    </r>
    <r>
      <rPr>
        <b/>
        <sz val="10"/>
        <color rgb="FFFF0000"/>
        <rFont val="Arial Narrow"/>
        <family val="2"/>
      </rPr>
      <t>A</t>
    </r>
    <r>
      <rPr>
        <b/>
        <sz val="10"/>
        <color rgb="FFFF0000"/>
        <rFont val="宋体"/>
        <family val="3"/>
        <charset val="134"/>
      </rPr>
      <t>公司）</t>
    </r>
  </si>
  <si>
    <r>
      <rPr>
        <b/>
        <sz val="10"/>
        <color rgb="FFFF0000"/>
        <rFont val="宋体"/>
        <family val="3"/>
        <charset val="134"/>
      </rPr>
      <t>（</t>
    </r>
    <r>
      <rPr>
        <b/>
        <sz val="10"/>
        <color rgb="FFFF0000"/>
        <rFont val="Arial Narrow"/>
        <family val="2"/>
      </rPr>
      <t>B</t>
    </r>
    <r>
      <rPr>
        <b/>
        <sz val="10"/>
        <color rgb="FFFF0000"/>
        <rFont val="宋体"/>
        <family val="3"/>
        <charset val="134"/>
      </rPr>
      <t>公司）</t>
    </r>
  </si>
  <si>
    <r>
      <rPr>
        <b/>
        <sz val="10"/>
        <color rgb="FFFF0000"/>
        <rFont val="宋体"/>
        <family val="3"/>
        <charset val="134"/>
      </rPr>
      <t>（</t>
    </r>
    <r>
      <rPr>
        <b/>
        <sz val="10"/>
        <color rgb="FFFF0000"/>
        <rFont val="Arial Narrow"/>
        <family val="2"/>
      </rPr>
      <t>C</t>
    </r>
    <r>
      <rPr>
        <b/>
        <sz val="10"/>
        <color rgb="FFFF0000"/>
        <rFont val="宋体"/>
        <family val="3"/>
        <charset val="134"/>
      </rPr>
      <t>公司）</t>
    </r>
  </si>
  <si>
    <r>
      <rPr>
        <sz val="10"/>
        <rFont val="宋体"/>
        <family val="3"/>
        <charset val="134"/>
      </rPr>
      <t>流动资产</t>
    </r>
  </si>
  <si>
    <r>
      <rPr>
        <sz val="10"/>
        <rFont val="宋体"/>
        <family val="3"/>
        <charset val="134"/>
      </rPr>
      <t>其中：现金和现金等价物</t>
    </r>
  </si>
  <si>
    <r>
      <rPr>
        <sz val="10"/>
        <rFont val="宋体"/>
        <family val="3"/>
        <charset val="134"/>
      </rPr>
      <t>资产合计</t>
    </r>
  </si>
  <si>
    <r>
      <rPr>
        <sz val="10"/>
        <rFont val="宋体"/>
        <family val="3"/>
        <charset val="134"/>
      </rPr>
      <t>流动负债</t>
    </r>
  </si>
  <si>
    <r>
      <rPr>
        <sz val="10"/>
        <rFont val="宋体"/>
        <family val="3"/>
        <charset val="134"/>
      </rPr>
      <t>非流动负债</t>
    </r>
  </si>
  <si>
    <r>
      <rPr>
        <sz val="10"/>
        <rFont val="宋体"/>
        <family val="3"/>
        <charset val="134"/>
      </rPr>
      <t>净资产</t>
    </r>
  </si>
  <si>
    <r>
      <rPr>
        <sz val="10"/>
        <rFont val="Arial Narrow"/>
        <family val="2"/>
      </rPr>
      <t xml:space="preserve">  </t>
    </r>
    <r>
      <rPr>
        <sz val="10"/>
        <rFont val="宋体"/>
        <family val="3"/>
        <charset val="134"/>
      </rPr>
      <t>其中：少数股东权益</t>
    </r>
  </si>
  <si>
    <r>
      <rPr>
        <sz val="10"/>
        <rFont val="宋体"/>
        <family val="3"/>
        <charset val="134"/>
      </rPr>
      <t>归属于母公司的所有制权益</t>
    </r>
  </si>
  <si>
    <r>
      <rPr>
        <sz val="10"/>
        <rFont val="宋体"/>
        <family val="3"/>
        <charset val="134"/>
      </rPr>
      <t>按持股比例计算的净资产份额</t>
    </r>
  </si>
  <si>
    <r>
      <rPr>
        <sz val="10"/>
        <rFont val="宋体"/>
        <family val="3"/>
        <charset val="134"/>
      </rPr>
      <t>调整事项</t>
    </r>
  </si>
  <si>
    <r>
      <rPr>
        <sz val="10"/>
        <rFont val="Arial Narrow"/>
        <family val="2"/>
      </rPr>
      <t xml:space="preserve">  </t>
    </r>
    <r>
      <rPr>
        <sz val="10"/>
        <rFont val="宋体"/>
        <family val="3"/>
        <charset val="134"/>
      </rPr>
      <t>其中：商誉</t>
    </r>
  </si>
  <si>
    <r>
      <rPr>
        <sz val="10"/>
        <rFont val="Arial Narrow"/>
        <family val="2"/>
      </rPr>
      <t xml:space="preserve">   </t>
    </r>
    <r>
      <rPr>
        <sz val="10"/>
        <rFont val="宋体"/>
        <family val="3"/>
        <charset val="134"/>
      </rPr>
      <t>未实现内部交易损益</t>
    </r>
  </si>
  <si>
    <r>
      <rPr>
        <sz val="10"/>
        <rFont val="Arial Narrow"/>
        <family val="2"/>
      </rPr>
      <t xml:space="preserve">   </t>
    </r>
    <r>
      <rPr>
        <sz val="10"/>
        <rFont val="宋体"/>
        <family val="3"/>
        <charset val="134"/>
      </rPr>
      <t>减值准备</t>
    </r>
  </si>
  <si>
    <r>
      <rPr>
        <sz val="10"/>
        <rFont val="Arial Narrow"/>
        <family val="2"/>
      </rPr>
      <t xml:space="preserve">   </t>
    </r>
    <r>
      <rPr>
        <sz val="10"/>
        <rFont val="宋体"/>
        <family val="3"/>
        <charset val="134"/>
      </rPr>
      <t>其他</t>
    </r>
  </si>
  <si>
    <r>
      <rPr>
        <sz val="10"/>
        <rFont val="宋体"/>
        <family val="3"/>
        <charset val="134"/>
      </rPr>
      <t>对合营企业权益投资的账面价值</t>
    </r>
    <r>
      <rPr>
        <sz val="10"/>
        <rFont val="Arial Narrow"/>
        <family val="2"/>
      </rPr>
      <t xml:space="preserve"> </t>
    </r>
  </si>
  <si>
    <r>
      <rPr>
        <sz val="10"/>
        <rFont val="宋体"/>
        <family val="3"/>
        <charset val="134"/>
      </rPr>
      <t>存在公开报价的权益投资的公允价值</t>
    </r>
    <r>
      <rPr>
        <sz val="10"/>
        <rFont val="Arial Narrow"/>
        <family val="2"/>
      </rPr>
      <t xml:space="preserve"> </t>
    </r>
  </si>
  <si>
    <r>
      <rPr>
        <b/>
        <sz val="10"/>
        <rFont val="宋体"/>
        <family val="3"/>
        <charset val="134"/>
      </rPr>
      <t>本期发生额</t>
    </r>
  </si>
  <si>
    <r>
      <rPr>
        <b/>
        <sz val="10"/>
        <rFont val="宋体"/>
        <family val="3"/>
        <charset val="134"/>
      </rPr>
      <t>上期发生额</t>
    </r>
  </si>
  <si>
    <r>
      <rPr>
        <sz val="10"/>
        <rFont val="宋体"/>
        <family val="3"/>
        <charset val="134"/>
      </rPr>
      <t>净利润</t>
    </r>
  </si>
  <si>
    <r>
      <rPr>
        <sz val="10"/>
        <rFont val="宋体"/>
        <family val="3"/>
        <charset val="134"/>
      </rPr>
      <t>终止经营的净利润</t>
    </r>
  </si>
  <si>
    <r>
      <rPr>
        <sz val="10"/>
        <rFont val="宋体"/>
        <family val="3"/>
        <charset val="134"/>
      </rPr>
      <t>综合收益总额</t>
    </r>
  </si>
  <si>
    <r>
      <rPr>
        <sz val="10"/>
        <rFont val="宋体"/>
        <family val="3"/>
        <charset val="134"/>
      </rPr>
      <t>企业本期收到的来自合营企业的股利</t>
    </r>
  </si>
  <si>
    <r>
      <rPr>
        <sz val="10"/>
        <color rgb="FF0070C0"/>
        <rFont val="宋体"/>
        <family val="3"/>
        <charset val="134"/>
      </rPr>
      <t>（注：存在终止经营的净利润的，还应当在本表中单列项目披露）</t>
    </r>
  </si>
  <si>
    <r>
      <rPr>
        <sz val="10"/>
        <color rgb="FF0070C0"/>
        <rFont val="宋体"/>
        <family val="3"/>
        <charset val="134"/>
      </rPr>
      <t>说明：</t>
    </r>
  </si>
  <si>
    <r>
      <rPr>
        <sz val="10"/>
        <color rgb="FF0070C0"/>
        <rFont val="宋体"/>
        <family val="3"/>
        <charset val="134"/>
      </rPr>
      <t>（</t>
    </r>
    <r>
      <rPr>
        <sz val="10"/>
        <color rgb="FF0070C0"/>
        <rFont val="Arial Narrow"/>
        <family val="2"/>
      </rPr>
      <t>3</t>
    </r>
    <r>
      <rPr>
        <sz val="10"/>
        <color rgb="FF0070C0"/>
        <rFont val="宋体"/>
        <family val="3"/>
        <charset val="134"/>
      </rPr>
      <t>）重要联营企业的主要财务信息：（持有待售的除外）</t>
    </r>
  </si>
  <si>
    <r>
      <rPr>
        <sz val="10"/>
        <color rgb="FF0070C0"/>
        <rFont val="宋体"/>
        <family val="3"/>
        <charset val="134"/>
      </rPr>
      <t>（主要财务信息按照权益法调整后的金额披露；）</t>
    </r>
  </si>
  <si>
    <r>
      <rPr>
        <sz val="10"/>
        <color rgb="FF0070C0"/>
        <rFont val="宋体"/>
        <family val="3"/>
        <charset val="134"/>
      </rPr>
      <t>（</t>
    </r>
    <r>
      <rPr>
        <sz val="10"/>
        <color rgb="FF0070C0"/>
        <rFont val="Arial Narrow"/>
        <family val="2"/>
      </rPr>
      <t>“</t>
    </r>
    <r>
      <rPr>
        <sz val="10"/>
        <color rgb="FF0070C0"/>
        <rFont val="宋体"/>
        <family val="3"/>
        <charset val="134"/>
      </rPr>
      <t>调整事项</t>
    </r>
    <r>
      <rPr>
        <sz val="10"/>
        <color rgb="FF0070C0"/>
        <rFont val="Arial Narrow"/>
        <family val="2"/>
      </rPr>
      <t>”</t>
    </r>
    <r>
      <rPr>
        <sz val="10"/>
        <color rgb="FF0070C0"/>
        <rFont val="宋体"/>
        <family val="3"/>
        <charset val="134"/>
      </rPr>
      <t>包括投资形成的正商誉、抵消的未实现内部交易损益</t>
    </r>
    <r>
      <rPr>
        <sz val="10"/>
        <color rgb="FF0070C0"/>
        <rFont val="Arial Narrow"/>
        <family val="2"/>
      </rPr>
      <t xml:space="preserve"> </t>
    </r>
    <r>
      <rPr>
        <sz val="10"/>
        <color rgb="FF0070C0"/>
        <rFont val="宋体"/>
        <family val="3"/>
        <charset val="134"/>
      </rPr>
      <t>、减值准备等事项；）</t>
    </r>
  </si>
  <si>
    <r>
      <rPr>
        <sz val="10"/>
        <color rgb="FF0070C0"/>
        <rFont val="宋体"/>
        <family val="3"/>
        <charset val="134"/>
      </rPr>
      <t>（如果母公司为投资性主体，无需披露下列财务信息。）</t>
    </r>
  </si>
  <si>
    <r>
      <rPr>
        <sz val="10"/>
        <rFont val="宋体"/>
        <family val="3"/>
        <charset val="134"/>
      </rPr>
      <t>对联营企业权益投资的账面价值</t>
    </r>
  </si>
  <si>
    <r>
      <rPr>
        <sz val="10"/>
        <rFont val="宋体"/>
        <family val="3"/>
        <charset val="134"/>
      </rPr>
      <t>企业本期收到的来自联营企业的股利</t>
    </r>
  </si>
  <si>
    <r>
      <rPr>
        <sz val="10"/>
        <color rgb="FF0070C0"/>
        <rFont val="宋体"/>
        <family val="3"/>
        <charset val="134"/>
      </rPr>
      <t>说明：</t>
    </r>
    <r>
      <rPr>
        <sz val="10"/>
        <rFont val="Arial Narrow"/>
        <family val="2"/>
      </rPr>
      <t xml:space="preserve"> </t>
    </r>
  </si>
  <si>
    <r>
      <rPr>
        <sz val="10"/>
        <color rgb="FF0070C0"/>
        <rFont val="宋体"/>
        <family val="3"/>
        <charset val="134"/>
      </rPr>
      <t>（</t>
    </r>
    <r>
      <rPr>
        <sz val="10"/>
        <rFont val="Arial Narrow"/>
        <family val="2"/>
      </rPr>
      <t>4</t>
    </r>
    <r>
      <rPr>
        <sz val="10"/>
        <rFont val="宋体"/>
        <family val="3"/>
        <charset val="134"/>
      </rPr>
      <t>）其他不重要合营企业和联营企业的汇总财务信息</t>
    </r>
  </si>
  <si>
    <r>
      <rPr>
        <b/>
        <sz val="10"/>
        <rFont val="宋体"/>
        <family val="3"/>
        <charset val="134"/>
      </rPr>
      <t>期末数</t>
    </r>
    <r>
      <rPr>
        <b/>
        <sz val="10"/>
        <rFont val="Arial Narrow"/>
        <family val="2"/>
      </rPr>
      <t>/</t>
    </r>
  </si>
  <si>
    <r>
      <rPr>
        <b/>
        <sz val="10"/>
        <rFont val="宋体"/>
        <family val="3"/>
        <charset val="134"/>
      </rPr>
      <t>期初数</t>
    </r>
    <r>
      <rPr>
        <b/>
        <sz val="10"/>
        <rFont val="Arial Narrow"/>
        <family val="2"/>
      </rPr>
      <t>/</t>
    </r>
  </si>
  <si>
    <r>
      <rPr>
        <sz val="10"/>
        <rFont val="宋体"/>
        <family val="3"/>
        <charset val="134"/>
      </rPr>
      <t>合营企业：</t>
    </r>
  </si>
  <si>
    <r>
      <rPr>
        <sz val="10"/>
        <rFont val="宋体"/>
        <family val="3"/>
        <charset val="134"/>
      </rPr>
      <t>投资账面价值合计</t>
    </r>
  </si>
  <si>
    <r>
      <rPr>
        <sz val="10"/>
        <rFont val="宋体"/>
        <family val="3"/>
        <charset val="134"/>
      </rPr>
      <t>下列各项按持股比例计算的合计数</t>
    </r>
    <r>
      <rPr>
        <sz val="10"/>
        <rFont val="Arial Narrow"/>
        <family val="2"/>
      </rPr>
      <t xml:space="preserve"> </t>
    </r>
  </si>
  <si>
    <r>
      <rPr>
        <sz val="10"/>
        <rFont val="宋体"/>
        <family val="3"/>
        <charset val="134"/>
      </rPr>
      <t>联营企业：</t>
    </r>
  </si>
  <si>
    <r>
      <rPr>
        <b/>
        <sz val="10"/>
        <rFont val="宋体"/>
        <family val="3"/>
        <charset val="134"/>
      </rPr>
      <t>（</t>
    </r>
    <r>
      <rPr>
        <b/>
        <sz val="10"/>
        <rFont val="Arial Narrow"/>
        <family val="2"/>
      </rPr>
      <t>8</t>
    </r>
    <r>
      <rPr>
        <b/>
        <sz val="10"/>
        <rFont val="宋体"/>
        <family val="3"/>
        <charset val="134"/>
      </rPr>
      <t>）重要的共同经营</t>
    </r>
  </si>
  <si>
    <r>
      <rPr>
        <b/>
        <sz val="10"/>
        <rFont val="宋体"/>
        <family val="3"/>
        <charset val="134"/>
      </rPr>
      <t>共同经营名称</t>
    </r>
  </si>
  <si>
    <r>
      <rPr>
        <b/>
        <sz val="10"/>
        <rFont val="宋体"/>
        <family val="3"/>
        <charset val="134"/>
      </rPr>
      <t>持股比例</t>
    </r>
    <r>
      <rPr>
        <b/>
        <sz val="10"/>
        <rFont val="Arial Narrow"/>
        <family val="2"/>
      </rPr>
      <t>/</t>
    </r>
    <r>
      <rPr>
        <b/>
        <sz val="10"/>
        <rFont val="宋体"/>
        <family val="3"/>
        <charset val="134"/>
      </rPr>
      <t>享有的份额</t>
    </r>
    <r>
      <rPr>
        <b/>
        <sz val="10"/>
        <rFont val="Arial Narrow"/>
        <family val="2"/>
      </rPr>
      <t>(%)</t>
    </r>
  </si>
  <si>
    <r>
      <rPr>
        <sz val="10"/>
        <color rgb="FF000000"/>
        <rFont val="宋体"/>
        <family val="3"/>
        <charset val="134"/>
      </rPr>
      <t>说明：</t>
    </r>
  </si>
  <si>
    <r>
      <rPr>
        <sz val="10"/>
        <color rgb="FF0070C0"/>
        <rFont val="宋体"/>
        <family val="3"/>
        <charset val="134"/>
      </rPr>
      <t>①</t>
    </r>
    <r>
      <rPr>
        <sz val="10"/>
        <rFont val="Arial Narrow"/>
        <family val="2"/>
      </rPr>
      <t xml:space="preserve"> </t>
    </r>
    <r>
      <rPr>
        <sz val="10"/>
        <color rgb="FF0000FF"/>
        <rFont val="宋体"/>
        <family val="3"/>
        <charset val="134"/>
      </rPr>
      <t>持股比例或享有的份额不同于表决权比例的，应说明表决权比例及差异原因。</t>
    </r>
  </si>
  <si>
    <r>
      <rPr>
        <sz val="10"/>
        <color rgb="FF0070C0"/>
        <rFont val="宋体"/>
        <family val="3"/>
        <charset val="134"/>
      </rPr>
      <t>②</t>
    </r>
    <r>
      <rPr>
        <sz val="10"/>
        <color rgb="FF0000FF"/>
        <rFont val="宋体"/>
        <family val="3"/>
        <charset val="134"/>
      </rPr>
      <t>共同经营为单独主体的，应披露判断为共同经营的依据。</t>
    </r>
  </si>
  <si>
    <r>
      <rPr>
        <b/>
        <sz val="12"/>
        <rFont val="宋体"/>
        <family val="3"/>
        <charset val="134"/>
      </rPr>
      <t>投资性房地产</t>
    </r>
  </si>
  <si>
    <r>
      <rPr>
        <b/>
        <sz val="10"/>
        <rFont val="宋体"/>
        <family val="3"/>
        <charset val="134"/>
      </rPr>
      <t>（</t>
    </r>
    <r>
      <rPr>
        <b/>
        <sz val="10"/>
        <color theme="1"/>
        <rFont val="Arial Narrow"/>
        <family val="2"/>
      </rPr>
      <t>1</t>
    </r>
    <r>
      <rPr>
        <b/>
        <sz val="10"/>
        <color theme="1"/>
        <rFont val="宋体"/>
        <family val="3"/>
        <charset val="134"/>
      </rPr>
      <t>）按成本计量的投资性房地产</t>
    </r>
    <r>
      <rPr>
        <b/>
        <sz val="10"/>
        <color rgb="FF0000FF"/>
        <rFont val="宋体"/>
        <family val="3"/>
        <charset val="134"/>
      </rPr>
      <t>（如无按公允价值计量的投资性房地产，删除此标题）</t>
    </r>
  </si>
  <si>
    <r>
      <rPr>
        <b/>
        <sz val="10"/>
        <color theme="1"/>
        <rFont val="宋体"/>
        <family val="3"/>
        <charset val="134"/>
      </rPr>
      <t>房屋、建筑物</t>
    </r>
  </si>
  <si>
    <r>
      <rPr>
        <b/>
        <sz val="10"/>
        <color theme="1"/>
        <rFont val="宋体"/>
        <family val="3"/>
        <charset val="134"/>
      </rPr>
      <t>土地使用权</t>
    </r>
  </si>
  <si>
    <r>
      <rPr>
        <b/>
        <sz val="10"/>
        <color theme="1"/>
        <rFont val="宋体"/>
        <family val="3"/>
        <charset val="134"/>
      </rPr>
      <t>在建工程</t>
    </r>
  </si>
  <si>
    <r>
      <rPr>
        <sz val="10"/>
        <color theme="1"/>
        <rFont val="宋体"/>
        <family val="3"/>
        <charset val="134"/>
      </rPr>
      <t>一、账面原值</t>
    </r>
  </si>
  <si>
    <r>
      <rPr>
        <sz val="10"/>
        <color theme="1"/>
        <rFont val="Arial Narrow"/>
        <family val="2"/>
      </rPr>
      <t>1.</t>
    </r>
    <r>
      <rPr>
        <sz val="10"/>
        <color theme="1"/>
        <rFont val="宋体"/>
        <family val="3"/>
        <charset val="134"/>
      </rPr>
      <t>期初余额</t>
    </r>
  </si>
  <si>
    <r>
      <rPr>
        <sz val="10"/>
        <color theme="1"/>
        <rFont val="Arial Narrow"/>
        <family val="2"/>
      </rPr>
      <t>2.</t>
    </r>
    <r>
      <rPr>
        <sz val="10"/>
        <color theme="1"/>
        <rFont val="宋体"/>
        <family val="3"/>
        <charset val="134"/>
      </rPr>
      <t>本期增加金额</t>
    </r>
  </si>
  <si>
    <r>
      <rPr>
        <sz val="10"/>
        <color theme="1"/>
        <rFont val="宋体"/>
        <family val="3"/>
        <charset val="134"/>
      </rPr>
      <t>（</t>
    </r>
    <r>
      <rPr>
        <sz val="10"/>
        <color theme="1"/>
        <rFont val="Arial Narrow"/>
        <family val="2"/>
      </rPr>
      <t>1</t>
    </r>
    <r>
      <rPr>
        <sz val="10"/>
        <color theme="1"/>
        <rFont val="宋体"/>
        <family val="3"/>
        <charset val="134"/>
      </rPr>
      <t>）外购</t>
    </r>
  </si>
  <si>
    <r>
      <rPr>
        <sz val="10"/>
        <color theme="1"/>
        <rFont val="宋体"/>
        <family val="3"/>
        <charset val="134"/>
      </rPr>
      <t>（</t>
    </r>
    <r>
      <rPr>
        <sz val="10"/>
        <color theme="1"/>
        <rFont val="Arial Narrow"/>
        <family val="2"/>
      </rPr>
      <t>2</t>
    </r>
    <r>
      <rPr>
        <sz val="10"/>
        <color theme="1"/>
        <rFont val="宋体"/>
        <family val="3"/>
        <charset val="134"/>
      </rPr>
      <t>）存货</t>
    </r>
    <r>
      <rPr>
        <sz val="10"/>
        <color theme="1"/>
        <rFont val="Arial Narrow"/>
        <family val="2"/>
      </rPr>
      <t>\</t>
    </r>
    <r>
      <rPr>
        <sz val="10"/>
        <color theme="1"/>
        <rFont val="宋体"/>
        <family val="3"/>
        <charset val="134"/>
      </rPr>
      <t>固定资产</t>
    </r>
    <r>
      <rPr>
        <sz val="10"/>
        <color theme="1"/>
        <rFont val="Arial Narrow"/>
        <family val="2"/>
      </rPr>
      <t>\</t>
    </r>
    <r>
      <rPr>
        <sz val="10"/>
        <color theme="1"/>
        <rFont val="宋体"/>
        <family val="3"/>
        <charset val="134"/>
      </rPr>
      <t>在建工程转入</t>
    </r>
  </si>
  <si>
    <r>
      <rPr>
        <sz val="10"/>
        <color theme="1"/>
        <rFont val="宋体"/>
        <family val="3"/>
        <charset val="134"/>
      </rPr>
      <t>（</t>
    </r>
    <r>
      <rPr>
        <sz val="10"/>
        <color theme="1"/>
        <rFont val="Arial Narrow"/>
        <family val="2"/>
      </rPr>
      <t>3</t>
    </r>
    <r>
      <rPr>
        <sz val="10"/>
        <color theme="1"/>
        <rFont val="宋体"/>
        <family val="3"/>
        <charset val="134"/>
      </rPr>
      <t>）企业合并增加</t>
    </r>
  </si>
  <si>
    <r>
      <rPr>
        <sz val="10"/>
        <color theme="1"/>
        <rFont val="Arial Narrow"/>
        <family val="2"/>
      </rPr>
      <t>3.</t>
    </r>
    <r>
      <rPr>
        <sz val="10"/>
        <color theme="1"/>
        <rFont val="宋体"/>
        <family val="3"/>
        <charset val="134"/>
      </rPr>
      <t>本期减少金额</t>
    </r>
  </si>
  <si>
    <r>
      <rPr>
        <sz val="10"/>
        <color theme="1"/>
        <rFont val="宋体"/>
        <family val="3"/>
        <charset val="134"/>
      </rPr>
      <t>（</t>
    </r>
    <r>
      <rPr>
        <sz val="10"/>
        <color theme="1"/>
        <rFont val="Arial Narrow"/>
        <family val="2"/>
      </rPr>
      <t>1</t>
    </r>
    <r>
      <rPr>
        <sz val="10"/>
        <color theme="1"/>
        <rFont val="宋体"/>
        <family val="3"/>
        <charset val="134"/>
      </rPr>
      <t>）处置</t>
    </r>
  </si>
  <si>
    <r>
      <rPr>
        <sz val="10"/>
        <color theme="1"/>
        <rFont val="宋体"/>
        <family val="3"/>
        <charset val="134"/>
      </rPr>
      <t>（</t>
    </r>
    <r>
      <rPr>
        <sz val="10"/>
        <color theme="1"/>
        <rFont val="Arial Narrow"/>
        <family val="2"/>
      </rPr>
      <t>2</t>
    </r>
    <r>
      <rPr>
        <sz val="10"/>
        <color theme="1"/>
        <rFont val="宋体"/>
        <family val="3"/>
        <charset val="134"/>
      </rPr>
      <t>）其他转出</t>
    </r>
  </si>
  <si>
    <r>
      <rPr>
        <sz val="10"/>
        <color theme="1"/>
        <rFont val="Arial Narrow"/>
        <family val="2"/>
      </rPr>
      <t>4.</t>
    </r>
    <r>
      <rPr>
        <sz val="10"/>
        <color theme="1"/>
        <rFont val="宋体"/>
        <family val="3"/>
        <charset val="134"/>
      </rPr>
      <t>期末余额</t>
    </r>
  </si>
  <si>
    <r>
      <rPr>
        <b/>
        <sz val="10"/>
        <color theme="1"/>
        <rFont val="宋体"/>
        <family val="3"/>
        <charset val="134"/>
      </rPr>
      <t>二、累计折旧和累计摊销</t>
    </r>
  </si>
  <si>
    <r>
      <rPr>
        <sz val="10"/>
        <color theme="1"/>
        <rFont val="宋体"/>
        <family val="3"/>
        <charset val="134"/>
      </rPr>
      <t>（</t>
    </r>
    <r>
      <rPr>
        <sz val="10"/>
        <color theme="1"/>
        <rFont val="Arial Narrow"/>
        <family val="2"/>
      </rPr>
      <t>1</t>
    </r>
    <r>
      <rPr>
        <sz val="10"/>
        <color theme="1"/>
        <rFont val="宋体"/>
        <family val="3"/>
        <charset val="134"/>
      </rPr>
      <t>）计提或摊销</t>
    </r>
  </si>
  <si>
    <r>
      <rPr>
        <sz val="10"/>
        <color theme="1"/>
        <rFont val="宋体"/>
        <family val="3"/>
        <charset val="134"/>
      </rPr>
      <t>（</t>
    </r>
    <r>
      <rPr>
        <sz val="10"/>
        <color theme="1"/>
        <rFont val="Arial Narrow"/>
        <family val="2"/>
      </rPr>
      <t>2</t>
    </r>
    <r>
      <rPr>
        <sz val="10"/>
        <color theme="1"/>
        <rFont val="宋体"/>
        <family val="3"/>
        <charset val="134"/>
      </rPr>
      <t>）企业合并增加</t>
    </r>
  </si>
  <si>
    <r>
      <rPr>
        <sz val="10"/>
        <color theme="1"/>
        <rFont val="宋体"/>
        <family val="3"/>
        <charset val="134"/>
      </rPr>
      <t>（</t>
    </r>
    <r>
      <rPr>
        <sz val="10"/>
        <color theme="1"/>
        <rFont val="Arial Narrow"/>
        <family val="2"/>
      </rPr>
      <t>3</t>
    </r>
    <r>
      <rPr>
        <sz val="10"/>
        <color theme="1"/>
        <rFont val="宋体"/>
        <family val="3"/>
        <charset val="134"/>
      </rPr>
      <t>）其他增加</t>
    </r>
  </si>
  <si>
    <r>
      <rPr>
        <b/>
        <sz val="10"/>
        <color theme="1"/>
        <rFont val="宋体"/>
        <family val="3"/>
        <charset val="134"/>
      </rPr>
      <t>三、减值准备</t>
    </r>
  </si>
  <si>
    <r>
      <rPr>
        <sz val="10"/>
        <color theme="1"/>
        <rFont val="宋体"/>
        <family val="3"/>
        <charset val="134"/>
      </rPr>
      <t>（</t>
    </r>
    <r>
      <rPr>
        <sz val="10"/>
        <color theme="1"/>
        <rFont val="Arial Narrow"/>
        <family val="2"/>
      </rPr>
      <t>1</t>
    </r>
    <r>
      <rPr>
        <sz val="10"/>
        <color theme="1"/>
        <rFont val="宋体"/>
        <family val="3"/>
        <charset val="134"/>
      </rPr>
      <t>）计提</t>
    </r>
  </si>
  <si>
    <r>
      <rPr>
        <sz val="10"/>
        <color theme="1"/>
        <rFont val="宋体"/>
        <family val="3"/>
        <charset val="134"/>
      </rPr>
      <t>（</t>
    </r>
    <r>
      <rPr>
        <sz val="10"/>
        <color theme="1"/>
        <rFont val="Arial Narrow"/>
        <family val="2"/>
      </rPr>
      <t>2</t>
    </r>
    <r>
      <rPr>
        <sz val="10"/>
        <color theme="1"/>
        <rFont val="宋体"/>
        <family val="3"/>
        <charset val="134"/>
      </rPr>
      <t>）其他增加</t>
    </r>
  </si>
  <si>
    <r>
      <rPr>
        <sz val="10"/>
        <color theme="1"/>
        <rFont val="Arial Narrow"/>
        <family val="2"/>
      </rPr>
      <t>3</t>
    </r>
    <r>
      <rPr>
        <sz val="10"/>
        <color theme="1"/>
        <rFont val="宋体"/>
        <family val="3"/>
        <charset val="134"/>
      </rPr>
      <t>、本期减少金额</t>
    </r>
  </si>
  <si>
    <r>
      <rPr>
        <b/>
        <sz val="10"/>
        <color theme="1"/>
        <rFont val="宋体"/>
        <family val="3"/>
        <charset val="134"/>
      </rPr>
      <t>四、账面价值</t>
    </r>
  </si>
  <si>
    <r>
      <rPr>
        <sz val="10"/>
        <color theme="1"/>
        <rFont val="Arial Narrow"/>
        <family val="2"/>
      </rPr>
      <t>1.</t>
    </r>
    <r>
      <rPr>
        <sz val="10"/>
        <color theme="1"/>
        <rFont val="宋体"/>
        <family val="3"/>
        <charset val="134"/>
      </rPr>
      <t>期末账面价值</t>
    </r>
  </si>
  <si>
    <r>
      <rPr>
        <sz val="10"/>
        <color theme="1"/>
        <rFont val="Arial Narrow"/>
        <family val="2"/>
      </rPr>
      <t>2.</t>
    </r>
    <r>
      <rPr>
        <sz val="10"/>
        <color theme="1"/>
        <rFont val="宋体"/>
        <family val="3"/>
        <charset val="134"/>
      </rPr>
      <t>期初账面价值</t>
    </r>
  </si>
  <si>
    <r>
      <rPr>
        <b/>
        <sz val="10"/>
        <rFont val="宋体"/>
        <family val="3"/>
        <charset val="134"/>
      </rPr>
      <t>（</t>
    </r>
    <r>
      <rPr>
        <b/>
        <sz val="10"/>
        <color theme="1"/>
        <rFont val="Arial Narrow"/>
        <family val="2"/>
      </rPr>
      <t>2</t>
    </r>
    <r>
      <rPr>
        <b/>
        <sz val="10"/>
        <color theme="1"/>
        <rFont val="宋体"/>
        <family val="3"/>
        <charset val="134"/>
      </rPr>
      <t>）按公允价值计量的投资性房地产</t>
    </r>
    <r>
      <rPr>
        <b/>
        <strike/>
        <sz val="10"/>
        <color rgb="FFFF0000"/>
        <rFont val="宋体"/>
        <family val="3"/>
        <charset val="134"/>
      </rPr>
      <t>（不适用的删除）</t>
    </r>
  </si>
  <si>
    <r>
      <rPr>
        <sz val="10"/>
        <color rgb="FF0070C0"/>
        <rFont val="宋体"/>
        <family val="3"/>
        <charset val="134"/>
      </rPr>
      <t>（采用公允价值计量模式的投资性房地产，分类列示期初余额、期末余额和本期增减变动情况。）</t>
    </r>
  </si>
  <si>
    <r>
      <rPr>
        <b/>
        <sz val="10"/>
        <color rgb="FF000000"/>
        <rFont val="宋体"/>
        <family val="3"/>
        <charset val="134"/>
      </rPr>
      <t>房屋、建筑物</t>
    </r>
  </si>
  <si>
    <r>
      <rPr>
        <b/>
        <sz val="10"/>
        <color rgb="FF000000"/>
        <rFont val="宋体"/>
        <family val="3"/>
        <charset val="134"/>
      </rPr>
      <t>土地使用权</t>
    </r>
  </si>
  <si>
    <r>
      <rPr>
        <b/>
        <sz val="10"/>
        <color rgb="FF000000"/>
        <rFont val="宋体"/>
        <family val="3"/>
        <charset val="134"/>
      </rPr>
      <t>在建工程</t>
    </r>
  </si>
  <si>
    <r>
      <rPr>
        <b/>
        <sz val="10"/>
        <color rgb="FF000000"/>
        <rFont val="宋体"/>
        <family val="3"/>
        <charset val="134"/>
      </rPr>
      <t>合计</t>
    </r>
  </si>
  <si>
    <r>
      <rPr>
        <b/>
        <sz val="10"/>
        <color rgb="FF000000"/>
        <rFont val="宋体"/>
        <family val="3"/>
        <charset val="134"/>
      </rPr>
      <t>一、期初余额</t>
    </r>
  </si>
  <si>
    <r>
      <rPr>
        <b/>
        <sz val="10"/>
        <color rgb="FF000000"/>
        <rFont val="宋体"/>
        <family val="3"/>
        <charset val="134"/>
      </rPr>
      <t>二、本期变动</t>
    </r>
  </si>
  <si>
    <r>
      <rPr>
        <sz val="10"/>
        <color rgb="FF000000"/>
        <rFont val="宋体"/>
        <family val="3"/>
        <charset val="134"/>
      </rPr>
      <t>加：外购</t>
    </r>
  </si>
  <si>
    <r>
      <rPr>
        <sz val="10"/>
        <color rgb="FF000000"/>
        <rFont val="宋体"/>
        <family val="3"/>
        <charset val="134"/>
      </rPr>
      <t>存货</t>
    </r>
    <r>
      <rPr>
        <sz val="10"/>
        <color rgb="FF000000"/>
        <rFont val="Arial Narrow"/>
        <family val="2"/>
      </rPr>
      <t>\</t>
    </r>
    <r>
      <rPr>
        <sz val="10"/>
        <color rgb="FF000000"/>
        <rFont val="宋体"/>
        <family val="3"/>
        <charset val="134"/>
      </rPr>
      <t>固定资产</t>
    </r>
    <r>
      <rPr>
        <sz val="10"/>
        <color rgb="FF000000"/>
        <rFont val="Arial Narrow"/>
        <family val="2"/>
      </rPr>
      <t>\</t>
    </r>
    <r>
      <rPr>
        <sz val="10"/>
        <color rgb="FF000000"/>
        <rFont val="宋体"/>
        <family val="3"/>
        <charset val="134"/>
      </rPr>
      <t>在建工程转入</t>
    </r>
  </si>
  <si>
    <r>
      <rPr>
        <sz val="10"/>
        <color rgb="FF000000"/>
        <rFont val="宋体"/>
        <family val="3"/>
        <charset val="134"/>
      </rPr>
      <t>企业合并增加</t>
    </r>
  </si>
  <si>
    <r>
      <rPr>
        <sz val="10"/>
        <color rgb="FF000000"/>
        <rFont val="宋体"/>
        <family val="3"/>
        <charset val="134"/>
      </rPr>
      <t>减：处置</t>
    </r>
  </si>
  <si>
    <r>
      <rPr>
        <sz val="10"/>
        <color rgb="FF000000"/>
        <rFont val="宋体"/>
        <family val="3"/>
        <charset val="134"/>
      </rPr>
      <t>其他转出</t>
    </r>
  </si>
  <si>
    <r>
      <rPr>
        <sz val="10"/>
        <color rgb="FF000000"/>
        <rFont val="宋体"/>
        <family val="3"/>
        <charset val="134"/>
      </rPr>
      <t>公允价值变动</t>
    </r>
  </si>
  <si>
    <r>
      <rPr>
        <b/>
        <sz val="10"/>
        <color rgb="FF000000"/>
        <rFont val="宋体"/>
        <family val="3"/>
        <charset val="134"/>
      </rPr>
      <t>三、期末余额</t>
    </r>
  </si>
  <si>
    <r>
      <rPr>
        <b/>
        <sz val="10"/>
        <rFont val="宋体"/>
        <family val="3"/>
        <charset val="134"/>
      </rPr>
      <t>（</t>
    </r>
    <r>
      <rPr>
        <b/>
        <sz val="10"/>
        <color theme="1"/>
        <rFont val="Arial Narrow"/>
        <family val="2"/>
      </rPr>
      <t>3</t>
    </r>
    <r>
      <rPr>
        <b/>
        <sz val="10"/>
        <color theme="1"/>
        <rFont val="宋体"/>
        <family val="3"/>
        <charset val="134"/>
      </rPr>
      <t>）未办妥产权证书的情况</t>
    </r>
  </si>
  <si>
    <r>
      <rPr>
        <sz val="10"/>
        <color rgb="FF0070C0"/>
        <rFont val="宋体"/>
        <family val="3"/>
        <charset val="134"/>
      </rPr>
      <t>（披露未办妥产权证书的投资性房地产账面价值及原因。）</t>
    </r>
  </si>
  <si>
    <r>
      <rPr>
        <b/>
        <sz val="10"/>
        <color rgb="FF000000"/>
        <rFont val="宋体"/>
        <family val="3"/>
        <charset val="134"/>
      </rPr>
      <t>未办妥产权证书原因</t>
    </r>
  </si>
  <si>
    <r>
      <rPr>
        <sz val="10"/>
        <color rgb="FF0070C0"/>
        <rFont val="宋体"/>
        <family val="3"/>
        <charset val="134"/>
      </rPr>
      <t>（</t>
    </r>
    <r>
      <rPr>
        <sz val="10"/>
        <color theme="1"/>
        <rFont val="Arial Narrow"/>
        <family val="2"/>
      </rPr>
      <t>4</t>
    </r>
    <r>
      <rPr>
        <sz val="10"/>
        <color theme="1"/>
        <rFont val="宋体"/>
        <family val="3"/>
        <charset val="134"/>
      </rPr>
      <t>）房地产转换情况及改变计量模式的情况</t>
    </r>
  </si>
  <si>
    <r>
      <rPr>
        <sz val="10"/>
        <color rgb="FF0070C0"/>
        <rFont val="宋体"/>
        <family val="3"/>
        <charset val="134"/>
      </rPr>
      <t>（说明报告期内房地产转换或改变计量模式的情况、理由，以及对损益或所有者权益的影响。</t>
    </r>
  </si>
  <si>
    <r>
      <rPr>
        <sz val="10"/>
        <color rgb="FF0070C0"/>
        <rFont val="宋体"/>
        <family val="3"/>
        <charset val="134"/>
      </rPr>
      <t>房地产开发企业列示出租开发产品时，应披露出租开发产品的成本、租赁合同主要条款等内容。对重要的出租房产应单项披露，非重要或零星的出租房产可采用合并披露。）</t>
    </r>
  </si>
  <si>
    <r>
      <rPr>
        <b/>
        <sz val="10"/>
        <rFont val="宋体"/>
        <family val="3"/>
        <charset val="134"/>
      </rPr>
      <t>转入清理的原因</t>
    </r>
  </si>
  <si>
    <t>固定资产清理</t>
  </si>
  <si>
    <r>
      <rPr>
        <b/>
        <sz val="12"/>
        <rFont val="宋体"/>
        <family val="3"/>
        <charset val="134"/>
      </rPr>
      <t>固定资产及累计折旧</t>
    </r>
  </si>
  <si>
    <r>
      <rPr>
        <b/>
        <sz val="10"/>
        <rFont val="宋体"/>
        <family val="3"/>
        <charset val="134"/>
      </rPr>
      <t>（</t>
    </r>
    <r>
      <rPr>
        <b/>
        <sz val="10"/>
        <color theme="1"/>
        <rFont val="Arial Narrow"/>
        <family val="2"/>
      </rPr>
      <t>1</t>
    </r>
    <r>
      <rPr>
        <b/>
        <sz val="10"/>
        <color theme="1"/>
        <rFont val="宋体"/>
        <family val="3"/>
        <charset val="134"/>
      </rPr>
      <t>）固定资产情况</t>
    </r>
  </si>
  <si>
    <r>
      <rPr>
        <b/>
        <sz val="10"/>
        <color rgb="FF000000"/>
        <rFont val="宋体"/>
        <family val="3"/>
        <charset val="134"/>
      </rPr>
      <t>房屋及建筑物</t>
    </r>
  </si>
  <si>
    <r>
      <rPr>
        <b/>
        <sz val="10"/>
        <color rgb="FF000000"/>
        <rFont val="宋体"/>
        <family val="3"/>
        <charset val="134"/>
      </rPr>
      <t>机器设备</t>
    </r>
  </si>
  <si>
    <r>
      <rPr>
        <b/>
        <sz val="10"/>
        <color rgb="FF000000"/>
        <rFont val="宋体"/>
        <family val="3"/>
        <charset val="134"/>
      </rPr>
      <t>运输设备</t>
    </r>
  </si>
  <si>
    <r>
      <rPr>
        <b/>
        <sz val="10"/>
        <color rgb="FF000000"/>
        <rFont val="宋体"/>
        <family val="3"/>
        <charset val="134"/>
      </rPr>
      <t>合</t>
    </r>
    <r>
      <rPr>
        <b/>
        <sz val="10"/>
        <color rgb="FF000000"/>
        <rFont val="Arial Narrow"/>
        <family val="2"/>
      </rPr>
      <t xml:space="preserve">  </t>
    </r>
    <r>
      <rPr>
        <b/>
        <sz val="10"/>
        <color rgb="FF000000"/>
        <rFont val="宋体"/>
        <family val="3"/>
        <charset val="134"/>
      </rPr>
      <t>计</t>
    </r>
  </si>
  <si>
    <r>
      <rPr>
        <b/>
        <sz val="10"/>
        <color rgb="FF000000"/>
        <rFont val="宋体"/>
        <family val="3"/>
        <charset val="134"/>
      </rPr>
      <t>一、账面原值：</t>
    </r>
  </si>
  <si>
    <r>
      <rPr>
        <sz val="10"/>
        <color rgb="FF000000"/>
        <rFont val="Arial Narrow"/>
        <family val="2"/>
      </rPr>
      <t>1.</t>
    </r>
    <r>
      <rPr>
        <sz val="10"/>
        <color rgb="FF000000"/>
        <rFont val="宋体"/>
        <family val="3"/>
        <charset val="134"/>
      </rPr>
      <t>期初余额</t>
    </r>
  </si>
  <si>
    <r>
      <rPr>
        <sz val="10"/>
        <color rgb="FF000000"/>
        <rFont val="Arial Narrow"/>
        <family val="2"/>
      </rPr>
      <t>2.</t>
    </r>
    <r>
      <rPr>
        <sz val="10"/>
        <color rgb="FF000000"/>
        <rFont val="宋体"/>
        <family val="3"/>
        <charset val="134"/>
      </rPr>
      <t>本期增加金额</t>
    </r>
  </si>
  <si>
    <r>
      <rPr>
        <sz val="10"/>
        <color rgb="FF000000"/>
        <rFont val="宋体"/>
        <family val="3"/>
        <charset val="134"/>
      </rPr>
      <t>（</t>
    </r>
    <r>
      <rPr>
        <sz val="10"/>
        <color rgb="FF000000"/>
        <rFont val="Arial Narrow"/>
        <family val="2"/>
      </rPr>
      <t>1</t>
    </r>
    <r>
      <rPr>
        <sz val="10"/>
        <color rgb="FF000000"/>
        <rFont val="宋体"/>
        <family val="3"/>
        <charset val="134"/>
      </rPr>
      <t>）购置</t>
    </r>
  </si>
  <si>
    <r>
      <rPr>
        <sz val="10"/>
        <color rgb="FF000000"/>
        <rFont val="宋体"/>
        <family val="3"/>
        <charset val="134"/>
      </rPr>
      <t>（</t>
    </r>
    <r>
      <rPr>
        <sz val="10"/>
        <color rgb="FF000000"/>
        <rFont val="Arial Narrow"/>
        <family val="2"/>
      </rPr>
      <t>2</t>
    </r>
    <r>
      <rPr>
        <sz val="10"/>
        <color rgb="FF000000"/>
        <rFont val="宋体"/>
        <family val="3"/>
        <charset val="134"/>
      </rPr>
      <t>）在建工程转入</t>
    </r>
  </si>
  <si>
    <r>
      <rPr>
        <sz val="10"/>
        <color rgb="FF000000"/>
        <rFont val="宋体"/>
        <family val="3"/>
        <charset val="134"/>
      </rPr>
      <t>（</t>
    </r>
    <r>
      <rPr>
        <sz val="10"/>
        <color rgb="FF000000"/>
        <rFont val="Arial Narrow"/>
        <family val="2"/>
      </rPr>
      <t>3</t>
    </r>
    <r>
      <rPr>
        <sz val="10"/>
        <color rgb="FF000000"/>
        <rFont val="宋体"/>
        <family val="3"/>
        <charset val="134"/>
      </rPr>
      <t>）企业合并增加</t>
    </r>
  </si>
  <si>
    <r>
      <rPr>
        <sz val="10"/>
        <color rgb="FF000000"/>
        <rFont val="Arial Narrow"/>
        <family val="2"/>
      </rPr>
      <t>3.</t>
    </r>
    <r>
      <rPr>
        <sz val="10"/>
        <color rgb="FF000000"/>
        <rFont val="宋体"/>
        <family val="3"/>
        <charset val="134"/>
      </rPr>
      <t>本期减少金额</t>
    </r>
  </si>
  <si>
    <r>
      <rPr>
        <sz val="10"/>
        <color rgb="FF000000"/>
        <rFont val="宋体"/>
        <family val="3"/>
        <charset val="134"/>
      </rPr>
      <t>（</t>
    </r>
    <r>
      <rPr>
        <sz val="10"/>
        <color rgb="FF000000"/>
        <rFont val="Arial Narrow"/>
        <family val="2"/>
      </rPr>
      <t>1</t>
    </r>
    <r>
      <rPr>
        <sz val="10"/>
        <color rgb="FF000000"/>
        <rFont val="宋体"/>
        <family val="3"/>
        <charset val="134"/>
      </rPr>
      <t>）处置或报废</t>
    </r>
  </si>
  <si>
    <r>
      <rPr>
        <sz val="10"/>
        <color rgb="FF000000"/>
        <rFont val="宋体"/>
        <family val="3"/>
        <charset val="134"/>
      </rPr>
      <t>（</t>
    </r>
    <r>
      <rPr>
        <sz val="10"/>
        <color rgb="FF000000"/>
        <rFont val="Arial Narrow"/>
        <family val="2"/>
      </rPr>
      <t>2</t>
    </r>
    <r>
      <rPr>
        <sz val="10"/>
        <color rgb="FF000000"/>
        <rFont val="宋体"/>
        <family val="3"/>
        <charset val="134"/>
      </rPr>
      <t>）其他减少</t>
    </r>
  </si>
  <si>
    <r>
      <rPr>
        <sz val="10"/>
        <color rgb="FF000000"/>
        <rFont val="Arial Narrow"/>
        <family val="2"/>
      </rPr>
      <t>4.</t>
    </r>
    <r>
      <rPr>
        <sz val="10"/>
        <color rgb="FF000000"/>
        <rFont val="宋体"/>
        <family val="3"/>
        <charset val="134"/>
      </rPr>
      <t>期末余额</t>
    </r>
  </si>
  <si>
    <r>
      <rPr>
        <b/>
        <sz val="10"/>
        <color rgb="FF000000"/>
        <rFont val="宋体"/>
        <family val="3"/>
        <charset val="134"/>
      </rPr>
      <t>二、累计折旧</t>
    </r>
  </si>
  <si>
    <r>
      <rPr>
        <sz val="10"/>
        <color rgb="FF000000"/>
        <rFont val="宋体"/>
        <family val="3"/>
        <charset val="134"/>
      </rPr>
      <t>（</t>
    </r>
    <r>
      <rPr>
        <sz val="10"/>
        <color rgb="FF000000"/>
        <rFont val="Arial Narrow"/>
        <family val="2"/>
      </rPr>
      <t>1</t>
    </r>
    <r>
      <rPr>
        <sz val="10"/>
        <color rgb="FF000000"/>
        <rFont val="宋体"/>
        <family val="3"/>
        <charset val="134"/>
      </rPr>
      <t>）计提</t>
    </r>
  </si>
  <si>
    <r>
      <rPr>
        <sz val="10"/>
        <color rgb="FF000000"/>
        <rFont val="宋体"/>
        <family val="3"/>
        <charset val="134"/>
      </rPr>
      <t>（</t>
    </r>
    <r>
      <rPr>
        <sz val="10"/>
        <color rgb="FF000000"/>
        <rFont val="Arial Narrow"/>
        <family val="2"/>
      </rPr>
      <t>2</t>
    </r>
    <r>
      <rPr>
        <sz val="10"/>
        <color rgb="FF000000"/>
        <rFont val="宋体"/>
        <family val="3"/>
        <charset val="134"/>
      </rPr>
      <t>）其他增加</t>
    </r>
  </si>
  <si>
    <r>
      <rPr>
        <b/>
        <sz val="10"/>
        <color rgb="FF000000"/>
        <rFont val="宋体"/>
        <family val="3"/>
        <charset val="134"/>
      </rPr>
      <t>三、减值准备</t>
    </r>
  </si>
  <si>
    <r>
      <rPr>
        <sz val="10"/>
        <color rgb="FF000000"/>
        <rFont val="宋体"/>
        <family val="3"/>
        <charset val="134"/>
      </rPr>
      <t>（</t>
    </r>
    <r>
      <rPr>
        <sz val="10"/>
        <color rgb="FF000000"/>
        <rFont val="Arial Narrow"/>
        <family val="2"/>
      </rPr>
      <t>2</t>
    </r>
    <r>
      <rPr>
        <sz val="10"/>
        <color rgb="FF000000"/>
        <rFont val="宋体"/>
        <family val="3"/>
        <charset val="134"/>
      </rPr>
      <t>）其他减少</t>
    </r>
    <r>
      <rPr>
        <sz val="10"/>
        <color rgb="FF3333FF"/>
        <rFont val="宋体"/>
        <family val="3"/>
        <charset val="134"/>
      </rPr>
      <t>（提示）</t>
    </r>
  </si>
  <si>
    <r>
      <rPr>
        <b/>
        <sz val="10"/>
        <color rgb="FF000000"/>
        <rFont val="宋体"/>
        <family val="3"/>
        <charset val="134"/>
      </rPr>
      <t>四、账面价值</t>
    </r>
  </si>
  <si>
    <r>
      <rPr>
        <sz val="10"/>
        <color rgb="FF000000"/>
        <rFont val="Arial Narrow"/>
        <family val="2"/>
      </rPr>
      <t>1.</t>
    </r>
    <r>
      <rPr>
        <sz val="10"/>
        <color rgb="FF000000"/>
        <rFont val="宋体"/>
        <family val="3"/>
        <charset val="134"/>
      </rPr>
      <t>期末账面价值</t>
    </r>
  </si>
  <si>
    <r>
      <rPr>
        <sz val="10"/>
        <color rgb="FF000000"/>
        <rFont val="Arial Narrow"/>
        <family val="2"/>
      </rPr>
      <t>2.</t>
    </r>
    <r>
      <rPr>
        <sz val="10"/>
        <color rgb="FF000000"/>
        <rFont val="宋体"/>
        <family val="3"/>
        <charset val="134"/>
      </rPr>
      <t>期初账面价值</t>
    </r>
  </si>
  <si>
    <r>
      <rPr>
        <sz val="10"/>
        <color rgb="FF0070C0"/>
        <rFont val="宋体"/>
        <family val="3"/>
        <charset val="134"/>
      </rPr>
      <t>①（抵押、担保的固定资产情况）</t>
    </r>
  </si>
  <si>
    <r>
      <rPr>
        <sz val="10"/>
        <color rgb="FF0070C0"/>
        <rFont val="宋体"/>
        <family val="3"/>
        <charset val="134"/>
      </rPr>
      <t>（注：本期发生以明显高于账面价值的价格出售固定资产交易的，应详细说明交易作价的基础和依据，如：估值模型、重要参数的选取依据和估值过程，以及必要的敏感性分析。）</t>
    </r>
  </si>
  <si>
    <r>
      <rPr>
        <b/>
        <sz val="10"/>
        <color rgb="FF0000FF"/>
        <rFont val="宋体"/>
        <family val="3"/>
        <charset val="134"/>
      </rPr>
      <t>【提示：在</t>
    </r>
    <r>
      <rPr>
        <b/>
        <sz val="10"/>
        <color rgb="FF0000FF"/>
        <rFont val="Arial Narrow"/>
        <family val="2"/>
      </rPr>
      <t>“</t>
    </r>
    <r>
      <rPr>
        <b/>
        <sz val="10"/>
        <color rgb="FF0000FF"/>
        <rFont val="宋体"/>
        <family val="3"/>
        <charset val="134"/>
      </rPr>
      <t>其他减少</t>
    </r>
    <r>
      <rPr>
        <b/>
        <sz val="10"/>
        <color rgb="FF0000FF"/>
        <rFont val="Arial Narrow"/>
        <family val="2"/>
      </rPr>
      <t>”</t>
    </r>
    <r>
      <rPr>
        <b/>
        <sz val="10"/>
        <color rgb="FF0000FF"/>
        <rFont val="宋体"/>
        <family val="3"/>
        <charset val="134"/>
      </rPr>
      <t>中列示本期收到的政府补助冲减固定资产账面价值的金额。对于冲减无形资产或其他资产账面价值的政府补助，比照披露。】</t>
    </r>
  </si>
  <si>
    <t>（提示：对于冲减无形资产或其他资产账面价值的政府补助，在无形资产或其他资产的科目附注中比照上述要求进行披露。）</t>
  </si>
  <si>
    <r>
      <rPr>
        <b/>
        <sz val="10"/>
        <rFont val="宋体"/>
        <family val="3"/>
        <charset val="134"/>
      </rPr>
      <t>（</t>
    </r>
    <r>
      <rPr>
        <b/>
        <sz val="10"/>
        <color theme="1"/>
        <rFont val="Arial Narrow"/>
        <family val="2"/>
      </rPr>
      <t>2</t>
    </r>
    <r>
      <rPr>
        <b/>
        <sz val="10"/>
        <color theme="1"/>
        <rFont val="宋体"/>
        <family val="3"/>
        <charset val="134"/>
      </rPr>
      <t>）暂时闲置的固定资产情况</t>
    </r>
  </si>
  <si>
    <r>
      <rPr>
        <b/>
        <sz val="10"/>
        <color rgb="FF000000"/>
        <rFont val="宋体"/>
        <family val="3"/>
        <charset val="134"/>
      </rPr>
      <t>账面原值</t>
    </r>
  </si>
  <si>
    <r>
      <rPr>
        <b/>
        <sz val="10"/>
        <color rgb="FF000000"/>
        <rFont val="宋体"/>
        <family val="3"/>
        <charset val="134"/>
      </rPr>
      <t>累计折旧</t>
    </r>
  </si>
  <si>
    <r>
      <rPr>
        <b/>
        <sz val="10"/>
        <color rgb="FF000000"/>
        <rFont val="宋体"/>
        <family val="3"/>
        <charset val="134"/>
      </rPr>
      <t>备注</t>
    </r>
  </si>
  <si>
    <r>
      <rPr>
        <sz val="10"/>
        <color rgb="FF000000"/>
        <rFont val="宋体"/>
        <family val="3"/>
        <charset val="134"/>
      </rPr>
      <t>房屋及建筑物</t>
    </r>
  </si>
  <si>
    <r>
      <rPr>
        <sz val="10"/>
        <color rgb="FF000000"/>
        <rFont val="宋体"/>
        <family val="3"/>
        <charset val="134"/>
      </rPr>
      <t>机器设备</t>
    </r>
  </si>
  <si>
    <r>
      <rPr>
        <sz val="10"/>
        <color rgb="FF000000"/>
        <rFont val="宋体"/>
        <family val="3"/>
        <charset val="134"/>
      </rPr>
      <t>电子设备</t>
    </r>
  </si>
  <si>
    <r>
      <rPr>
        <sz val="10"/>
        <color rgb="FF000000"/>
        <rFont val="宋体"/>
        <family val="3"/>
        <charset val="134"/>
      </rPr>
      <t>运输设备</t>
    </r>
  </si>
  <si>
    <r>
      <rPr>
        <b/>
        <sz val="10"/>
        <rFont val="宋体"/>
        <family val="3"/>
        <charset val="134"/>
      </rPr>
      <t>（</t>
    </r>
    <r>
      <rPr>
        <b/>
        <sz val="10"/>
        <color theme="1"/>
        <rFont val="Arial Narrow"/>
        <family val="2"/>
      </rPr>
      <t>3</t>
    </r>
    <r>
      <rPr>
        <b/>
        <sz val="10"/>
        <color theme="1"/>
        <rFont val="宋体"/>
        <family val="3"/>
        <charset val="134"/>
      </rPr>
      <t>）通过融资租赁租入的固定资产情况</t>
    </r>
  </si>
  <si>
    <r>
      <rPr>
        <sz val="10"/>
        <rFont val="宋体"/>
        <family val="3"/>
        <charset val="134"/>
      </rPr>
      <t>（</t>
    </r>
    <r>
      <rPr>
        <sz val="10"/>
        <color theme="1"/>
        <rFont val="Arial Narrow"/>
        <family val="2"/>
      </rPr>
      <t>4</t>
    </r>
    <r>
      <rPr>
        <sz val="10"/>
        <color theme="1"/>
        <rFont val="宋体"/>
        <family val="3"/>
        <charset val="134"/>
      </rPr>
      <t>）通过经营租赁租出的固定资产</t>
    </r>
  </si>
  <si>
    <r>
      <rPr>
        <sz val="10"/>
        <rFont val="宋体"/>
        <family val="3"/>
        <charset val="134"/>
      </rPr>
      <t>（</t>
    </r>
    <r>
      <rPr>
        <sz val="10"/>
        <color theme="1"/>
        <rFont val="Arial Narrow"/>
        <family val="2"/>
      </rPr>
      <t>5</t>
    </r>
    <r>
      <rPr>
        <sz val="10"/>
        <color theme="1"/>
        <rFont val="宋体"/>
        <family val="3"/>
        <charset val="134"/>
      </rPr>
      <t>）未办妥产权证书的固定资产情况</t>
    </r>
  </si>
  <si>
    <r>
      <rPr>
        <sz val="10"/>
        <color rgb="FF0070C0"/>
        <rFont val="宋体"/>
        <family val="3"/>
        <charset val="134"/>
      </rPr>
      <t>（披露期末未办妥产权证书的固定资产账面价值及原因。）</t>
    </r>
  </si>
  <si>
    <r>
      <rPr>
        <b/>
        <sz val="10"/>
        <color theme="1"/>
        <rFont val="宋体"/>
        <family val="3"/>
        <charset val="134"/>
      </rPr>
      <t>未办妥产权证书原因</t>
    </r>
  </si>
  <si>
    <r>
      <rPr>
        <sz val="10"/>
        <color theme="1"/>
        <rFont val="宋体"/>
        <family val="3"/>
        <charset val="134"/>
      </rPr>
      <t>说明：</t>
    </r>
    <r>
      <rPr>
        <sz val="10"/>
        <color rgb="FF0000FF"/>
        <rFont val="Arial Narrow"/>
        <family val="2"/>
      </rPr>
      <t xml:space="preserve"> </t>
    </r>
  </si>
  <si>
    <r>
      <rPr>
        <b/>
        <sz val="12"/>
        <rFont val="宋体"/>
        <family val="3"/>
        <charset val="134"/>
      </rPr>
      <t>固定资产清理</t>
    </r>
  </si>
  <si>
    <r>
      <rPr>
        <sz val="10"/>
        <color rgb="FF0070C0"/>
        <rFont val="宋体"/>
        <family val="3"/>
        <charset val="134"/>
      </rPr>
      <t>说明：（转入固定资产清理起始时间已超过</t>
    </r>
    <r>
      <rPr>
        <sz val="10"/>
        <color rgb="FF0070C0"/>
        <rFont val="Arial Narrow"/>
        <family val="2"/>
      </rPr>
      <t>1</t>
    </r>
    <r>
      <rPr>
        <sz val="10"/>
        <color rgb="FF0070C0"/>
        <rFont val="宋体"/>
        <family val="3"/>
        <charset val="134"/>
      </rPr>
      <t>年的固定资产清理进展情况）</t>
    </r>
  </si>
  <si>
    <t>工程物资</t>
  </si>
  <si>
    <r>
      <rPr>
        <b/>
        <sz val="12"/>
        <rFont val="宋体"/>
        <family val="3"/>
        <charset val="134"/>
      </rPr>
      <t>在建工程</t>
    </r>
  </si>
  <si>
    <r>
      <rPr>
        <b/>
        <sz val="10"/>
        <rFont val="宋体"/>
        <family val="3"/>
        <charset val="134"/>
      </rPr>
      <t>（</t>
    </r>
    <r>
      <rPr>
        <b/>
        <sz val="10"/>
        <color theme="1"/>
        <rFont val="Arial Narrow"/>
        <family val="2"/>
      </rPr>
      <t>1</t>
    </r>
    <r>
      <rPr>
        <b/>
        <sz val="10"/>
        <color theme="1"/>
        <rFont val="宋体"/>
        <family val="3"/>
        <charset val="134"/>
      </rPr>
      <t>）在建工程明细</t>
    </r>
  </si>
  <si>
    <r>
      <rPr>
        <b/>
        <sz val="10"/>
        <color rgb="FF000000"/>
        <rFont val="宋体"/>
        <family val="3"/>
        <charset val="134"/>
      </rPr>
      <t>账面净值</t>
    </r>
  </si>
  <si>
    <r>
      <rPr>
        <b/>
        <sz val="10"/>
        <rFont val="宋体"/>
        <family val="3"/>
        <charset val="134"/>
      </rPr>
      <t>（</t>
    </r>
    <r>
      <rPr>
        <b/>
        <sz val="10"/>
        <color theme="1"/>
        <rFont val="Arial Narrow"/>
        <family val="2"/>
      </rPr>
      <t>2</t>
    </r>
    <r>
      <rPr>
        <b/>
        <sz val="10"/>
        <color theme="1"/>
        <rFont val="宋体"/>
        <family val="3"/>
        <charset val="134"/>
      </rPr>
      <t>）重要在建工程项目变动情况</t>
    </r>
  </si>
  <si>
    <r>
      <rPr>
        <b/>
        <sz val="10"/>
        <color theme="1"/>
        <rFont val="宋体"/>
        <family val="3"/>
        <charset val="134"/>
      </rPr>
      <t>工程名称</t>
    </r>
  </si>
  <si>
    <r>
      <rPr>
        <b/>
        <sz val="10"/>
        <color theme="1"/>
        <rFont val="宋体"/>
        <family val="3"/>
        <charset val="134"/>
      </rPr>
      <t>期初数</t>
    </r>
  </si>
  <si>
    <r>
      <rPr>
        <b/>
        <sz val="10"/>
        <color rgb="FF000000"/>
        <rFont val="宋体"/>
        <family val="3"/>
        <charset val="134"/>
      </rPr>
      <t>本期增加</t>
    </r>
  </si>
  <si>
    <r>
      <rPr>
        <b/>
        <sz val="10"/>
        <color rgb="FF000000"/>
        <rFont val="宋体"/>
        <family val="3"/>
        <charset val="134"/>
      </rPr>
      <t>转入固定资产</t>
    </r>
  </si>
  <si>
    <r>
      <rPr>
        <b/>
        <sz val="10"/>
        <color rgb="FF000000"/>
        <rFont val="宋体"/>
        <family val="3"/>
        <charset val="134"/>
      </rPr>
      <t>其他减少</t>
    </r>
  </si>
  <si>
    <r>
      <rPr>
        <b/>
        <sz val="10"/>
        <color rgb="FF000000"/>
        <rFont val="宋体"/>
        <family val="3"/>
        <charset val="134"/>
      </rPr>
      <t>利息资本化累计金额</t>
    </r>
  </si>
  <si>
    <r>
      <rPr>
        <b/>
        <sz val="10"/>
        <color rgb="FF000000"/>
        <rFont val="宋体"/>
        <family val="3"/>
        <charset val="134"/>
      </rPr>
      <t>其中：本期利息资本化金额</t>
    </r>
  </si>
  <si>
    <r>
      <rPr>
        <b/>
        <sz val="10"/>
        <color rgb="FF000000"/>
        <rFont val="宋体"/>
        <family val="3"/>
        <charset val="134"/>
      </rPr>
      <t>本期利息资本化率</t>
    </r>
    <r>
      <rPr>
        <b/>
        <sz val="10"/>
        <color rgb="FF000000"/>
        <rFont val="Arial Narrow"/>
        <family val="2"/>
      </rPr>
      <t>%</t>
    </r>
  </si>
  <si>
    <r>
      <rPr>
        <sz val="10"/>
        <rFont val="宋体"/>
        <family val="3"/>
        <charset val="134"/>
      </rPr>
      <t>重大在建工程项目变动情况（续）：</t>
    </r>
  </si>
  <si>
    <r>
      <rPr>
        <b/>
        <sz val="10"/>
        <color rgb="FF000000"/>
        <rFont val="宋体"/>
        <family val="3"/>
        <charset val="134"/>
      </rPr>
      <t>预算数</t>
    </r>
  </si>
  <si>
    <r>
      <rPr>
        <b/>
        <sz val="10"/>
        <color rgb="FF000000"/>
        <rFont val="宋体"/>
        <family val="3"/>
        <charset val="134"/>
      </rPr>
      <t>工程累计投入占预算比例</t>
    </r>
    <r>
      <rPr>
        <b/>
        <sz val="10"/>
        <color rgb="FF000000"/>
        <rFont val="Arial Narrow"/>
        <family val="2"/>
      </rPr>
      <t>%</t>
    </r>
  </si>
  <si>
    <r>
      <rPr>
        <b/>
        <sz val="10"/>
        <color rgb="FF000000"/>
        <rFont val="宋体"/>
        <family val="3"/>
        <charset val="134"/>
      </rPr>
      <t>工程进度</t>
    </r>
  </si>
  <si>
    <r>
      <rPr>
        <b/>
        <sz val="10"/>
        <color rgb="FF000000"/>
        <rFont val="宋体"/>
        <family val="3"/>
        <charset val="134"/>
      </rPr>
      <t>资金来源</t>
    </r>
  </si>
  <si>
    <r>
      <rPr>
        <sz val="10"/>
        <color rgb="FF0070C0"/>
        <rFont val="宋体"/>
        <family val="3"/>
        <charset val="134"/>
      </rPr>
      <t>（注：工程进度不一定是投入进度）</t>
    </r>
  </si>
  <si>
    <r>
      <rPr>
        <sz val="10"/>
        <rFont val="宋体"/>
        <family val="3"/>
        <charset val="134"/>
      </rPr>
      <t>在建工程项目变动情况的说明：</t>
    </r>
  </si>
  <si>
    <r>
      <rPr>
        <sz val="10"/>
        <color rgb="FF0070C0"/>
        <rFont val="宋体"/>
        <family val="3"/>
        <charset val="134"/>
      </rPr>
      <t>（资金来源应区分募股资金、金融机构贷款和自筹、其他来源等）</t>
    </r>
  </si>
  <si>
    <r>
      <rPr>
        <b/>
        <sz val="10"/>
        <rFont val="宋体"/>
        <family val="3"/>
        <charset val="134"/>
      </rPr>
      <t>（</t>
    </r>
    <r>
      <rPr>
        <b/>
        <sz val="10"/>
        <color theme="1"/>
        <rFont val="Arial Narrow"/>
        <family val="2"/>
      </rPr>
      <t>3</t>
    </r>
    <r>
      <rPr>
        <b/>
        <sz val="10"/>
        <color theme="1"/>
        <rFont val="宋体"/>
        <family val="3"/>
        <charset val="134"/>
      </rPr>
      <t>）在建工程减值准备</t>
    </r>
  </si>
  <si>
    <r>
      <rPr>
        <b/>
        <sz val="10"/>
        <color theme="1"/>
        <rFont val="宋体"/>
        <family val="3"/>
        <charset val="134"/>
      </rPr>
      <t>本期计提金额</t>
    </r>
  </si>
  <si>
    <r>
      <rPr>
        <b/>
        <sz val="10"/>
        <color theme="1"/>
        <rFont val="宋体"/>
        <family val="3"/>
        <charset val="134"/>
      </rPr>
      <t>计提原因</t>
    </r>
  </si>
  <si>
    <r>
      <rPr>
        <sz val="10"/>
        <color rgb="FF0070C0"/>
        <rFont val="宋体"/>
        <family val="3"/>
        <charset val="134"/>
      </rPr>
      <t>说明：</t>
    </r>
    <r>
      <rPr>
        <sz val="10"/>
        <color theme="1"/>
        <rFont val="Arial Narrow"/>
        <family val="2"/>
      </rPr>
      <t xml:space="preserve"> </t>
    </r>
    <r>
      <rPr>
        <sz val="10"/>
        <color rgb="FF0000FF"/>
        <rFont val="宋体"/>
        <family val="3"/>
        <charset val="134"/>
      </rPr>
      <t>（分项列示本期计提的在建工程减值准备金额及计提原因。）</t>
    </r>
  </si>
  <si>
    <r>
      <rPr>
        <b/>
        <sz val="12"/>
        <rFont val="宋体"/>
        <family val="3"/>
        <charset val="134"/>
      </rPr>
      <t>工程物资</t>
    </r>
  </si>
  <si>
    <r>
      <rPr>
        <sz val="10"/>
        <color theme="1"/>
        <rFont val="宋体"/>
        <family val="3"/>
        <charset val="134"/>
      </rPr>
      <t>工程物资</t>
    </r>
  </si>
  <si>
    <r>
      <rPr>
        <sz val="10"/>
        <color theme="1"/>
        <rFont val="宋体"/>
        <family val="3"/>
        <charset val="134"/>
      </rPr>
      <t>项</t>
    </r>
    <r>
      <rPr>
        <sz val="10"/>
        <color theme="1"/>
        <rFont val="Arial Narrow"/>
        <family val="2"/>
      </rPr>
      <t xml:space="preserve">  </t>
    </r>
    <r>
      <rPr>
        <sz val="10"/>
        <color theme="1"/>
        <rFont val="宋体"/>
        <family val="3"/>
        <charset val="134"/>
      </rPr>
      <t>目</t>
    </r>
  </si>
  <si>
    <r>
      <rPr>
        <sz val="10"/>
        <color theme="1"/>
        <rFont val="宋体"/>
        <family val="3"/>
        <charset val="134"/>
      </rPr>
      <t>期末数</t>
    </r>
  </si>
  <si>
    <r>
      <rPr>
        <sz val="10"/>
        <color theme="1"/>
        <rFont val="宋体"/>
        <family val="3"/>
        <charset val="134"/>
      </rPr>
      <t>专用材料</t>
    </r>
  </si>
  <si>
    <r>
      <rPr>
        <sz val="10"/>
        <color rgb="FF000000"/>
        <rFont val="宋体"/>
        <family val="3"/>
        <charset val="134"/>
      </rPr>
      <t>专用设备</t>
    </r>
  </si>
  <si>
    <r>
      <rPr>
        <sz val="10"/>
        <color rgb="FF000000"/>
        <rFont val="宋体"/>
        <family val="3"/>
        <charset val="134"/>
      </rPr>
      <t>工器具</t>
    </r>
  </si>
  <si>
    <r>
      <rPr>
        <sz val="10"/>
        <color rgb="FF000000"/>
        <rFont val="宋体"/>
        <family val="3"/>
        <charset val="134"/>
      </rPr>
      <t>工程物资减值准备</t>
    </r>
  </si>
  <si>
    <r>
      <rPr>
        <b/>
        <sz val="11"/>
        <rFont val="宋体"/>
        <family val="3"/>
        <charset val="134"/>
      </rPr>
      <t>公司名称</t>
    </r>
  </si>
  <si>
    <r>
      <rPr>
        <b/>
        <sz val="11"/>
        <rFont val="宋体"/>
        <family val="3"/>
        <charset val="134"/>
      </rPr>
      <t>财务期间</t>
    </r>
  </si>
  <si>
    <r>
      <rPr>
        <b/>
        <sz val="11"/>
        <rFont val="宋体"/>
        <family val="3"/>
        <charset val="134"/>
      </rPr>
      <t>内容</t>
    </r>
  </si>
  <si>
    <r>
      <rPr>
        <b/>
        <sz val="12"/>
        <rFont val="宋体"/>
        <family val="3"/>
        <charset val="134"/>
      </rPr>
      <t>生产性生物资产</t>
    </r>
  </si>
  <si>
    <r>
      <rPr>
        <b/>
        <sz val="11"/>
        <color rgb="FF000000"/>
        <rFont val="宋体"/>
        <family val="3"/>
        <charset val="134"/>
      </rPr>
      <t>项</t>
    </r>
    <r>
      <rPr>
        <b/>
        <sz val="11"/>
        <color rgb="FF000000"/>
        <rFont val="Arial Narrow"/>
        <family val="2"/>
      </rPr>
      <t xml:space="preserve">  </t>
    </r>
    <r>
      <rPr>
        <b/>
        <sz val="11"/>
        <color rgb="FF000000"/>
        <rFont val="宋体"/>
        <family val="3"/>
        <charset val="134"/>
      </rPr>
      <t>目</t>
    </r>
  </si>
  <si>
    <r>
      <rPr>
        <b/>
        <sz val="11"/>
        <color rgb="FF000000"/>
        <rFont val="宋体"/>
        <family val="3"/>
        <charset val="134"/>
      </rPr>
      <t>种植业</t>
    </r>
  </si>
  <si>
    <r>
      <rPr>
        <b/>
        <sz val="11"/>
        <color rgb="FF000000"/>
        <rFont val="宋体"/>
        <family val="3"/>
        <charset val="134"/>
      </rPr>
      <t>畜牧养殖业</t>
    </r>
  </si>
  <si>
    <r>
      <rPr>
        <b/>
        <sz val="11"/>
        <color rgb="FF000000"/>
        <rFont val="宋体"/>
        <family val="3"/>
        <charset val="134"/>
      </rPr>
      <t>林业</t>
    </r>
  </si>
  <si>
    <r>
      <rPr>
        <b/>
        <sz val="11"/>
        <color rgb="FF000000"/>
        <rFont val="宋体"/>
        <family val="3"/>
        <charset val="134"/>
      </rPr>
      <t>水产业</t>
    </r>
  </si>
  <si>
    <r>
      <rPr>
        <b/>
        <sz val="11"/>
        <color rgb="FF000000"/>
        <rFont val="宋体"/>
        <family val="3"/>
        <charset val="134"/>
      </rPr>
      <t>合计</t>
    </r>
  </si>
  <si>
    <r>
      <rPr>
        <b/>
        <sz val="11"/>
        <color rgb="FF000000"/>
        <rFont val="宋体"/>
        <family val="3"/>
        <charset val="134"/>
      </rPr>
      <t>类别</t>
    </r>
  </si>
  <si>
    <r>
      <rPr>
        <b/>
        <sz val="11"/>
        <color rgb="FF000000"/>
        <rFont val="宋体"/>
        <family val="3"/>
        <charset val="134"/>
      </rPr>
      <t>一、账面原值</t>
    </r>
  </si>
  <si>
    <r>
      <rPr>
        <sz val="11"/>
        <color rgb="FF000000"/>
        <rFont val="Arial Narrow"/>
        <family val="2"/>
      </rPr>
      <t xml:space="preserve">    1.</t>
    </r>
    <r>
      <rPr>
        <sz val="11"/>
        <color rgb="FF000000"/>
        <rFont val="宋体"/>
        <family val="3"/>
        <charset val="134"/>
      </rPr>
      <t>期初余额</t>
    </r>
  </si>
  <si>
    <r>
      <rPr>
        <sz val="11"/>
        <color rgb="FF000000"/>
        <rFont val="Arial Narrow"/>
        <family val="2"/>
      </rPr>
      <t>2.</t>
    </r>
    <r>
      <rPr>
        <sz val="11"/>
        <color rgb="FF000000"/>
        <rFont val="宋体"/>
        <family val="3"/>
        <charset val="134"/>
      </rPr>
      <t>本期增加金额</t>
    </r>
  </si>
  <si>
    <r>
      <rPr>
        <sz val="11"/>
        <color rgb="FF000000"/>
        <rFont val="Arial Narrow"/>
        <family val="2"/>
      </rPr>
      <t xml:space="preserve">   </t>
    </r>
    <r>
      <rPr>
        <sz val="11"/>
        <color rgb="FF000000"/>
        <rFont val="宋体"/>
        <family val="3"/>
        <charset val="134"/>
      </rPr>
      <t>（</t>
    </r>
    <r>
      <rPr>
        <sz val="11"/>
        <color rgb="FF000000"/>
        <rFont val="Arial Narrow"/>
        <family val="2"/>
      </rPr>
      <t>1</t>
    </r>
    <r>
      <rPr>
        <sz val="11"/>
        <color rgb="FF000000"/>
        <rFont val="宋体"/>
        <family val="3"/>
        <charset val="134"/>
      </rPr>
      <t>）外购</t>
    </r>
  </si>
  <si>
    <r>
      <rPr>
        <sz val="11"/>
        <color rgb="FF000000"/>
        <rFont val="Arial Narrow"/>
        <family val="2"/>
      </rPr>
      <t xml:space="preserve">   </t>
    </r>
    <r>
      <rPr>
        <sz val="11"/>
        <color rgb="FF000000"/>
        <rFont val="宋体"/>
        <family val="3"/>
        <charset val="134"/>
      </rPr>
      <t>（</t>
    </r>
    <r>
      <rPr>
        <sz val="11"/>
        <color rgb="FF000000"/>
        <rFont val="Arial Narrow"/>
        <family val="2"/>
      </rPr>
      <t>2</t>
    </r>
    <r>
      <rPr>
        <sz val="11"/>
        <color rgb="FF000000"/>
        <rFont val="宋体"/>
        <family val="3"/>
        <charset val="134"/>
      </rPr>
      <t>）自行培育</t>
    </r>
  </si>
  <si>
    <r>
      <rPr>
        <sz val="11"/>
        <color rgb="FF000000"/>
        <rFont val="宋体"/>
        <family val="3"/>
        <charset val="134"/>
      </rPr>
      <t>（</t>
    </r>
    <r>
      <rPr>
        <sz val="11"/>
        <color rgb="FF000000"/>
        <rFont val="Arial Narrow"/>
        <family val="2"/>
      </rPr>
      <t>3</t>
    </r>
    <r>
      <rPr>
        <sz val="11"/>
        <color rgb="FF000000"/>
        <rFont val="宋体"/>
        <family val="3"/>
        <charset val="134"/>
      </rPr>
      <t>）其他增加</t>
    </r>
  </si>
  <si>
    <r>
      <rPr>
        <sz val="11"/>
        <color rgb="FF000000"/>
        <rFont val="Arial Narrow"/>
        <family val="2"/>
      </rPr>
      <t xml:space="preserve">    3.</t>
    </r>
    <r>
      <rPr>
        <sz val="11"/>
        <color rgb="FF000000"/>
        <rFont val="宋体"/>
        <family val="3"/>
        <charset val="134"/>
      </rPr>
      <t>本期减少金额</t>
    </r>
  </si>
  <si>
    <r>
      <rPr>
        <sz val="11"/>
        <color rgb="FF000000"/>
        <rFont val="Arial Narrow"/>
        <family val="2"/>
      </rPr>
      <t xml:space="preserve">   </t>
    </r>
    <r>
      <rPr>
        <sz val="11"/>
        <color rgb="FF000000"/>
        <rFont val="宋体"/>
        <family val="3"/>
        <charset val="134"/>
      </rPr>
      <t>（</t>
    </r>
    <r>
      <rPr>
        <sz val="11"/>
        <color rgb="FF000000"/>
        <rFont val="Arial Narrow"/>
        <family val="2"/>
      </rPr>
      <t>1</t>
    </r>
    <r>
      <rPr>
        <sz val="11"/>
        <color rgb="FF000000"/>
        <rFont val="宋体"/>
        <family val="3"/>
        <charset val="134"/>
      </rPr>
      <t>）处置</t>
    </r>
  </si>
  <si>
    <r>
      <rPr>
        <sz val="11"/>
        <color rgb="FF000000"/>
        <rFont val="Arial Narrow"/>
        <family val="2"/>
      </rPr>
      <t xml:space="preserve">   </t>
    </r>
    <r>
      <rPr>
        <sz val="11"/>
        <color rgb="FF000000"/>
        <rFont val="宋体"/>
        <family val="3"/>
        <charset val="134"/>
      </rPr>
      <t>（</t>
    </r>
    <r>
      <rPr>
        <sz val="11"/>
        <color rgb="FF000000"/>
        <rFont val="Arial Narrow"/>
        <family val="2"/>
      </rPr>
      <t>2</t>
    </r>
    <r>
      <rPr>
        <sz val="11"/>
        <color rgb="FF000000"/>
        <rFont val="宋体"/>
        <family val="3"/>
        <charset val="134"/>
      </rPr>
      <t>）其他</t>
    </r>
  </si>
  <si>
    <r>
      <rPr>
        <sz val="11"/>
        <color rgb="FF000000"/>
        <rFont val="Arial Narrow"/>
        <family val="2"/>
      </rPr>
      <t xml:space="preserve">   4.</t>
    </r>
    <r>
      <rPr>
        <sz val="11"/>
        <color rgb="FF000000"/>
        <rFont val="宋体"/>
        <family val="3"/>
        <charset val="134"/>
      </rPr>
      <t>期末余额</t>
    </r>
  </si>
  <si>
    <r>
      <rPr>
        <b/>
        <sz val="11"/>
        <color rgb="FF000000"/>
        <rFont val="宋体"/>
        <family val="3"/>
        <charset val="134"/>
      </rPr>
      <t>二、累计折旧</t>
    </r>
  </si>
  <si>
    <r>
      <rPr>
        <sz val="11"/>
        <color rgb="FF000000"/>
        <rFont val="Arial Narrow"/>
        <family val="2"/>
      </rPr>
      <t xml:space="preserve">   </t>
    </r>
    <r>
      <rPr>
        <sz val="11"/>
        <color rgb="FF000000"/>
        <rFont val="宋体"/>
        <family val="3"/>
        <charset val="134"/>
      </rPr>
      <t>（</t>
    </r>
    <r>
      <rPr>
        <sz val="11"/>
        <color rgb="FF000000"/>
        <rFont val="Arial Narrow"/>
        <family val="2"/>
      </rPr>
      <t>1</t>
    </r>
    <r>
      <rPr>
        <sz val="11"/>
        <color rgb="FF000000"/>
        <rFont val="宋体"/>
        <family val="3"/>
        <charset val="134"/>
      </rPr>
      <t>）计提</t>
    </r>
  </si>
  <si>
    <r>
      <rPr>
        <sz val="11"/>
        <color rgb="FF000000"/>
        <rFont val="Arial Narrow"/>
        <family val="2"/>
      </rPr>
      <t xml:space="preserve">   </t>
    </r>
    <r>
      <rPr>
        <sz val="11"/>
        <color rgb="FF000000"/>
        <rFont val="宋体"/>
        <family val="3"/>
        <charset val="134"/>
      </rPr>
      <t>（</t>
    </r>
    <r>
      <rPr>
        <sz val="11"/>
        <color rgb="FF000000"/>
        <rFont val="Arial Narrow"/>
        <family val="2"/>
      </rPr>
      <t>2</t>
    </r>
    <r>
      <rPr>
        <sz val="11"/>
        <color rgb="FF000000"/>
        <rFont val="宋体"/>
        <family val="3"/>
        <charset val="134"/>
      </rPr>
      <t>）其他增加</t>
    </r>
  </si>
  <si>
    <r>
      <rPr>
        <sz val="11"/>
        <color rgb="FF000000"/>
        <rFont val="Arial Narrow"/>
        <family val="2"/>
      </rPr>
      <t xml:space="preserve">    4.</t>
    </r>
    <r>
      <rPr>
        <sz val="11"/>
        <color rgb="FF000000"/>
        <rFont val="宋体"/>
        <family val="3"/>
        <charset val="134"/>
      </rPr>
      <t>期末余额</t>
    </r>
  </si>
  <si>
    <r>
      <rPr>
        <b/>
        <sz val="11"/>
        <color rgb="FF000000"/>
        <rFont val="宋体"/>
        <family val="3"/>
        <charset val="134"/>
      </rPr>
      <t>三、减值准备</t>
    </r>
  </si>
  <si>
    <r>
      <rPr>
        <b/>
        <sz val="11"/>
        <color rgb="FF000000"/>
        <rFont val="宋体"/>
        <family val="3"/>
        <charset val="134"/>
      </rPr>
      <t>四、账面价值</t>
    </r>
  </si>
  <si>
    <r>
      <rPr>
        <sz val="11"/>
        <color rgb="FF000000"/>
        <rFont val="Arial Narrow"/>
        <family val="2"/>
      </rPr>
      <t xml:space="preserve">    1.</t>
    </r>
    <r>
      <rPr>
        <sz val="11"/>
        <color rgb="FF000000"/>
        <rFont val="宋体"/>
        <family val="3"/>
        <charset val="134"/>
      </rPr>
      <t>期末账面价值</t>
    </r>
  </si>
  <si>
    <r>
      <rPr>
        <sz val="11"/>
        <color rgb="FF000000"/>
        <rFont val="Arial Narrow"/>
        <family val="2"/>
      </rPr>
      <t xml:space="preserve">    2.</t>
    </r>
    <r>
      <rPr>
        <sz val="11"/>
        <color rgb="FF000000"/>
        <rFont val="宋体"/>
        <family val="3"/>
        <charset val="134"/>
      </rPr>
      <t>期初账面价值</t>
    </r>
  </si>
  <si>
    <r>
      <rPr>
        <sz val="11"/>
        <color indexed="8"/>
        <rFont val="宋体"/>
        <family val="3"/>
        <charset val="134"/>
      </rPr>
      <t>报表金额</t>
    </r>
  </si>
  <si>
    <r>
      <rPr>
        <b/>
        <sz val="11"/>
        <rFont val="宋体"/>
        <family val="3"/>
        <charset val="134"/>
      </rPr>
      <t>（</t>
    </r>
    <r>
      <rPr>
        <b/>
        <sz val="11"/>
        <rFont val="Arial Narrow"/>
        <family val="2"/>
      </rPr>
      <t>2</t>
    </r>
    <r>
      <rPr>
        <b/>
        <sz val="11"/>
        <rFont val="宋体"/>
        <family val="3"/>
        <charset val="134"/>
      </rPr>
      <t>）以公允价值计量</t>
    </r>
  </si>
  <si>
    <r>
      <rPr>
        <b/>
        <sz val="11"/>
        <color rgb="FF000000"/>
        <rFont val="宋体"/>
        <family val="3"/>
        <charset val="134"/>
      </rPr>
      <t>一、期初余额</t>
    </r>
  </si>
  <si>
    <r>
      <rPr>
        <b/>
        <sz val="11"/>
        <color rgb="FF000000"/>
        <rFont val="宋体"/>
        <family val="3"/>
        <charset val="134"/>
      </rPr>
      <t>二、本期变动</t>
    </r>
  </si>
  <si>
    <r>
      <rPr>
        <sz val="11"/>
        <color rgb="FF000000"/>
        <rFont val="宋体"/>
        <family val="3"/>
        <charset val="134"/>
      </rPr>
      <t>加：外购</t>
    </r>
  </si>
  <si>
    <r>
      <rPr>
        <sz val="11"/>
        <color rgb="FF000000"/>
        <rFont val="宋体"/>
        <family val="3"/>
        <charset val="134"/>
      </rPr>
      <t>自行培育</t>
    </r>
  </si>
  <si>
    <r>
      <rPr>
        <sz val="11"/>
        <color rgb="FF000000"/>
        <rFont val="宋体"/>
        <family val="3"/>
        <charset val="134"/>
      </rPr>
      <t>企业合并增加</t>
    </r>
  </si>
  <si>
    <r>
      <rPr>
        <sz val="11"/>
        <color rgb="FF000000"/>
        <rFont val="宋体"/>
        <family val="3"/>
        <charset val="134"/>
      </rPr>
      <t>减：处置</t>
    </r>
  </si>
  <si>
    <r>
      <rPr>
        <sz val="11"/>
        <color rgb="FF000000"/>
        <rFont val="宋体"/>
        <family val="3"/>
        <charset val="134"/>
      </rPr>
      <t>其他转出</t>
    </r>
  </si>
  <si>
    <r>
      <rPr>
        <sz val="11"/>
        <color rgb="FF000000"/>
        <rFont val="宋体"/>
        <family val="3"/>
        <charset val="134"/>
      </rPr>
      <t>公允价值变动</t>
    </r>
  </si>
  <si>
    <r>
      <rPr>
        <b/>
        <sz val="11"/>
        <color rgb="FF000000"/>
        <rFont val="宋体"/>
        <family val="3"/>
        <charset val="134"/>
      </rPr>
      <t>三、期末余额</t>
    </r>
  </si>
  <si>
    <r>
      <rPr>
        <sz val="12"/>
        <color rgb="FF0070C0"/>
        <rFont val="宋体"/>
        <family val="3"/>
        <charset val="134"/>
      </rPr>
      <t>说明：</t>
    </r>
    <r>
      <rPr>
        <sz val="12"/>
        <color rgb="FF0000FF"/>
        <rFont val="宋体"/>
        <family val="3"/>
        <charset val="134"/>
      </rPr>
      <t>（如有天然起源的生物资产，还应披露该资产的类别、取得方式和数量等。各类生产性生物资产的预计使用寿命、预计净残值、折旧方法、累计折旧和减值准备累计金额。与生物资产相关的风险情况与管理措施。）</t>
    </r>
  </si>
  <si>
    <r>
      <rPr>
        <b/>
        <sz val="12"/>
        <rFont val="宋体"/>
        <family val="3"/>
        <charset val="134"/>
      </rPr>
      <t>无形资产</t>
    </r>
  </si>
  <si>
    <r>
      <rPr>
        <b/>
        <sz val="10"/>
        <color indexed="8"/>
        <rFont val="宋体"/>
        <family val="3"/>
        <charset val="134"/>
      </rPr>
      <t>（</t>
    </r>
    <r>
      <rPr>
        <b/>
        <sz val="10"/>
        <color indexed="8"/>
        <rFont val="Arial Narrow"/>
        <family val="2"/>
      </rPr>
      <t>1</t>
    </r>
    <r>
      <rPr>
        <b/>
        <sz val="10"/>
        <color indexed="8"/>
        <rFont val="宋体"/>
        <family val="3"/>
        <charset val="134"/>
      </rPr>
      <t>）无形资产情况</t>
    </r>
  </si>
  <si>
    <r>
      <rPr>
        <b/>
        <sz val="10"/>
        <color rgb="FF000000"/>
        <rFont val="宋体"/>
        <family val="3"/>
        <charset val="134"/>
      </rPr>
      <t>项目</t>
    </r>
  </si>
  <si>
    <r>
      <rPr>
        <b/>
        <sz val="10"/>
        <color rgb="FF000000"/>
        <rFont val="宋体"/>
        <family val="3"/>
        <charset val="134"/>
      </rPr>
      <t>专利权</t>
    </r>
  </si>
  <si>
    <r>
      <rPr>
        <b/>
        <sz val="10"/>
        <color rgb="FF000000"/>
        <rFont val="宋体"/>
        <family val="3"/>
        <charset val="134"/>
      </rPr>
      <t>非专利技术</t>
    </r>
  </si>
  <si>
    <r>
      <rPr>
        <b/>
        <sz val="10"/>
        <color rgb="FF000000"/>
        <rFont val="宋体"/>
        <family val="3"/>
        <charset val="134"/>
      </rPr>
      <t>一、账面原值</t>
    </r>
  </si>
  <si>
    <r>
      <rPr>
        <sz val="10"/>
        <color rgb="FF000000"/>
        <rFont val="Arial Narrow"/>
        <family val="2"/>
      </rPr>
      <t xml:space="preserve">    1.</t>
    </r>
    <r>
      <rPr>
        <sz val="10"/>
        <color indexed="8"/>
        <rFont val="宋体"/>
        <family val="3"/>
        <charset val="134"/>
      </rPr>
      <t>期初余额</t>
    </r>
  </si>
  <si>
    <r>
      <rPr>
        <sz val="10"/>
        <color rgb="FF000000"/>
        <rFont val="Arial Narrow"/>
        <family val="2"/>
      </rPr>
      <t>2.</t>
    </r>
    <r>
      <rPr>
        <sz val="10"/>
        <color indexed="8"/>
        <rFont val="宋体"/>
        <family val="3"/>
        <charset val="134"/>
      </rPr>
      <t>本期增加金额</t>
    </r>
  </si>
  <si>
    <r>
      <rPr>
        <sz val="10"/>
        <color rgb="FF000000"/>
        <rFont val="Arial Narrow"/>
        <family val="2"/>
      </rPr>
      <t xml:space="preserve">   </t>
    </r>
    <r>
      <rPr>
        <sz val="10"/>
        <color indexed="8"/>
        <rFont val="宋体"/>
        <family val="3"/>
        <charset val="134"/>
      </rPr>
      <t>（</t>
    </r>
    <r>
      <rPr>
        <sz val="10"/>
        <color indexed="8"/>
        <rFont val="Arial Narrow"/>
        <family val="2"/>
      </rPr>
      <t>1</t>
    </r>
    <r>
      <rPr>
        <sz val="10"/>
        <color indexed="8"/>
        <rFont val="宋体"/>
        <family val="3"/>
        <charset val="134"/>
      </rPr>
      <t>）购置</t>
    </r>
  </si>
  <si>
    <r>
      <rPr>
        <sz val="10"/>
        <color rgb="FF000000"/>
        <rFont val="Arial Narrow"/>
        <family val="2"/>
      </rPr>
      <t xml:space="preserve">   </t>
    </r>
    <r>
      <rPr>
        <sz val="10"/>
        <color indexed="8"/>
        <rFont val="宋体"/>
        <family val="3"/>
        <charset val="134"/>
      </rPr>
      <t>（</t>
    </r>
    <r>
      <rPr>
        <sz val="10"/>
        <color indexed="8"/>
        <rFont val="Arial Narrow"/>
        <family val="2"/>
      </rPr>
      <t>2</t>
    </r>
    <r>
      <rPr>
        <sz val="10"/>
        <color indexed="8"/>
        <rFont val="宋体"/>
        <family val="3"/>
        <charset val="134"/>
      </rPr>
      <t>）内部研发</t>
    </r>
  </si>
  <si>
    <r>
      <rPr>
        <sz val="10"/>
        <color rgb="FF000000"/>
        <rFont val="Arial Narrow"/>
        <family val="2"/>
      </rPr>
      <t xml:space="preserve">   </t>
    </r>
    <r>
      <rPr>
        <sz val="10"/>
        <color indexed="8"/>
        <rFont val="宋体"/>
        <family val="3"/>
        <charset val="134"/>
      </rPr>
      <t>（</t>
    </r>
    <r>
      <rPr>
        <sz val="10"/>
        <color indexed="8"/>
        <rFont val="Arial Narrow"/>
        <family val="2"/>
      </rPr>
      <t>3</t>
    </r>
    <r>
      <rPr>
        <sz val="10"/>
        <color indexed="8"/>
        <rFont val="宋体"/>
        <family val="3"/>
        <charset val="134"/>
      </rPr>
      <t>）企业合并增加</t>
    </r>
  </si>
  <si>
    <r>
      <rPr>
        <sz val="10"/>
        <color rgb="FF000000"/>
        <rFont val="宋体"/>
        <family val="3"/>
        <charset val="134"/>
      </rPr>
      <t>（</t>
    </r>
    <r>
      <rPr>
        <sz val="10"/>
        <color indexed="8"/>
        <rFont val="Arial Narrow"/>
        <family val="2"/>
      </rPr>
      <t>4</t>
    </r>
    <r>
      <rPr>
        <sz val="10"/>
        <color indexed="8"/>
        <rFont val="宋体"/>
        <family val="3"/>
        <charset val="134"/>
      </rPr>
      <t>）其他增加</t>
    </r>
  </si>
  <si>
    <t xml:space="preserve">   ……</t>
  </si>
  <si>
    <r>
      <rPr>
        <sz val="10"/>
        <color rgb="FF000000"/>
        <rFont val="Arial Narrow"/>
        <family val="2"/>
      </rPr>
      <t xml:space="preserve">    3.</t>
    </r>
    <r>
      <rPr>
        <sz val="10"/>
        <color indexed="8"/>
        <rFont val="宋体"/>
        <family val="3"/>
        <charset val="134"/>
      </rPr>
      <t>本期减少金额</t>
    </r>
  </si>
  <si>
    <r>
      <rPr>
        <sz val="10"/>
        <color rgb="FF000000"/>
        <rFont val="Arial Narrow"/>
        <family val="2"/>
      </rPr>
      <t xml:space="preserve">   </t>
    </r>
    <r>
      <rPr>
        <sz val="10"/>
        <color indexed="8"/>
        <rFont val="宋体"/>
        <family val="3"/>
        <charset val="134"/>
      </rPr>
      <t>（</t>
    </r>
    <r>
      <rPr>
        <sz val="10"/>
        <color indexed="8"/>
        <rFont val="Arial Narrow"/>
        <family val="2"/>
      </rPr>
      <t>1</t>
    </r>
    <r>
      <rPr>
        <sz val="10"/>
        <color indexed="8"/>
        <rFont val="宋体"/>
        <family val="3"/>
        <charset val="134"/>
      </rPr>
      <t>）处置</t>
    </r>
  </si>
  <si>
    <r>
      <rPr>
        <sz val="10"/>
        <color rgb="FF000000"/>
        <rFont val="宋体"/>
        <family val="3"/>
        <charset val="134"/>
      </rPr>
      <t>（</t>
    </r>
    <r>
      <rPr>
        <sz val="10"/>
        <color indexed="8"/>
        <rFont val="Arial Narrow"/>
        <family val="2"/>
      </rPr>
      <t>2</t>
    </r>
    <r>
      <rPr>
        <sz val="10"/>
        <color indexed="8"/>
        <rFont val="宋体"/>
        <family val="3"/>
        <charset val="134"/>
      </rPr>
      <t>）其他减少</t>
    </r>
  </si>
  <si>
    <r>
      <rPr>
        <sz val="10"/>
        <color rgb="FF000000"/>
        <rFont val="Arial Narrow"/>
        <family val="2"/>
      </rPr>
      <t xml:space="preserve">   4.</t>
    </r>
    <r>
      <rPr>
        <sz val="10"/>
        <color indexed="8"/>
        <rFont val="宋体"/>
        <family val="3"/>
        <charset val="134"/>
      </rPr>
      <t>期末余额</t>
    </r>
  </si>
  <si>
    <r>
      <rPr>
        <b/>
        <sz val="10"/>
        <color rgb="FF000000"/>
        <rFont val="宋体"/>
        <family val="3"/>
        <charset val="134"/>
      </rPr>
      <t>二、累计摊销</t>
    </r>
  </si>
  <si>
    <r>
      <rPr>
        <sz val="10"/>
        <color rgb="FF000000"/>
        <rFont val="Arial Narrow"/>
        <family val="2"/>
      </rPr>
      <t xml:space="preserve">    </t>
    </r>
    <r>
      <rPr>
        <sz val="10"/>
        <color indexed="8"/>
        <rFont val="宋体"/>
        <family val="3"/>
        <charset val="134"/>
      </rPr>
      <t>（</t>
    </r>
    <r>
      <rPr>
        <sz val="10"/>
        <color indexed="8"/>
        <rFont val="Arial Narrow"/>
        <family val="2"/>
      </rPr>
      <t>1</t>
    </r>
    <r>
      <rPr>
        <sz val="10"/>
        <color indexed="8"/>
        <rFont val="宋体"/>
        <family val="3"/>
        <charset val="134"/>
      </rPr>
      <t>）计提</t>
    </r>
  </si>
  <si>
    <r>
      <rPr>
        <sz val="10"/>
        <color rgb="FF000000"/>
        <rFont val="宋体"/>
        <family val="3"/>
        <charset val="134"/>
      </rPr>
      <t>（</t>
    </r>
    <r>
      <rPr>
        <sz val="10"/>
        <color indexed="8"/>
        <rFont val="Arial Narrow"/>
        <family val="2"/>
      </rPr>
      <t>2</t>
    </r>
    <r>
      <rPr>
        <sz val="10"/>
        <color indexed="8"/>
        <rFont val="宋体"/>
        <family val="3"/>
        <charset val="134"/>
      </rPr>
      <t>）其他增加</t>
    </r>
  </si>
  <si>
    <r>
      <rPr>
        <sz val="10"/>
        <color rgb="FF000000"/>
        <rFont val="Arial Narrow"/>
        <family val="2"/>
      </rPr>
      <t xml:space="preserve">    4.</t>
    </r>
    <r>
      <rPr>
        <sz val="10"/>
        <color indexed="8"/>
        <rFont val="宋体"/>
        <family val="3"/>
        <charset val="134"/>
      </rPr>
      <t>期末余额</t>
    </r>
  </si>
  <si>
    <r>
      <rPr>
        <sz val="10"/>
        <color rgb="FF000000"/>
        <rFont val="Arial Narrow"/>
        <family val="2"/>
      </rPr>
      <t xml:space="preserve">   </t>
    </r>
    <r>
      <rPr>
        <sz val="10"/>
        <color indexed="8"/>
        <rFont val="宋体"/>
        <family val="3"/>
        <charset val="134"/>
      </rPr>
      <t>（</t>
    </r>
    <r>
      <rPr>
        <sz val="10"/>
        <color indexed="8"/>
        <rFont val="Arial Narrow"/>
        <family val="2"/>
      </rPr>
      <t>1</t>
    </r>
    <r>
      <rPr>
        <sz val="10"/>
        <color indexed="8"/>
        <rFont val="宋体"/>
        <family val="3"/>
        <charset val="134"/>
      </rPr>
      <t>）计提</t>
    </r>
  </si>
  <si>
    <r>
      <rPr>
        <sz val="10"/>
        <color rgb="FF000000"/>
        <rFont val="Arial Narrow"/>
        <family val="2"/>
      </rPr>
      <t xml:space="preserve">    1.</t>
    </r>
    <r>
      <rPr>
        <sz val="10"/>
        <color indexed="8"/>
        <rFont val="宋体"/>
        <family val="3"/>
        <charset val="134"/>
      </rPr>
      <t>期末账面价值</t>
    </r>
  </si>
  <si>
    <r>
      <rPr>
        <sz val="10"/>
        <color rgb="FF000000"/>
        <rFont val="Arial Narrow"/>
        <family val="2"/>
      </rPr>
      <t xml:space="preserve">    2.</t>
    </r>
    <r>
      <rPr>
        <sz val="10"/>
        <color indexed="8"/>
        <rFont val="宋体"/>
        <family val="3"/>
        <charset val="134"/>
      </rPr>
      <t>期初账面价值</t>
    </r>
  </si>
  <si>
    <r>
      <rPr>
        <sz val="10"/>
        <color indexed="8"/>
        <rFont val="宋体"/>
        <family val="3"/>
        <charset val="134"/>
      </rPr>
      <t>说明：</t>
    </r>
  </si>
  <si>
    <r>
      <rPr>
        <sz val="10"/>
        <color indexed="8"/>
        <rFont val="宋体"/>
        <family val="3"/>
        <charset val="134"/>
      </rPr>
      <t>①期末，通过内部研发形成的无形资产占无形资产余额的比例为</t>
    </r>
    <r>
      <rPr>
        <sz val="10"/>
        <color indexed="8"/>
        <rFont val="Arial Narrow"/>
        <family val="2"/>
      </rPr>
      <t>______</t>
    </r>
    <r>
      <rPr>
        <sz val="10"/>
        <color indexed="8"/>
        <rFont val="宋体"/>
        <family val="3"/>
        <charset val="134"/>
      </rPr>
      <t>。</t>
    </r>
  </si>
  <si>
    <r>
      <rPr>
        <sz val="10"/>
        <color rgb="FF0000FF"/>
        <rFont val="宋体"/>
        <family val="3"/>
        <charset val="134"/>
      </rPr>
      <t>②（本集团使用寿命不确定的无形资产的判断依据。）</t>
    </r>
  </si>
  <si>
    <r>
      <rPr>
        <sz val="10"/>
        <color rgb="FF0000FF"/>
        <rFont val="宋体"/>
        <family val="3"/>
        <charset val="134"/>
      </rPr>
      <t>③（抵押、担保的土地使用权</t>
    </r>
    <r>
      <rPr>
        <sz val="10"/>
        <color indexed="8"/>
        <rFont val="宋体"/>
        <family val="3"/>
        <charset val="134"/>
      </rPr>
      <t>）</t>
    </r>
  </si>
  <si>
    <r>
      <rPr>
        <sz val="10"/>
        <color rgb="FF0000FF"/>
        <rFont val="宋体"/>
        <family val="3"/>
        <charset val="134"/>
      </rPr>
      <t>④（无形资产减值准备计提及减少原因）</t>
    </r>
  </si>
  <si>
    <r>
      <rPr>
        <sz val="10"/>
        <color rgb="FF0000FF"/>
        <rFont val="宋体"/>
        <family val="3"/>
        <charset val="134"/>
      </rPr>
      <t>⑤（本期发生以明显高于账面价值的价格出售无形资产交易的，应详细说明交易作价的基础和依据，如：估值模型、重要参数的选取依据和估值过程，以及必要的敏感性分析。）</t>
    </r>
  </si>
  <si>
    <r>
      <rPr>
        <b/>
        <sz val="10"/>
        <color indexed="8"/>
        <rFont val="宋体"/>
        <family val="3"/>
        <charset val="134"/>
      </rPr>
      <t>（</t>
    </r>
    <r>
      <rPr>
        <b/>
        <sz val="10"/>
        <color indexed="8"/>
        <rFont val="Arial Narrow"/>
        <family val="2"/>
      </rPr>
      <t>2</t>
    </r>
    <r>
      <rPr>
        <b/>
        <sz val="10"/>
        <color indexed="8"/>
        <rFont val="宋体"/>
        <family val="3"/>
        <charset val="134"/>
      </rPr>
      <t>）未办妥产权证书的土地使用权情况</t>
    </r>
  </si>
  <si>
    <r>
      <rPr>
        <sz val="10"/>
        <color rgb="FF0000FF"/>
        <rFont val="宋体"/>
        <family val="3"/>
        <charset val="134"/>
      </rPr>
      <t>（披露未办妥产权证书的土地使用权账面价值及原因。）</t>
    </r>
  </si>
  <si>
    <r>
      <rPr>
        <b/>
        <sz val="10"/>
        <color rgb="FF000000"/>
        <rFont val="宋体"/>
        <family val="3"/>
        <charset val="134"/>
      </rPr>
      <t>项</t>
    </r>
    <r>
      <rPr>
        <b/>
        <sz val="10"/>
        <color indexed="8"/>
        <rFont val="Arial Narrow"/>
        <family val="2"/>
      </rPr>
      <t xml:space="preserve">  </t>
    </r>
    <r>
      <rPr>
        <b/>
        <sz val="10"/>
        <color indexed="8"/>
        <rFont val="宋体"/>
        <family val="3"/>
        <charset val="134"/>
      </rPr>
      <t>目</t>
    </r>
  </si>
  <si>
    <r>
      <rPr>
        <b/>
        <sz val="10"/>
        <color indexed="8"/>
        <rFont val="宋体"/>
        <family val="3"/>
        <charset val="134"/>
      </rPr>
      <t>未办妥产权证书原因</t>
    </r>
  </si>
  <si>
    <r>
      <rPr>
        <b/>
        <sz val="10"/>
        <rFont val="宋体"/>
        <family val="3"/>
        <charset val="134"/>
      </rPr>
      <t>内容</t>
    </r>
  </si>
  <si>
    <r>
      <rPr>
        <b/>
        <sz val="10"/>
        <rFont val="宋体"/>
        <family val="3"/>
        <charset val="134"/>
      </rPr>
      <t>开发支出</t>
    </r>
  </si>
  <si>
    <r>
      <rPr>
        <b/>
        <sz val="10"/>
        <color rgb="FF000000"/>
        <rFont val="宋体"/>
        <family val="3"/>
        <charset val="134"/>
      </rPr>
      <t>期初数</t>
    </r>
  </si>
  <si>
    <r>
      <rPr>
        <b/>
        <sz val="10"/>
        <color rgb="FF000000"/>
        <rFont val="宋体"/>
        <family val="3"/>
        <charset val="134"/>
      </rPr>
      <t>本期减少</t>
    </r>
  </si>
  <si>
    <r>
      <rPr>
        <b/>
        <sz val="10"/>
        <color rgb="FF000000"/>
        <rFont val="宋体"/>
        <family val="3"/>
        <charset val="134"/>
      </rPr>
      <t>内部开发支出</t>
    </r>
  </si>
  <si>
    <r>
      <rPr>
        <b/>
        <sz val="10"/>
        <color rgb="FF000000"/>
        <rFont val="宋体"/>
        <family val="3"/>
        <charset val="134"/>
      </rPr>
      <t>其他增加</t>
    </r>
  </si>
  <si>
    <r>
      <rPr>
        <b/>
        <sz val="10"/>
        <color rgb="FF000000"/>
        <rFont val="宋体"/>
        <family val="3"/>
        <charset val="134"/>
      </rPr>
      <t>确认为无形资产</t>
    </r>
  </si>
  <si>
    <r>
      <rPr>
        <b/>
        <sz val="10"/>
        <color rgb="FF000000"/>
        <rFont val="宋体"/>
        <family val="3"/>
        <charset val="134"/>
      </rPr>
      <t>计入当期损益</t>
    </r>
  </si>
  <si>
    <r>
      <rPr>
        <sz val="10"/>
        <color rgb="FF000000"/>
        <rFont val="宋体"/>
        <family val="3"/>
        <charset val="134"/>
      </rPr>
      <t>合</t>
    </r>
    <r>
      <rPr>
        <sz val="10"/>
        <color indexed="8"/>
        <rFont val="Arial Narrow"/>
        <family val="2"/>
      </rPr>
      <t xml:space="preserve">  </t>
    </r>
    <r>
      <rPr>
        <sz val="10"/>
        <color indexed="8"/>
        <rFont val="宋体"/>
        <family val="3"/>
        <charset val="134"/>
      </rPr>
      <t>计</t>
    </r>
  </si>
  <si>
    <r>
      <rPr>
        <sz val="10"/>
        <color rgb="FF0000FF"/>
        <rFont val="宋体"/>
        <family val="3"/>
        <charset val="134"/>
      </rPr>
      <t>【增减变动因素可根据实际情况自行添加】</t>
    </r>
  </si>
  <si>
    <r>
      <rPr>
        <sz val="10"/>
        <color indexed="8"/>
        <rFont val="宋体"/>
        <family val="3"/>
        <charset val="134"/>
      </rPr>
      <t>续：</t>
    </r>
  </si>
  <si>
    <r>
      <rPr>
        <sz val="10"/>
        <color rgb="FF000000"/>
        <rFont val="宋体"/>
        <family val="3"/>
        <charset val="134"/>
      </rPr>
      <t>项</t>
    </r>
    <r>
      <rPr>
        <sz val="10"/>
        <color indexed="8"/>
        <rFont val="Arial Narrow"/>
        <family val="2"/>
      </rPr>
      <t xml:space="preserve">  </t>
    </r>
    <r>
      <rPr>
        <sz val="10"/>
        <color indexed="8"/>
        <rFont val="宋体"/>
        <family val="3"/>
        <charset val="134"/>
      </rPr>
      <t>目</t>
    </r>
  </si>
  <si>
    <r>
      <rPr>
        <sz val="10"/>
        <color rgb="FF000000"/>
        <rFont val="宋体"/>
        <family val="3"/>
        <charset val="134"/>
      </rPr>
      <t>资本化开始时点</t>
    </r>
  </si>
  <si>
    <r>
      <rPr>
        <sz val="10"/>
        <color rgb="FF000000"/>
        <rFont val="宋体"/>
        <family val="3"/>
        <charset val="134"/>
      </rPr>
      <t>资本化的具体依据</t>
    </r>
  </si>
  <si>
    <r>
      <rPr>
        <sz val="10"/>
        <color rgb="FF000000"/>
        <rFont val="宋体"/>
        <family val="3"/>
        <charset val="134"/>
      </rPr>
      <t>截至期末的研发进度</t>
    </r>
  </si>
  <si>
    <r>
      <rPr>
        <sz val="10"/>
        <color rgb="FF0000FF"/>
        <rFont val="宋体"/>
        <family val="3"/>
        <charset val="134"/>
      </rPr>
      <t>说明：</t>
    </r>
    <r>
      <rPr>
        <sz val="10"/>
        <color indexed="12"/>
        <rFont val="宋体"/>
        <family val="3"/>
        <charset val="134"/>
      </rPr>
      <t>（披露上述项目的资本化开始时点、资本化的具体依据、截至期末的研发进度等。）</t>
    </r>
  </si>
  <si>
    <r>
      <rPr>
        <b/>
        <sz val="12"/>
        <rFont val="宋体"/>
        <family val="3"/>
        <charset val="134"/>
      </rPr>
      <t>商誉</t>
    </r>
  </si>
  <si>
    <r>
      <rPr>
        <b/>
        <sz val="10"/>
        <color indexed="8"/>
        <rFont val="宋体"/>
        <family val="3"/>
        <charset val="134"/>
      </rPr>
      <t>（</t>
    </r>
    <r>
      <rPr>
        <b/>
        <sz val="10"/>
        <color indexed="8"/>
        <rFont val="Arial Narrow"/>
        <family val="2"/>
      </rPr>
      <t>1</t>
    </r>
    <r>
      <rPr>
        <b/>
        <sz val="10"/>
        <color indexed="8"/>
        <rFont val="宋体"/>
        <family val="3"/>
        <charset val="134"/>
      </rPr>
      <t>）商誉账面原值</t>
    </r>
  </si>
  <si>
    <r>
      <rPr>
        <b/>
        <sz val="10"/>
        <color indexed="8"/>
        <rFont val="宋体"/>
        <family val="3"/>
        <charset val="134"/>
      </rPr>
      <t>被投资单位名称或形成商誉的事项</t>
    </r>
  </si>
  <si>
    <r>
      <rPr>
        <b/>
        <sz val="10"/>
        <color indexed="8"/>
        <rFont val="宋体"/>
        <family val="3"/>
        <charset val="134"/>
      </rPr>
      <t>期初余额</t>
    </r>
  </si>
  <si>
    <r>
      <rPr>
        <b/>
        <sz val="10"/>
        <color indexed="8"/>
        <rFont val="宋体"/>
        <family val="3"/>
        <charset val="134"/>
      </rPr>
      <t>本期增加</t>
    </r>
  </si>
  <si>
    <r>
      <rPr>
        <b/>
        <sz val="10"/>
        <color indexed="8"/>
        <rFont val="宋体"/>
        <family val="3"/>
        <charset val="134"/>
      </rPr>
      <t>本期减少</t>
    </r>
  </si>
  <si>
    <r>
      <rPr>
        <b/>
        <sz val="10"/>
        <color indexed="8"/>
        <rFont val="宋体"/>
        <family val="3"/>
        <charset val="134"/>
      </rPr>
      <t>期末余额</t>
    </r>
  </si>
  <si>
    <r>
      <rPr>
        <b/>
        <sz val="10"/>
        <color indexed="8"/>
        <rFont val="宋体"/>
        <family val="3"/>
        <charset val="134"/>
      </rPr>
      <t>企业合并形成</t>
    </r>
  </si>
  <si>
    <r>
      <rPr>
        <b/>
        <sz val="10"/>
        <color rgb="FF0000FF"/>
        <rFont val="宋体"/>
        <family val="3"/>
        <charset val="134"/>
      </rPr>
      <t>可无限量添加列</t>
    </r>
  </si>
  <si>
    <r>
      <rPr>
        <b/>
        <sz val="10"/>
        <color indexed="8"/>
        <rFont val="宋体"/>
        <family val="3"/>
        <charset val="134"/>
      </rPr>
      <t>处置</t>
    </r>
  </si>
  <si>
    <r>
      <rPr>
        <sz val="10"/>
        <color rgb="FF0000FF"/>
        <rFont val="宋体"/>
        <family val="3"/>
        <charset val="134"/>
      </rPr>
      <t>（提示：其他增减变动原因包括境外子公司汇率变化的影响等）</t>
    </r>
  </si>
  <si>
    <r>
      <rPr>
        <sz val="10"/>
        <color indexed="8"/>
        <rFont val="宋体"/>
        <family val="3"/>
        <charset val="134"/>
      </rPr>
      <t>（</t>
    </r>
    <r>
      <rPr>
        <sz val="10"/>
        <color indexed="8"/>
        <rFont val="Arial Narrow"/>
        <family val="2"/>
      </rPr>
      <t>2</t>
    </r>
    <r>
      <rPr>
        <sz val="10"/>
        <color indexed="8"/>
        <rFont val="宋体"/>
        <family val="3"/>
        <charset val="134"/>
      </rPr>
      <t>）商誉减值准备</t>
    </r>
  </si>
  <si>
    <r>
      <rPr>
        <b/>
        <sz val="10"/>
        <color indexed="8"/>
        <rFont val="宋体"/>
        <family val="3"/>
        <charset val="134"/>
      </rPr>
      <t>计提</t>
    </r>
  </si>
  <si>
    <r>
      <rPr>
        <b/>
        <sz val="10"/>
        <color rgb="FF0000FF"/>
        <rFont val="宋体"/>
        <family val="3"/>
        <charset val="134"/>
      </rPr>
      <t>可无限量添加行</t>
    </r>
  </si>
  <si>
    <r>
      <rPr>
        <sz val="10"/>
        <color indexed="8"/>
        <rFont val="宋体"/>
        <family val="3"/>
        <charset val="134"/>
      </rPr>
      <t>说明：</t>
    </r>
    <r>
      <rPr>
        <sz val="10"/>
        <color indexed="12"/>
        <rFont val="宋体"/>
        <family val="3"/>
        <charset val="134"/>
      </rPr>
      <t>（商誉减值测试过程、参数及商誉减值损失的确认方法）</t>
    </r>
  </si>
  <si>
    <r>
      <rPr>
        <sz val="10"/>
        <color rgb="FF0000FF"/>
        <rFont val="宋体"/>
        <family val="3"/>
        <charset val="134"/>
      </rPr>
      <t>本集团采用预计未来现金流现值的方法计算资产组的可收回金额。本集团根据管理层批准的财务预算预计未来</t>
    </r>
    <r>
      <rPr>
        <sz val="10"/>
        <color indexed="12"/>
        <rFont val="Arial Narrow"/>
        <family val="2"/>
      </rPr>
      <t>5</t>
    </r>
    <r>
      <rPr>
        <sz val="10"/>
        <color indexed="12"/>
        <rFont val="宋体"/>
        <family val="3"/>
        <charset val="134"/>
      </rPr>
      <t>年内现金流量，其后年度采用的现金流量增长率预计为</t>
    </r>
    <r>
      <rPr>
        <sz val="10"/>
        <color indexed="12"/>
        <rFont val="Arial Narrow"/>
        <family val="2"/>
      </rPr>
      <t>XX%</t>
    </r>
    <r>
      <rPr>
        <sz val="10"/>
        <color indexed="12"/>
        <rFont val="宋体"/>
        <family val="3"/>
        <charset val="134"/>
      </rPr>
      <t>（上期：</t>
    </r>
    <r>
      <rPr>
        <sz val="10"/>
        <color indexed="12"/>
        <rFont val="Arial Narrow"/>
        <family val="2"/>
      </rPr>
      <t>XX%</t>
    </r>
    <r>
      <rPr>
        <sz val="10"/>
        <color indexed="12"/>
        <rFont val="宋体"/>
        <family val="3"/>
        <charset val="134"/>
      </rPr>
      <t>），不会超过资产组经营业务的长期平均增长率。管理层根据过往表现及其对市场发展的预期编制上述财务预算。计算未来现金流现值所采用的税前折现率为</t>
    </r>
    <r>
      <rPr>
        <sz val="10"/>
        <color indexed="12"/>
        <rFont val="Arial Narrow"/>
        <family val="2"/>
      </rPr>
      <t>XX%</t>
    </r>
    <r>
      <rPr>
        <sz val="10"/>
        <color indexed="12"/>
        <rFont val="宋体"/>
        <family val="3"/>
        <charset val="134"/>
      </rPr>
      <t>（上期：</t>
    </r>
    <r>
      <rPr>
        <sz val="10"/>
        <color indexed="12"/>
        <rFont val="Arial Narrow"/>
        <family val="2"/>
      </rPr>
      <t>XX%</t>
    </r>
    <r>
      <rPr>
        <sz val="10"/>
        <color indexed="12"/>
        <rFont val="宋体"/>
        <family val="3"/>
        <charset val="134"/>
      </rPr>
      <t>），已反映了相对于有关分部的风险。根据减值测试的结果，本期期末商誉未发生减值（上期期末：无）。【或：本期期末对商誉计提减值准备</t>
    </r>
    <r>
      <rPr>
        <sz val="10"/>
        <color indexed="12"/>
        <rFont val="Arial Narrow"/>
        <family val="2"/>
      </rPr>
      <t>XX</t>
    </r>
    <r>
      <rPr>
        <sz val="10"/>
        <color indexed="12"/>
        <rFont val="宋体"/>
        <family val="3"/>
        <charset val="134"/>
      </rPr>
      <t>元（上期期末：</t>
    </r>
    <r>
      <rPr>
        <sz val="10"/>
        <color indexed="12"/>
        <rFont val="Arial Narrow"/>
        <family val="2"/>
      </rPr>
      <t>XX</t>
    </r>
    <r>
      <rPr>
        <sz val="10"/>
        <color indexed="12"/>
        <rFont val="宋体"/>
        <family val="3"/>
        <charset val="134"/>
      </rPr>
      <t>元）。】</t>
    </r>
  </si>
  <si>
    <r>
      <rPr>
        <b/>
        <sz val="12"/>
        <rFont val="宋体"/>
        <family val="3"/>
        <charset val="134"/>
      </rPr>
      <t>长期待摊费用</t>
    </r>
  </si>
  <si>
    <r>
      <rPr>
        <b/>
        <sz val="10"/>
        <color rgb="FF000000"/>
        <rFont val="宋体"/>
        <family val="3"/>
        <charset val="134"/>
      </rPr>
      <t>本期摊销</t>
    </r>
  </si>
  <si>
    <r>
      <rPr>
        <sz val="10"/>
        <color indexed="8"/>
        <rFont val="宋体"/>
        <family val="3"/>
        <charset val="134"/>
      </rPr>
      <t>说明：</t>
    </r>
    <r>
      <rPr>
        <sz val="10"/>
        <color indexed="12"/>
        <rFont val="Arial Narrow"/>
        <family val="2"/>
      </rPr>
      <t>1</t>
    </r>
    <r>
      <rPr>
        <sz val="10"/>
        <color indexed="12"/>
        <rFont val="宋体"/>
        <family val="3"/>
        <charset val="134"/>
      </rPr>
      <t>年内到期的长期待摊费用</t>
    </r>
    <r>
      <rPr>
        <b/>
        <sz val="10"/>
        <color indexed="12"/>
        <rFont val="Arial Narrow"/>
        <family val="2"/>
      </rPr>
      <t>X.XX</t>
    </r>
    <r>
      <rPr>
        <b/>
        <sz val="10"/>
        <color indexed="12"/>
        <rFont val="宋体"/>
        <family val="3"/>
        <charset val="134"/>
      </rPr>
      <t>元，</t>
    </r>
    <r>
      <rPr>
        <sz val="10"/>
        <color indexed="12"/>
        <rFont val="宋体"/>
        <family val="3"/>
        <charset val="134"/>
      </rPr>
      <t>详见</t>
    </r>
    <r>
      <rPr>
        <sz val="10"/>
        <color indexed="10"/>
        <rFont val="宋体"/>
        <family val="3"/>
        <charset val="134"/>
      </rPr>
      <t>附注五、</t>
    </r>
    <r>
      <rPr>
        <sz val="10"/>
        <color indexed="10"/>
        <rFont val="Arial Narrow"/>
        <family val="2"/>
      </rPr>
      <t>11</t>
    </r>
    <r>
      <rPr>
        <sz val="10"/>
        <color indexed="12"/>
        <rFont val="宋体"/>
        <family val="3"/>
        <charset val="134"/>
      </rPr>
      <t>。</t>
    </r>
  </si>
  <si>
    <r>
      <rPr>
        <b/>
        <sz val="12"/>
        <rFont val="宋体"/>
        <family val="3"/>
        <charset val="134"/>
      </rPr>
      <t>递延所得税资产和递延所得税负债</t>
    </r>
  </si>
  <si>
    <r>
      <rPr>
        <b/>
        <sz val="10"/>
        <rFont val="宋体"/>
        <family val="3"/>
        <charset val="134"/>
      </rPr>
      <t>（</t>
    </r>
    <r>
      <rPr>
        <b/>
        <sz val="10"/>
        <rFont val="Arial Narrow"/>
        <family val="2"/>
      </rPr>
      <t>1</t>
    </r>
    <r>
      <rPr>
        <b/>
        <sz val="10"/>
        <rFont val="宋体"/>
        <family val="3"/>
        <charset val="134"/>
      </rPr>
      <t>）未经抵销的递延所得税资产和递延所得税负债</t>
    </r>
  </si>
  <si>
    <r>
      <rPr>
        <b/>
        <sz val="10"/>
        <rFont val="宋体"/>
        <family val="3"/>
        <charset val="134"/>
      </rPr>
      <t>可抵扣</t>
    </r>
    <r>
      <rPr>
        <b/>
        <sz val="10"/>
        <rFont val="Arial Narrow"/>
        <family val="2"/>
      </rPr>
      <t>/</t>
    </r>
    <r>
      <rPr>
        <b/>
        <sz val="10"/>
        <rFont val="宋体"/>
        <family val="3"/>
        <charset val="134"/>
      </rPr>
      <t>应纳税暂时性差异</t>
    </r>
  </si>
  <si>
    <r>
      <rPr>
        <b/>
        <sz val="10"/>
        <rFont val="宋体"/>
        <family val="3"/>
        <charset val="134"/>
      </rPr>
      <t>递延所得税资产</t>
    </r>
    <r>
      <rPr>
        <b/>
        <sz val="10"/>
        <rFont val="Arial Narrow"/>
        <family val="2"/>
      </rPr>
      <t>/</t>
    </r>
    <r>
      <rPr>
        <b/>
        <sz val="10"/>
        <rFont val="宋体"/>
        <family val="3"/>
        <charset val="134"/>
      </rPr>
      <t>负债</t>
    </r>
  </si>
  <si>
    <r>
      <rPr>
        <sz val="10"/>
        <rFont val="宋体"/>
        <family val="3"/>
        <charset val="134"/>
      </rPr>
      <t>递延所得税资产：</t>
    </r>
  </si>
  <si>
    <r>
      <rPr>
        <sz val="10"/>
        <rFont val="宋体"/>
        <family val="3"/>
        <charset val="134"/>
      </rPr>
      <t>开办费</t>
    </r>
  </si>
  <si>
    <r>
      <rPr>
        <sz val="10"/>
        <rFont val="宋体"/>
        <family val="3"/>
        <charset val="134"/>
      </rPr>
      <t>可抵扣亏损</t>
    </r>
  </si>
  <si>
    <r>
      <rPr>
        <sz val="10"/>
        <rFont val="宋体"/>
        <family val="3"/>
        <charset val="134"/>
      </rPr>
      <t>小</t>
    </r>
    <r>
      <rPr>
        <sz val="10"/>
        <rFont val="Arial Narrow"/>
        <family val="2"/>
      </rPr>
      <t xml:space="preserve">  </t>
    </r>
    <r>
      <rPr>
        <sz val="10"/>
        <rFont val="宋体"/>
        <family val="3"/>
        <charset val="134"/>
      </rPr>
      <t>计</t>
    </r>
  </si>
  <si>
    <r>
      <rPr>
        <sz val="10"/>
        <rFont val="宋体"/>
        <family val="3"/>
        <charset val="134"/>
      </rPr>
      <t>递延所得税负债：</t>
    </r>
  </si>
  <si>
    <r>
      <rPr>
        <sz val="10"/>
        <rFont val="宋体"/>
        <family val="3"/>
        <charset val="134"/>
      </rPr>
      <t>交易性金融工具、衍生金融工具的估值</t>
    </r>
  </si>
  <si>
    <r>
      <rPr>
        <sz val="10"/>
        <rFont val="宋体"/>
        <family val="3"/>
        <charset val="134"/>
      </rPr>
      <t>计入资本公积的可供出售金融资产公允价值变动</t>
    </r>
  </si>
  <si>
    <r>
      <rPr>
        <sz val="10"/>
        <color rgb="FF0070C0"/>
        <rFont val="宋体"/>
        <family val="3"/>
        <charset val="134"/>
      </rPr>
      <t>说明：其中一年后预期转回的递延所得税资产和递延所得税负债分别为</t>
    </r>
    <r>
      <rPr>
        <sz val="10"/>
        <color rgb="FF0070C0"/>
        <rFont val="Arial Narrow"/>
        <family val="2"/>
      </rPr>
      <t>X.XX</t>
    </r>
    <r>
      <rPr>
        <sz val="10"/>
        <color rgb="FF0070C0"/>
        <rFont val="宋体"/>
        <family val="3"/>
        <charset val="134"/>
      </rPr>
      <t>元、</t>
    </r>
    <r>
      <rPr>
        <sz val="10"/>
        <color rgb="FF0070C0"/>
        <rFont val="Arial Narrow"/>
        <family val="2"/>
      </rPr>
      <t>X.XX</t>
    </r>
    <r>
      <rPr>
        <sz val="10"/>
        <color rgb="FF0070C0"/>
        <rFont val="宋体"/>
        <family val="3"/>
        <charset val="134"/>
      </rPr>
      <t>元。</t>
    </r>
  </si>
  <si>
    <r>
      <rPr>
        <sz val="10"/>
        <color rgb="FF0070C0"/>
        <rFont val="宋体"/>
        <family val="3"/>
        <charset val="134"/>
      </rPr>
      <t>（</t>
    </r>
    <r>
      <rPr>
        <sz val="10"/>
        <rFont val="Arial Narrow"/>
        <family val="2"/>
      </rPr>
      <t>2</t>
    </r>
    <r>
      <rPr>
        <sz val="10"/>
        <rFont val="宋体"/>
        <family val="3"/>
        <charset val="134"/>
      </rPr>
      <t>）以抵销后净额列示的递延所得税资产或负债</t>
    </r>
    <r>
      <rPr>
        <sz val="10"/>
        <color rgb="FF0000FF"/>
        <rFont val="宋体"/>
        <family val="3"/>
        <charset val="134"/>
      </rPr>
      <t>（不适用的删除</t>
    </r>
    <r>
      <rPr>
        <sz val="10"/>
        <rFont val="宋体"/>
        <family val="3"/>
        <charset val="134"/>
      </rPr>
      <t>）</t>
    </r>
  </si>
  <si>
    <r>
      <rPr>
        <b/>
        <sz val="10"/>
        <rFont val="宋体"/>
        <family val="3"/>
        <charset val="134"/>
      </rPr>
      <t>递延所得税资产和负债期末互抵金额</t>
    </r>
  </si>
  <si>
    <r>
      <rPr>
        <b/>
        <sz val="10"/>
        <rFont val="宋体"/>
        <family val="3"/>
        <charset val="134"/>
      </rPr>
      <t>抵销后递延所得税资产或负债期末余额</t>
    </r>
  </si>
  <si>
    <r>
      <rPr>
        <b/>
        <sz val="10"/>
        <rFont val="宋体"/>
        <family val="3"/>
        <charset val="134"/>
      </rPr>
      <t>递延所得税资产和负债期初互抵金额</t>
    </r>
  </si>
  <si>
    <r>
      <rPr>
        <b/>
        <sz val="10"/>
        <rFont val="宋体"/>
        <family val="3"/>
        <charset val="134"/>
      </rPr>
      <t>抵销后递延所得税资产或负债期初余额</t>
    </r>
  </si>
  <si>
    <r>
      <rPr>
        <sz val="10"/>
        <color rgb="FF0070C0"/>
        <rFont val="宋体"/>
        <family val="3"/>
        <charset val="134"/>
      </rPr>
      <t>（</t>
    </r>
    <r>
      <rPr>
        <sz val="10"/>
        <rFont val="Arial Narrow"/>
        <family val="2"/>
      </rPr>
      <t>3</t>
    </r>
    <r>
      <rPr>
        <sz val="10"/>
        <rFont val="宋体"/>
        <family val="3"/>
        <charset val="134"/>
      </rPr>
      <t>）未确认递延所得税资产的可抵扣暂时性差异及可抵扣亏损明细</t>
    </r>
  </si>
  <si>
    <r>
      <rPr>
        <sz val="10"/>
        <rFont val="宋体"/>
        <family val="3"/>
        <charset val="134"/>
      </rPr>
      <t>可抵扣暂时性差异</t>
    </r>
  </si>
  <si>
    <r>
      <rPr>
        <sz val="10"/>
        <color rgb="FF0070C0"/>
        <rFont val="宋体"/>
        <family val="3"/>
        <charset val="134"/>
      </rPr>
      <t>注：列示由于未来能否获得足够的应纳税所得额具有不确定性，因此没有确认为递延所得税资产的可抵扣暂时性差异和可抵扣亏损。</t>
    </r>
  </si>
  <si>
    <r>
      <rPr>
        <sz val="10"/>
        <color rgb="FF0070C0"/>
        <rFont val="宋体"/>
        <family val="3"/>
        <charset val="134"/>
      </rPr>
      <t>（</t>
    </r>
    <r>
      <rPr>
        <sz val="10"/>
        <rFont val="Arial Narrow"/>
        <family val="2"/>
      </rPr>
      <t>4</t>
    </r>
    <r>
      <rPr>
        <sz val="10"/>
        <rFont val="宋体"/>
        <family val="3"/>
        <charset val="134"/>
      </rPr>
      <t>）未确认递延所得税资产的可抵扣亏损将于以下年度到期</t>
    </r>
  </si>
  <si>
    <r>
      <rPr>
        <b/>
        <sz val="10"/>
        <rFont val="宋体"/>
        <family val="3"/>
        <charset val="134"/>
      </rPr>
      <t>年</t>
    </r>
    <r>
      <rPr>
        <b/>
        <sz val="10"/>
        <rFont val="Arial Narrow"/>
        <family val="2"/>
      </rPr>
      <t xml:space="preserve">  </t>
    </r>
    <r>
      <rPr>
        <b/>
        <sz val="10"/>
        <rFont val="宋体"/>
        <family val="3"/>
        <charset val="134"/>
      </rPr>
      <t>份</t>
    </r>
  </si>
  <si>
    <r>
      <rPr>
        <sz val="10"/>
        <rFont val="Arial Narrow"/>
        <family val="2"/>
      </rPr>
      <t>2014</t>
    </r>
    <r>
      <rPr>
        <sz val="10"/>
        <rFont val="宋体"/>
        <family val="3"/>
        <charset val="134"/>
      </rPr>
      <t>年</t>
    </r>
  </si>
  <si>
    <r>
      <rPr>
        <sz val="10"/>
        <rFont val="Arial Narrow"/>
        <family val="2"/>
      </rPr>
      <t>2015</t>
    </r>
    <r>
      <rPr>
        <sz val="10"/>
        <rFont val="宋体"/>
        <family val="3"/>
        <charset val="134"/>
      </rPr>
      <t>年</t>
    </r>
  </si>
  <si>
    <r>
      <rPr>
        <sz val="10"/>
        <rFont val="Arial Narrow"/>
        <family val="2"/>
      </rPr>
      <t>2016</t>
    </r>
    <r>
      <rPr>
        <sz val="10"/>
        <rFont val="宋体"/>
        <family val="3"/>
        <charset val="134"/>
      </rPr>
      <t>年</t>
    </r>
  </si>
  <si>
    <r>
      <rPr>
        <sz val="10"/>
        <rFont val="Arial Narrow"/>
        <family val="2"/>
      </rPr>
      <t>2017</t>
    </r>
    <r>
      <rPr>
        <sz val="10"/>
        <rFont val="宋体"/>
        <family val="3"/>
        <charset val="134"/>
      </rPr>
      <t>年</t>
    </r>
  </si>
  <si>
    <r>
      <rPr>
        <sz val="10"/>
        <rFont val="Arial Narrow"/>
        <family val="2"/>
      </rPr>
      <t>2018</t>
    </r>
    <r>
      <rPr>
        <sz val="10"/>
        <rFont val="宋体"/>
        <family val="3"/>
        <charset val="134"/>
      </rPr>
      <t>年</t>
    </r>
  </si>
  <si>
    <r>
      <rPr>
        <sz val="10"/>
        <rFont val="Arial Narrow"/>
        <family val="2"/>
      </rPr>
      <t>2019</t>
    </r>
    <r>
      <rPr>
        <sz val="10"/>
        <rFont val="宋体"/>
        <family val="3"/>
        <charset val="134"/>
      </rPr>
      <t>年</t>
    </r>
  </si>
  <si>
    <r>
      <rPr>
        <sz val="10"/>
        <color rgb="FF0070C0"/>
        <rFont val="宋体"/>
        <family val="3"/>
        <charset val="134"/>
      </rPr>
      <t>注：无法在资产负债表日确定全部可抵扣亏损情况的，可只填写能确定部分的金额及其到期年度，并在备注栏予以说明。</t>
    </r>
  </si>
  <si>
    <r>
      <rPr>
        <b/>
        <sz val="12"/>
        <rFont val="宋体"/>
        <family val="3"/>
        <charset val="134"/>
      </rPr>
      <t>其他非流动资产</t>
    </r>
  </si>
  <si>
    <r>
      <rPr>
        <sz val="10"/>
        <color theme="1"/>
        <rFont val="宋体"/>
        <family val="3"/>
        <charset val="134"/>
      </rPr>
      <t>预付土地出让金</t>
    </r>
  </si>
  <si>
    <r>
      <rPr>
        <sz val="10"/>
        <color theme="1"/>
        <rFont val="宋体"/>
        <family val="3"/>
        <charset val="134"/>
      </rPr>
      <t>预付工程款</t>
    </r>
  </si>
  <si>
    <r>
      <rPr>
        <sz val="10"/>
        <color theme="1"/>
        <rFont val="宋体"/>
        <family val="3"/>
        <charset val="134"/>
      </rPr>
      <t>预付房屋、设备款</t>
    </r>
  </si>
  <si>
    <r>
      <rPr>
        <sz val="10"/>
        <color theme="1"/>
        <rFont val="宋体"/>
        <family val="3"/>
        <charset val="134"/>
      </rPr>
      <t>无形资产预付款</t>
    </r>
  </si>
  <si>
    <r>
      <rPr>
        <sz val="10"/>
        <color theme="1"/>
        <rFont val="宋体"/>
        <family val="3"/>
        <charset val="134"/>
      </rPr>
      <t>预付投资款</t>
    </r>
  </si>
  <si>
    <r>
      <rPr>
        <sz val="10"/>
        <color theme="1"/>
        <rFont val="宋体"/>
        <family val="3"/>
        <charset val="134"/>
      </rPr>
      <t>委托贷款</t>
    </r>
  </si>
  <si>
    <r>
      <rPr>
        <b/>
        <sz val="12"/>
        <rFont val="宋体"/>
        <family val="3"/>
        <charset val="134"/>
      </rPr>
      <t>资产减值准备</t>
    </r>
  </si>
  <si>
    <r>
      <rPr>
        <b/>
        <sz val="10"/>
        <rFont val="宋体"/>
        <family val="3"/>
        <charset val="134"/>
      </rPr>
      <t>期初</t>
    </r>
  </si>
  <si>
    <r>
      <rPr>
        <b/>
        <sz val="10"/>
        <rFont val="宋体"/>
        <family val="3"/>
        <charset val="134"/>
      </rPr>
      <t>本期计提额</t>
    </r>
  </si>
  <si>
    <r>
      <rPr>
        <b/>
        <sz val="10"/>
        <rFont val="宋体"/>
        <family val="3"/>
        <charset val="134"/>
      </rPr>
      <t>本期减少额</t>
    </r>
  </si>
  <si>
    <r>
      <rPr>
        <b/>
        <sz val="10"/>
        <rFont val="宋体"/>
        <family val="3"/>
        <charset val="134"/>
      </rPr>
      <t>转回</t>
    </r>
  </si>
  <si>
    <r>
      <rPr>
        <b/>
        <sz val="10"/>
        <rFont val="宋体"/>
        <family val="3"/>
        <charset val="134"/>
      </rPr>
      <t>转销</t>
    </r>
  </si>
  <si>
    <r>
      <rPr>
        <sz val="10"/>
        <rFont val="宋体"/>
        <family val="3"/>
        <charset val="134"/>
      </rPr>
      <t>坏账准备</t>
    </r>
  </si>
  <si>
    <r>
      <rPr>
        <sz val="10"/>
        <rFont val="宋体"/>
        <family val="3"/>
        <charset val="134"/>
      </rPr>
      <t>存货跌价准备</t>
    </r>
  </si>
  <si>
    <r>
      <rPr>
        <sz val="10"/>
        <rFont val="宋体"/>
        <family val="3"/>
        <charset val="134"/>
      </rPr>
      <t>可供出售金融资产减值准备</t>
    </r>
  </si>
  <si>
    <r>
      <rPr>
        <sz val="10"/>
        <rFont val="宋体"/>
        <family val="3"/>
        <charset val="134"/>
      </rPr>
      <t>持有至到期投资减值准备</t>
    </r>
  </si>
  <si>
    <r>
      <rPr>
        <sz val="10"/>
        <rFont val="宋体"/>
        <family val="3"/>
        <charset val="134"/>
      </rPr>
      <t>长期股权投资减值准备</t>
    </r>
  </si>
  <si>
    <r>
      <rPr>
        <sz val="10"/>
        <rFont val="宋体"/>
        <family val="3"/>
        <charset val="134"/>
      </rPr>
      <t>工程物资减值准备</t>
    </r>
  </si>
  <si>
    <r>
      <rPr>
        <sz val="10"/>
        <rFont val="宋体"/>
        <family val="3"/>
        <charset val="134"/>
      </rPr>
      <t>在建工程减值准备</t>
    </r>
  </si>
  <si>
    <r>
      <rPr>
        <sz val="10"/>
        <rFont val="宋体"/>
        <family val="3"/>
        <charset val="134"/>
      </rPr>
      <t>商誉减值准备</t>
    </r>
  </si>
  <si>
    <r>
      <rPr>
        <sz val="10"/>
        <rFont val="宋体"/>
        <family val="3"/>
        <charset val="134"/>
      </rPr>
      <t>其</t>
    </r>
    <r>
      <rPr>
        <sz val="10"/>
        <rFont val="Arial Narrow"/>
        <family val="2"/>
      </rPr>
      <t xml:space="preserve">  </t>
    </r>
    <r>
      <rPr>
        <sz val="10"/>
        <rFont val="宋体"/>
        <family val="3"/>
        <charset val="134"/>
      </rPr>
      <t>他</t>
    </r>
  </si>
  <si>
    <r>
      <rPr>
        <b/>
        <sz val="12"/>
        <rFont val="宋体"/>
        <family val="3"/>
        <charset val="134"/>
      </rPr>
      <t>所有权受到限制的资产</t>
    </r>
  </si>
  <si>
    <r>
      <rPr>
        <b/>
        <sz val="10"/>
        <color theme="1"/>
        <rFont val="宋体"/>
        <family val="3"/>
        <charset val="134"/>
      </rPr>
      <t>期末账面价值</t>
    </r>
  </si>
  <si>
    <r>
      <rPr>
        <b/>
        <sz val="10"/>
        <color theme="1"/>
        <rFont val="宋体"/>
        <family val="3"/>
        <charset val="134"/>
      </rPr>
      <t>受限原因</t>
    </r>
  </si>
  <si>
    <r>
      <rPr>
        <sz val="10"/>
        <color theme="1"/>
        <rFont val="宋体"/>
        <family val="3"/>
        <charset val="134"/>
      </rPr>
      <t>货币资金</t>
    </r>
  </si>
  <si>
    <r>
      <rPr>
        <sz val="10"/>
        <color theme="1"/>
        <rFont val="宋体"/>
        <family val="3"/>
        <charset val="134"/>
      </rPr>
      <t>应收票据</t>
    </r>
  </si>
  <si>
    <r>
      <rPr>
        <sz val="10"/>
        <color theme="1"/>
        <rFont val="宋体"/>
        <family val="3"/>
        <charset val="134"/>
      </rPr>
      <t>存货</t>
    </r>
  </si>
  <si>
    <r>
      <rPr>
        <sz val="10"/>
        <color theme="1"/>
        <rFont val="宋体"/>
        <family val="3"/>
        <charset val="134"/>
      </rPr>
      <t>固定资产</t>
    </r>
  </si>
  <si>
    <r>
      <rPr>
        <sz val="10"/>
        <color theme="1"/>
        <rFont val="宋体"/>
        <family val="3"/>
        <charset val="134"/>
      </rPr>
      <t>无形资产</t>
    </r>
  </si>
  <si>
    <r>
      <rPr>
        <b/>
        <sz val="12"/>
        <rFont val="宋体"/>
        <family val="3"/>
        <charset val="134"/>
      </rPr>
      <t>短期借款</t>
    </r>
  </si>
  <si>
    <r>
      <rPr>
        <b/>
        <sz val="10"/>
        <rFont val="宋体"/>
        <family val="3"/>
        <charset val="134"/>
      </rPr>
      <t>（</t>
    </r>
    <r>
      <rPr>
        <b/>
        <sz val="10"/>
        <rFont val="Arial Narrow"/>
        <family val="2"/>
      </rPr>
      <t>1</t>
    </r>
    <r>
      <rPr>
        <b/>
        <sz val="10"/>
        <rFont val="宋体"/>
        <family val="3"/>
        <charset val="134"/>
      </rPr>
      <t>）短期借款分类</t>
    </r>
  </si>
  <si>
    <r>
      <rPr>
        <sz val="10"/>
        <rFont val="宋体"/>
        <family val="3"/>
        <charset val="134"/>
      </rPr>
      <t>质押借款</t>
    </r>
  </si>
  <si>
    <r>
      <rPr>
        <sz val="10"/>
        <rFont val="宋体"/>
        <family val="3"/>
        <charset val="134"/>
      </rPr>
      <t>抵押借款</t>
    </r>
  </si>
  <si>
    <t xml:space="preserve">             </t>
  </si>
  <si>
    <r>
      <rPr>
        <sz val="10"/>
        <rFont val="宋体"/>
        <family val="3"/>
        <charset val="134"/>
      </rPr>
      <t>保证借款</t>
    </r>
  </si>
  <si>
    <r>
      <rPr>
        <sz val="10"/>
        <rFont val="宋体"/>
        <family val="3"/>
        <charset val="134"/>
      </rPr>
      <t>信用借款</t>
    </r>
  </si>
  <si>
    <r>
      <rPr>
        <sz val="10"/>
        <color rgb="FF0070C0"/>
        <rFont val="宋体"/>
        <family val="3"/>
        <charset val="134"/>
      </rPr>
      <t>说明：</t>
    </r>
    <r>
      <rPr>
        <sz val="10"/>
        <color rgb="FF0000FF"/>
        <rFont val="宋体"/>
        <family val="3"/>
        <charset val="134"/>
      </rPr>
      <t>（用于抵押、质押的财产）</t>
    </r>
  </si>
  <si>
    <r>
      <rPr>
        <sz val="10"/>
        <color rgb="FF0070C0"/>
        <rFont val="宋体"/>
        <family val="3"/>
        <charset val="134"/>
      </rPr>
      <t>（</t>
    </r>
    <r>
      <rPr>
        <sz val="10"/>
        <rFont val="Arial Narrow"/>
        <family val="2"/>
      </rPr>
      <t>2</t>
    </r>
    <r>
      <rPr>
        <sz val="10"/>
        <rFont val="宋体"/>
        <family val="3"/>
        <charset val="134"/>
      </rPr>
      <t>）逾期借款情况</t>
    </r>
    <r>
      <rPr>
        <sz val="10"/>
        <color rgb="FF0000FF"/>
        <rFont val="宋体"/>
        <family val="3"/>
        <charset val="134"/>
      </rPr>
      <t>（如无，删除）</t>
    </r>
  </si>
  <si>
    <r>
      <rPr>
        <sz val="10"/>
        <color rgb="FF0070C0"/>
        <rFont val="宋体"/>
        <family val="3"/>
        <charset val="134"/>
      </rPr>
      <t>（汇总披露逾期借款（包括从长期借款转入的）的期末余额。对于重要的逾期借款，还应按借款单位列示借款期末余额、借款利率、逾期时间、逾期利率。）</t>
    </r>
  </si>
  <si>
    <r>
      <rPr>
        <sz val="10"/>
        <color rgb="FF0070C0"/>
        <rFont val="宋体"/>
        <family val="3"/>
        <charset val="134"/>
      </rPr>
      <t>本期末已逾期未偿还的短期借款余款合计</t>
    </r>
    <r>
      <rPr>
        <sz val="10"/>
        <rFont val="Arial Narrow"/>
        <family val="2"/>
      </rPr>
      <t>XXX</t>
    </r>
    <r>
      <rPr>
        <sz val="10"/>
        <rFont val="宋体"/>
        <family val="3"/>
        <charset val="134"/>
      </rPr>
      <t>元，其中由长期借款转入金额为</t>
    </r>
    <r>
      <rPr>
        <sz val="10"/>
        <rFont val="Arial Narrow"/>
        <family val="2"/>
      </rPr>
      <t>XXX</t>
    </r>
    <r>
      <rPr>
        <sz val="10"/>
        <rFont val="宋体"/>
        <family val="3"/>
        <charset val="134"/>
      </rPr>
      <t>元。</t>
    </r>
  </si>
  <si>
    <r>
      <rPr>
        <sz val="10"/>
        <color theme="1"/>
        <rFont val="宋体"/>
        <family val="3"/>
        <charset val="134"/>
      </rPr>
      <t>重要的逾期借款情况如下：</t>
    </r>
  </si>
  <si>
    <r>
      <rPr>
        <b/>
        <sz val="10"/>
        <color rgb="FF000000"/>
        <rFont val="宋体"/>
        <family val="3"/>
        <charset val="134"/>
      </rPr>
      <t>期末余额</t>
    </r>
  </si>
  <si>
    <r>
      <rPr>
        <b/>
        <sz val="10"/>
        <color rgb="FF000000"/>
        <rFont val="宋体"/>
        <family val="3"/>
        <charset val="134"/>
      </rPr>
      <t>借款利率</t>
    </r>
  </si>
  <si>
    <r>
      <rPr>
        <b/>
        <sz val="10"/>
        <color rgb="FF000000"/>
        <rFont val="宋体"/>
        <family val="3"/>
        <charset val="134"/>
      </rPr>
      <t>逾期时间</t>
    </r>
  </si>
  <si>
    <r>
      <rPr>
        <b/>
        <sz val="10"/>
        <rFont val="宋体"/>
        <family val="3"/>
        <charset val="134"/>
      </rPr>
      <t>逾期利率</t>
    </r>
  </si>
  <si>
    <r>
      <rPr>
        <b/>
        <sz val="12"/>
        <rFont val="宋体"/>
        <family val="3"/>
        <charset val="134"/>
      </rPr>
      <t>以公允价值计量且其变动计入当期损益的金融负债</t>
    </r>
  </si>
  <si>
    <r>
      <rPr>
        <b/>
        <sz val="10"/>
        <color theme="1"/>
        <rFont val="宋体"/>
        <family val="3"/>
        <charset val="134"/>
      </rPr>
      <t>以公允价值计量且其变动计入当期损益的金融负债</t>
    </r>
  </si>
  <si>
    <r>
      <rPr>
        <sz val="10"/>
        <color theme="1"/>
        <rFont val="宋体"/>
        <family val="3"/>
        <charset val="134"/>
      </rPr>
      <t>交易性金融负债</t>
    </r>
  </si>
  <si>
    <r>
      <rPr>
        <sz val="10"/>
        <color theme="1"/>
        <rFont val="宋体"/>
        <family val="3"/>
        <charset val="134"/>
      </rPr>
      <t>其中：发行的交易性债券</t>
    </r>
  </si>
  <si>
    <r>
      <rPr>
        <sz val="10"/>
        <color theme="1"/>
        <rFont val="Arial Narrow"/>
        <family val="2"/>
      </rPr>
      <t xml:space="preserve">      </t>
    </r>
    <r>
      <rPr>
        <sz val="10"/>
        <color theme="1"/>
        <rFont val="宋体"/>
        <family val="3"/>
        <charset val="134"/>
      </rPr>
      <t>衍生金融负债</t>
    </r>
  </si>
  <si>
    <r>
      <rPr>
        <sz val="10"/>
        <color theme="1"/>
        <rFont val="宋体"/>
        <family val="3"/>
        <charset val="134"/>
      </rPr>
      <t>指定为以公允价值计量且其变动计入当期损益的金融负债</t>
    </r>
  </si>
  <si>
    <r>
      <rPr>
        <sz val="10"/>
        <color theme="1"/>
        <rFont val="宋体"/>
        <family val="3"/>
        <charset val="134"/>
      </rPr>
      <t>说明：</t>
    </r>
    <r>
      <rPr>
        <sz val="10"/>
        <color rgb="FF0000FF"/>
        <rFont val="宋体"/>
        <family val="3"/>
        <charset val="134"/>
      </rPr>
      <t>（交易性金融负债的账面价值以及公允价值及其变动的相关情况，如涉及数量变化以及单位数量公允价值变动情况。）</t>
    </r>
  </si>
  <si>
    <r>
      <rPr>
        <sz val="10"/>
        <color rgb="FF0000FF"/>
        <rFont val="宋体"/>
        <family val="3"/>
        <charset val="134"/>
      </rPr>
      <t>（存在套期工具的，应对套期工具及相关套期交易作出说明。）</t>
    </r>
  </si>
  <si>
    <r>
      <rPr>
        <b/>
        <sz val="12"/>
        <rFont val="宋体"/>
        <family val="3"/>
        <charset val="134"/>
      </rPr>
      <t>衍生金融负债</t>
    </r>
  </si>
  <si>
    <r>
      <rPr>
        <b/>
        <sz val="10"/>
        <color rgb="FF000000"/>
        <rFont val="宋体"/>
        <family val="3"/>
        <charset val="134"/>
      </rPr>
      <t>期末公允价值</t>
    </r>
  </si>
  <si>
    <r>
      <rPr>
        <sz val="10"/>
        <color rgb="FF0000FF"/>
        <rFont val="宋体"/>
        <family val="3"/>
        <charset val="134"/>
      </rPr>
      <t>说明：（衍生金融负债产生的原因以及相关会计处理。）</t>
    </r>
  </si>
  <si>
    <r>
      <rPr>
        <b/>
        <sz val="12"/>
        <color indexed="8"/>
        <rFont val="宋体"/>
        <family val="3"/>
        <charset val="134"/>
      </rPr>
      <t>种</t>
    </r>
    <r>
      <rPr>
        <b/>
        <sz val="12"/>
        <color indexed="8"/>
        <rFont val="Arial Narrow"/>
        <family val="2"/>
      </rPr>
      <t xml:space="preserve"> </t>
    </r>
    <r>
      <rPr>
        <b/>
        <sz val="12"/>
        <color indexed="8"/>
        <rFont val="宋体"/>
        <family val="3"/>
        <charset val="134"/>
      </rPr>
      <t>类</t>
    </r>
  </si>
  <si>
    <r>
      <rPr>
        <b/>
        <sz val="12"/>
        <color indexed="8"/>
        <rFont val="宋体"/>
        <family val="3"/>
        <charset val="134"/>
      </rPr>
      <t>期末</t>
    </r>
  </si>
  <si>
    <r>
      <rPr>
        <b/>
        <sz val="12"/>
        <rFont val="宋体"/>
        <family val="3"/>
        <charset val="134"/>
      </rPr>
      <t>应付票据</t>
    </r>
  </si>
  <si>
    <r>
      <rPr>
        <sz val="10"/>
        <color rgb="FF0070C0"/>
        <rFont val="宋体"/>
        <family val="3"/>
        <charset val="134"/>
      </rPr>
      <t>说明：本期末已到期未支付的应付票据总额为</t>
    </r>
    <r>
      <rPr>
        <sz val="10"/>
        <color rgb="FF0070C0"/>
        <rFont val="Arial Narrow"/>
        <family val="2"/>
      </rPr>
      <t>XXX</t>
    </r>
    <r>
      <rPr>
        <sz val="10"/>
        <color rgb="FF0070C0"/>
        <rFont val="宋体"/>
        <family val="3"/>
        <charset val="134"/>
      </rPr>
      <t>元。</t>
    </r>
  </si>
  <si>
    <r>
      <rPr>
        <b/>
        <sz val="12"/>
        <rFont val="宋体"/>
        <family val="3"/>
        <charset val="134"/>
      </rPr>
      <t>应付账款</t>
    </r>
  </si>
  <si>
    <r>
      <rPr>
        <b/>
        <sz val="12"/>
        <rFont val="宋体"/>
        <family val="3"/>
        <charset val="134"/>
      </rPr>
      <t>项</t>
    </r>
    <r>
      <rPr>
        <b/>
        <sz val="12"/>
        <rFont val="Arial Narrow"/>
        <family val="2"/>
      </rPr>
      <t xml:space="preserve"> </t>
    </r>
    <r>
      <rPr>
        <b/>
        <sz val="12"/>
        <rFont val="宋体"/>
        <family val="3"/>
        <charset val="134"/>
      </rPr>
      <t>目</t>
    </r>
  </si>
  <si>
    <r>
      <rPr>
        <sz val="10"/>
        <color rgb="FF0000FF"/>
        <rFont val="宋体"/>
        <family val="3"/>
        <charset val="134"/>
      </rPr>
      <t>货款</t>
    </r>
  </si>
  <si>
    <r>
      <rPr>
        <sz val="10"/>
        <color rgb="FF0000FF"/>
        <rFont val="宋体"/>
        <family val="3"/>
        <charset val="134"/>
      </rPr>
      <t>工程款</t>
    </r>
  </si>
  <si>
    <r>
      <rPr>
        <sz val="10"/>
        <rFont val="宋体"/>
        <family val="3"/>
        <charset val="134"/>
      </rPr>
      <t>其中，账龄超过</t>
    </r>
    <r>
      <rPr>
        <sz val="10"/>
        <rFont val="Arial Narrow"/>
        <family val="2"/>
      </rPr>
      <t>1</t>
    </r>
    <r>
      <rPr>
        <sz val="10"/>
        <rFont val="宋体"/>
        <family val="3"/>
        <charset val="134"/>
      </rPr>
      <t>年的重要应付账款</t>
    </r>
  </si>
  <si>
    <r>
      <rPr>
        <b/>
        <sz val="10"/>
        <rFont val="宋体"/>
        <family val="3"/>
        <charset val="134"/>
      </rPr>
      <t>未偿还或未结转的原因</t>
    </r>
  </si>
  <si>
    <r>
      <rPr>
        <b/>
        <sz val="12"/>
        <rFont val="宋体"/>
        <family val="3"/>
        <charset val="134"/>
      </rPr>
      <t>预收款项</t>
    </r>
  </si>
  <si>
    <r>
      <rPr>
        <b/>
        <sz val="10"/>
        <rFont val="宋体"/>
        <family val="3"/>
        <charset val="134"/>
      </rPr>
      <t>预付款项</t>
    </r>
  </si>
  <si>
    <r>
      <rPr>
        <b/>
        <sz val="10"/>
        <rFont val="宋体"/>
        <family val="3"/>
        <charset val="134"/>
      </rPr>
      <t>（</t>
    </r>
    <r>
      <rPr>
        <b/>
        <sz val="10"/>
        <rFont val="Arial Narrow"/>
        <family val="2"/>
      </rPr>
      <t>1</t>
    </r>
    <r>
      <rPr>
        <b/>
        <sz val="10"/>
        <rFont val="宋体"/>
        <family val="3"/>
        <charset val="134"/>
      </rPr>
      <t>）预付款项按账龄披露</t>
    </r>
  </si>
  <si>
    <r>
      <rPr>
        <b/>
        <sz val="10"/>
        <rFont val="宋体"/>
        <family val="3"/>
        <charset val="134"/>
      </rPr>
      <t>账</t>
    </r>
    <r>
      <rPr>
        <b/>
        <sz val="10"/>
        <rFont val="Arial Narrow"/>
        <family val="2"/>
      </rPr>
      <t xml:space="preserve">  </t>
    </r>
    <r>
      <rPr>
        <b/>
        <sz val="10"/>
        <rFont val="宋体"/>
        <family val="3"/>
        <charset val="134"/>
      </rPr>
      <t>龄</t>
    </r>
  </si>
  <si>
    <r>
      <rPr>
        <sz val="10"/>
        <rFont val="宋体"/>
        <family val="3"/>
        <charset val="134"/>
      </rPr>
      <t>说明：</t>
    </r>
    <r>
      <rPr>
        <sz val="10"/>
        <color rgb="FF0000FF"/>
        <rFont val="宋体"/>
        <family val="3"/>
        <charset val="134"/>
      </rPr>
      <t>（账龄超过</t>
    </r>
    <r>
      <rPr>
        <sz val="10"/>
        <color rgb="FF0000FF"/>
        <rFont val="Arial Narrow"/>
        <family val="2"/>
      </rPr>
      <t>1</t>
    </r>
    <r>
      <rPr>
        <sz val="10"/>
        <color rgb="FF0000FF"/>
        <rFont val="宋体"/>
        <family val="3"/>
        <charset val="134"/>
      </rPr>
      <t>年的金额重要预付账款，应说明未及时结算的原因。）</t>
    </r>
  </si>
  <si>
    <r>
      <rPr>
        <sz val="10"/>
        <color rgb="FF0000FF"/>
        <rFont val="宋体"/>
        <family val="3"/>
        <charset val="134"/>
      </rPr>
      <t>（按预付对象集中度，汇总或分别披露期末余额前五名的预付款项的期末余额及占预付款项期末余额合计数的比例。）</t>
    </r>
  </si>
  <si>
    <r>
      <rPr>
        <b/>
        <sz val="12"/>
        <rFont val="宋体"/>
        <family val="3"/>
        <charset val="134"/>
      </rPr>
      <t>应付职工薪酬</t>
    </r>
  </si>
  <si>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</si>
  <si>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b/>
        <sz val="10"/>
        <color theme="1"/>
        <rFont val="宋体"/>
        <family val="3"/>
        <charset val="134"/>
      </rPr>
      <t>本期增加</t>
    </r>
  </si>
  <si>
    <r>
      <rPr>
        <b/>
        <sz val="10"/>
        <color theme="1"/>
        <rFont val="宋体"/>
        <family val="3"/>
        <charset val="134"/>
      </rPr>
      <t>本期减少</t>
    </r>
  </si>
  <si>
    <r>
      <rPr>
        <sz val="10"/>
        <color theme="1"/>
        <rFont val="宋体"/>
        <family val="3"/>
        <charset val="134"/>
      </rPr>
      <t>短期薪酬</t>
    </r>
  </si>
  <si>
    <r>
      <rPr>
        <sz val="10"/>
        <color theme="1"/>
        <rFont val="宋体"/>
        <family val="3"/>
        <charset val="134"/>
      </rPr>
      <t>离职后福利</t>
    </r>
    <r>
      <rPr>
        <sz val="10"/>
        <color theme="1"/>
        <rFont val="Arial Narrow"/>
        <family val="2"/>
      </rPr>
      <t>-</t>
    </r>
    <r>
      <rPr>
        <sz val="10"/>
        <color theme="1"/>
        <rFont val="宋体"/>
        <family val="3"/>
        <charset val="134"/>
      </rPr>
      <t>设定提存计划</t>
    </r>
  </si>
  <si>
    <r>
      <rPr>
        <sz val="10"/>
        <color theme="1"/>
        <rFont val="宋体"/>
        <family val="3"/>
        <charset val="134"/>
      </rPr>
      <t>辞退福利</t>
    </r>
  </si>
  <si>
    <r>
      <rPr>
        <sz val="10"/>
        <color theme="1"/>
        <rFont val="宋体"/>
        <family val="3"/>
        <charset val="134"/>
      </rPr>
      <t>一年内到期的其他福利</t>
    </r>
  </si>
  <si>
    <r>
      <rPr>
        <sz val="10"/>
        <color rgb="FF0000FF"/>
        <rFont val="宋体"/>
        <family val="3"/>
        <charset val="134"/>
      </rPr>
      <t>【提示：</t>
    </r>
  </si>
  <si>
    <r>
      <rPr>
        <sz val="10"/>
        <color rgb="FF0000FF"/>
        <rFont val="Arial Narrow"/>
        <family val="2"/>
      </rPr>
      <t>1</t>
    </r>
    <r>
      <rPr>
        <sz val="10"/>
        <color rgb="FF0000FF"/>
        <rFont val="宋体"/>
        <family val="3"/>
        <charset val="134"/>
      </rPr>
      <t>、辞退福利包括（</t>
    </r>
    <r>
      <rPr>
        <sz val="10"/>
        <color rgb="FF0000FF"/>
        <rFont val="Arial Narrow"/>
        <family val="2"/>
      </rPr>
      <t>1</t>
    </r>
    <r>
      <rPr>
        <sz val="10"/>
        <color rgb="FF0000FF"/>
        <rFont val="宋体"/>
        <family val="3"/>
        <charset val="134"/>
      </rPr>
      <t>）预期在其确认的年度报告期间期末后</t>
    </r>
    <r>
      <rPr>
        <sz val="10"/>
        <color rgb="FF0000FF"/>
        <rFont val="Arial Narrow"/>
        <family val="2"/>
      </rPr>
      <t>12</t>
    </r>
    <r>
      <rPr>
        <sz val="10"/>
        <color rgb="FF0000FF"/>
        <rFont val="宋体"/>
        <family val="3"/>
        <charset val="134"/>
      </rPr>
      <t>个月内完全支付的辞退福利；（</t>
    </r>
    <r>
      <rPr>
        <sz val="10"/>
        <color rgb="FF0000FF"/>
        <rFont val="Arial Narrow"/>
        <family val="2"/>
      </rPr>
      <t>2</t>
    </r>
    <r>
      <rPr>
        <sz val="10"/>
        <color rgb="FF0000FF"/>
        <rFont val="宋体"/>
        <family val="3"/>
        <charset val="134"/>
      </rPr>
      <t>）补偿款超过</t>
    </r>
    <r>
      <rPr>
        <sz val="10"/>
        <color rgb="FF0000FF"/>
        <rFont val="Arial Narrow"/>
        <family val="2"/>
      </rPr>
      <t>1</t>
    </r>
    <r>
      <rPr>
        <sz val="10"/>
        <color rgb="FF0000FF"/>
        <rFont val="宋体"/>
        <family val="3"/>
        <charset val="134"/>
      </rPr>
      <t>年支付的辞退计划将于年度报告期间期末后</t>
    </r>
    <r>
      <rPr>
        <sz val="10"/>
        <color rgb="FF0000FF"/>
        <rFont val="Arial Narrow"/>
        <family val="2"/>
      </rPr>
      <t>12</t>
    </r>
    <r>
      <rPr>
        <sz val="10"/>
        <color rgb="FF0000FF"/>
        <rFont val="宋体"/>
        <family val="3"/>
        <charset val="134"/>
      </rPr>
      <t>个月内支付的款项，例如内退计划将于下一年支付的金额。</t>
    </r>
  </si>
  <si>
    <r>
      <rPr>
        <sz val="10"/>
        <color rgb="FF0000FF"/>
        <rFont val="Arial Narrow"/>
        <family val="2"/>
      </rPr>
      <t>2</t>
    </r>
    <r>
      <rPr>
        <sz val="10"/>
        <color rgb="FF0000FF"/>
        <rFont val="宋体"/>
        <family val="3"/>
        <charset val="134"/>
      </rPr>
      <t>、一年内到期的其他福利：指一年内到期的设定受益计划及其他长期福利；应根据</t>
    </r>
    <r>
      <rPr>
        <sz val="10"/>
        <color rgb="FF0000FF"/>
        <rFont val="Arial Narrow"/>
        <family val="2"/>
      </rPr>
      <t>“</t>
    </r>
    <r>
      <rPr>
        <sz val="10"/>
        <color rgb="FF0000FF"/>
        <rFont val="宋体"/>
        <family val="3"/>
        <charset val="134"/>
      </rPr>
      <t>长期应付职工薪酬</t>
    </r>
    <r>
      <rPr>
        <sz val="10"/>
        <color rgb="FF0000FF"/>
        <rFont val="Arial Narrow"/>
        <family val="2"/>
      </rPr>
      <t>”</t>
    </r>
    <r>
      <rPr>
        <sz val="10"/>
        <color rgb="FF0000FF"/>
        <rFont val="宋体"/>
        <family val="3"/>
        <charset val="134"/>
      </rPr>
      <t>项目分析填列。</t>
    </r>
  </si>
  <si>
    <r>
      <rPr>
        <sz val="10"/>
        <color theme="1"/>
        <rFont val="宋体"/>
        <family val="3"/>
        <charset val="134"/>
      </rPr>
      <t>（</t>
    </r>
    <r>
      <rPr>
        <sz val="10"/>
        <color theme="1"/>
        <rFont val="Arial Narrow"/>
        <family val="2"/>
      </rPr>
      <t>1</t>
    </r>
    <r>
      <rPr>
        <sz val="10"/>
        <color theme="1"/>
        <rFont val="宋体"/>
        <family val="3"/>
        <charset val="134"/>
      </rPr>
      <t>）短期薪酬</t>
    </r>
  </si>
  <si>
    <r>
      <rPr>
        <sz val="10"/>
        <color theme="1"/>
        <rFont val="宋体"/>
        <family val="3"/>
        <charset val="134"/>
      </rPr>
      <t>工资、奖金、津贴和补贴</t>
    </r>
  </si>
  <si>
    <r>
      <rPr>
        <sz val="10"/>
        <color theme="1"/>
        <rFont val="宋体"/>
        <family val="3"/>
        <charset val="134"/>
      </rPr>
      <t>职工福利费</t>
    </r>
  </si>
  <si>
    <r>
      <rPr>
        <sz val="10"/>
        <color theme="1"/>
        <rFont val="宋体"/>
        <family val="3"/>
        <charset val="134"/>
      </rPr>
      <t>社会保险费</t>
    </r>
  </si>
  <si>
    <r>
      <rPr>
        <sz val="10"/>
        <color theme="1"/>
        <rFont val="宋体"/>
        <family val="3"/>
        <charset val="134"/>
      </rPr>
      <t>其中：</t>
    </r>
    <r>
      <rPr>
        <sz val="10"/>
        <color theme="1"/>
        <rFont val="Arial Narrow"/>
        <family val="2"/>
      </rPr>
      <t>1</t>
    </r>
    <r>
      <rPr>
        <sz val="10"/>
        <color theme="1"/>
        <rFont val="宋体"/>
        <family val="3"/>
        <charset val="134"/>
      </rPr>
      <t>．医疗保险费</t>
    </r>
  </si>
  <si>
    <r>
      <rPr>
        <sz val="10"/>
        <color theme="1"/>
        <rFont val="Arial Narrow"/>
        <family val="2"/>
      </rPr>
      <t>2</t>
    </r>
    <r>
      <rPr>
        <sz val="10"/>
        <color theme="1"/>
        <rFont val="宋体"/>
        <family val="3"/>
        <charset val="134"/>
      </rPr>
      <t>．工伤保险费</t>
    </r>
  </si>
  <si>
    <r>
      <rPr>
        <sz val="10"/>
        <color theme="1"/>
        <rFont val="Arial Narrow"/>
        <family val="2"/>
      </rPr>
      <t>3</t>
    </r>
    <r>
      <rPr>
        <sz val="10"/>
        <color theme="1"/>
        <rFont val="宋体"/>
        <family val="3"/>
        <charset val="134"/>
      </rPr>
      <t>．生育保险费</t>
    </r>
  </si>
  <si>
    <r>
      <rPr>
        <sz val="10"/>
        <color theme="1"/>
        <rFont val="宋体"/>
        <family val="3"/>
        <charset val="134"/>
      </rPr>
      <t>住房公积金</t>
    </r>
  </si>
  <si>
    <r>
      <rPr>
        <sz val="10"/>
        <color theme="1"/>
        <rFont val="宋体"/>
        <family val="3"/>
        <charset val="134"/>
      </rPr>
      <t>工会经费和职工教育经费</t>
    </r>
  </si>
  <si>
    <r>
      <rPr>
        <sz val="10"/>
        <color theme="1"/>
        <rFont val="宋体"/>
        <family val="3"/>
        <charset val="134"/>
      </rPr>
      <t>短期带薪缺勤</t>
    </r>
  </si>
  <si>
    <r>
      <rPr>
        <sz val="10"/>
        <color theme="1"/>
        <rFont val="宋体"/>
        <family val="3"/>
        <charset val="134"/>
      </rPr>
      <t>短期利润分享计划</t>
    </r>
  </si>
  <si>
    <r>
      <rPr>
        <sz val="10"/>
        <color theme="1"/>
        <rFont val="宋体"/>
        <family val="3"/>
        <charset val="134"/>
      </rPr>
      <t>非货币性福利</t>
    </r>
  </si>
  <si>
    <r>
      <rPr>
        <sz val="10"/>
        <color theme="1"/>
        <rFont val="宋体"/>
        <family val="3"/>
        <charset val="134"/>
      </rPr>
      <t>其他短期薪酬</t>
    </r>
  </si>
  <si>
    <r>
      <rPr>
        <sz val="10"/>
        <color theme="1"/>
        <rFont val="Arial Narrow"/>
        <family val="2"/>
      </rPr>
      <t>1</t>
    </r>
    <r>
      <rPr>
        <sz val="10"/>
        <color theme="1"/>
        <rFont val="宋体"/>
        <family val="3"/>
        <charset val="134"/>
      </rPr>
      <t>、</t>
    </r>
    <r>
      <rPr>
        <sz val="10"/>
        <color rgb="FF0000FF"/>
        <rFont val="宋体"/>
        <family val="3"/>
        <charset val="134"/>
      </rPr>
      <t>（企业本期为职工提供的各项非货币性福利形式、其计算依据。）</t>
    </r>
  </si>
  <si>
    <r>
      <rPr>
        <sz val="10"/>
        <color rgb="FF0000FF"/>
        <rFont val="Arial Narrow"/>
        <family val="2"/>
      </rPr>
      <t>2</t>
    </r>
    <r>
      <rPr>
        <sz val="10"/>
        <color rgb="FF0000FF"/>
        <rFont val="宋体"/>
        <family val="3"/>
        <charset val="134"/>
      </rPr>
      <t>、（企业依据短期利润分享计划提供的职工薪酬计算依据。）</t>
    </r>
  </si>
  <si>
    <r>
      <rPr>
        <sz val="10"/>
        <color theme="1"/>
        <rFont val="宋体"/>
        <family val="3"/>
        <charset val="134"/>
      </rPr>
      <t>（</t>
    </r>
    <r>
      <rPr>
        <sz val="10"/>
        <color theme="1"/>
        <rFont val="Arial Narrow"/>
        <family val="2"/>
      </rPr>
      <t>2</t>
    </r>
    <r>
      <rPr>
        <sz val="10"/>
        <color theme="1"/>
        <rFont val="宋体"/>
        <family val="3"/>
        <charset val="134"/>
      </rPr>
      <t>）设定提存计划</t>
    </r>
  </si>
  <si>
    <r>
      <rPr>
        <sz val="10"/>
        <color theme="1"/>
        <rFont val="宋体"/>
        <family val="3"/>
        <charset val="134"/>
      </rPr>
      <t>离职后福利</t>
    </r>
  </si>
  <si>
    <r>
      <rPr>
        <sz val="10"/>
        <color theme="1"/>
        <rFont val="宋体"/>
        <family val="3"/>
        <charset val="134"/>
      </rPr>
      <t>其中：</t>
    </r>
    <r>
      <rPr>
        <sz val="10"/>
        <color theme="1"/>
        <rFont val="Arial Narrow"/>
        <family val="2"/>
      </rPr>
      <t>1</t>
    </r>
    <r>
      <rPr>
        <sz val="10"/>
        <color theme="1"/>
        <rFont val="宋体"/>
        <family val="3"/>
        <charset val="134"/>
      </rPr>
      <t>．基本养老保险费</t>
    </r>
  </si>
  <si>
    <r>
      <rPr>
        <sz val="10"/>
        <color theme="1"/>
        <rFont val="Arial Narrow"/>
        <family val="2"/>
      </rPr>
      <t>2</t>
    </r>
    <r>
      <rPr>
        <sz val="10"/>
        <color theme="1"/>
        <rFont val="宋体"/>
        <family val="3"/>
        <charset val="134"/>
      </rPr>
      <t>．失业保险费</t>
    </r>
  </si>
  <si>
    <r>
      <rPr>
        <sz val="10"/>
        <color theme="1"/>
        <rFont val="Arial Narrow"/>
        <family val="2"/>
      </rPr>
      <t>3</t>
    </r>
    <r>
      <rPr>
        <sz val="10"/>
        <color theme="1"/>
        <rFont val="宋体"/>
        <family val="3"/>
        <charset val="134"/>
      </rPr>
      <t>．企业年金缴费</t>
    </r>
  </si>
  <si>
    <r>
      <rPr>
        <sz val="10"/>
        <color theme="1"/>
        <rFont val="Arial Narrow"/>
        <family val="2"/>
      </rPr>
      <t>4</t>
    </r>
    <r>
      <rPr>
        <sz val="10"/>
        <color theme="1"/>
        <rFont val="宋体"/>
        <family val="3"/>
        <charset val="134"/>
      </rPr>
      <t>．其他</t>
    </r>
  </si>
  <si>
    <r>
      <rPr>
        <sz val="10"/>
        <color theme="1"/>
        <rFont val="宋体"/>
        <family val="3"/>
        <charset val="134"/>
      </rPr>
      <t>其他长期职工福利</t>
    </r>
    <r>
      <rPr>
        <sz val="10"/>
        <color rgb="FF0000FF"/>
        <rFont val="宋体"/>
        <family val="3"/>
        <charset val="134"/>
      </rPr>
      <t>（不适用的删除）</t>
    </r>
  </si>
  <si>
    <r>
      <rPr>
        <sz val="10"/>
        <color theme="1"/>
        <rFont val="宋体"/>
        <family val="3"/>
        <charset val="134"/>
      </rPr>
      <t>其中：</t>
    </r>
    <r>
      <rPr>
        <sz val="10"/>
        <color theme="1"/>
        <rFont val="Arial Narrow"/>
        <family val="2"/>
      </rPr>
      <t>1</t>
    </r>
    <r>
      <rPr>
        <sz val="10"/>
        <color theme="1"/>
        <rFont val="宋体"/>
        <family val="3"/>
        <charset val="134"/>
      </rPr>
      <t>．</t>
    </r>
    <r>
      <rPr>
        <sz val="10"/>
        <color theme="1"/>
        <rFont val="Arial Narrow"/>
        <family val="2"/>
      </rPr>
      <t>xxx</t>
    </r>
  </si>
  <si>
    <r>
      <rPr>
        <sz val="10"/>
        <color theme="1"/>
        <rFont val="Arial Narrow"/>
        <family val="2"/>
      </rPr>
      <t>2</t>
    </r>
    <r>
      <rPr>
        <sz val="10"/>
        <color theme="1"/>
        <rFont val="宋体"/>
        <family val="3"/>
        <charset val="134"/>
      </rPr>
      <t>．其他</t>
    </r>
  </si>
  <si>
    <r>
      <rPr>
        <sz val="10"/>
        <color theme="1"/>
        <rFont val="宋体"/>
        <family val="3"/>
        <charset val="134"/>
      </rPr>
      <t>说明：</t>
    </r>
    <r>
      <rPr>
        <sz val="10"/>
        <color rgb="FF0000FF"/>
        <rFont val="宋体"/>
        <family val="3"/>
        <charset val="134"/>
      </rPr>
      <t>（设定提存计划的性质、计算缴费金额的公式或依据）</t>
    </r>
  </si>
  <si>
    <r>
      <rPr>
        <sz val="10"/>
        <color rgb="FF0000FF"/>
        <rFont val="宋体"/>
        <family val="3"/>
        <charset val="134"/>
      </rPr>
      <t>【提示：其他长期职工福利指符合设定提存计划条件的其他长期职工福利】</t>
    </r>
  </si>
  <si>
    <r>
      <rPr>
        <sz val="10"/>
        <color theme="1"/>
        <rFont val="宋体"/>
        <family val="3"/>
        <charset val="134"/>
      </rPr>
      <t>（</t>
    </r>
    <r>
      <rPr>
        <sz val="10"/>
        <color theme="1"/>
        <rFont val="Arial Narrow"/>
        <family val="2"/>
      </rPr>
      <t>3</t>
    </r>
    <r>
      <rPr>
        <sz val="10"/>
        <color theme="1"/>
        <rFont val="宋体"/>
        <family val="3"/>
        <charset val="134"/>
      </rPr>
      <t>）辞退福利</t>
    </r>
  </si>
  <si>
    <r>
      <rPr>
        <sz val="10"/>
        <color theme="1"/>
        <rFont val="宋体"/>
        <family val="3"/>
        <charset val="134"/>
      </rPr>
      <t>说明：</t>
    </r>
    <r>
      <rPr>
        <sz val="10"/>
        <color rgb="FF0000FF"/>
        <rFont val="宋体"/>
        <family val="3"/>
        <charset val="134"/>
      </rPr>
      <t>辞退福利的性质、内容及计算依据。</t>
    </r>
  </si>
  <si>
    <r>
      <rPr>
        <sz val="10"/>
        <color rgb="FF0000FF"/>
        <rFont val="宋体"/>
        <family val="3"/>
        <charset val="134"/>
      </rPr>
      <t>（注：应付职工薪酬、设定受益计划净负债（净资产）、一年后支付的辞退福利及其他长期职工福利本期减少一般与现金流量中</t>
    </r>
    <r>
      <rPr>
        <sz val="10"/>
        <color rgb="FF0000FF"/>
        <rFont val="Arial Narrow"/>
        <family val="2"/>
      </rPr>
      <t>“</t>
    </r>
    <r>
      <rPr>
        <sz val="10"/>
        <color rgb="FF0000FF"/>
        <rFont val="宋体"/>
        <family val="3"/>
        <charset val="134"/>
      </rPr>
      <t>支付职工</t>
    </r>
    <r>
      <rPr>
        <sz val="10"/>
        <color rgb="FF0000FF"/>
        <rFont val="Arial Narrow"/>
        <family val="2"/>
      </rPr>
      <t>”</t>
    </r>
    <r>
      <rPr>
        <sz val="10"/>
        <color rgb="FF0000FF"/>
        <rFont val="宋体"/>
        <family val="3"/>
        <charset val="134"/>
      </rPr>
      <t>项一致，除非代扣税未交、实物发放等）</t>
    </r>
  </si>
  <si>
    <r>
      <rPr>
        <b/>
        <sz val="12"/>
        <rFont val="宋体"/>
        <family val="3"/>
        <charset val="134"/>
      </rPr>
      <t>应交税费</t>
    </r>
  </si>
  <si>
    <r>
      <rPr>
        <b/>
        <sz val="12"/>
        <rFont val="宋体"/>
        <family val="3"/>
        <charset val="134"/>
      </rPr>
      <t>年初余额</t>
    </r>
  </si>
  <si>
    <r>
      <rPr>
        <b/>
        <sz val="12"/>
        <rFont val="宋体"/>
        <family val="3"/>
        <charset val="134"/>
      </rPr>
      <t>本期应交</t>
    </r>
  </si>
  <si>
    <r>
      <rPr>
        <b/>
        <sz val="12"/>
        <rFont val="宋体"/>
        <family val="3"/>
        <charset val="134"/>
      </rPr>
      <t>本期已交</t>
    </r>
  </si>
  <si>
    <r>
      <rPr>
        <b/>
        <sz val="12"/>
        <rFont val="宋体"/>
        <family val="3"/>
        <charset val="134"/>
      </rPr>
      <t>期末余额</t>
    </r>
  </si>
  <si>
    <r>
      <rPr>
        <sz val="10"/>
        <rFont val="宋体"/>
        <family val="3"/>
        <charset val="134"/>
      </rPr>
      <t>增值税</t>
    </r>
  </si>
  <si>
    <r>
      <rPr>
        <sz val="10"/>
        <rFont val="宋体"/>
        <family val="3"/>
        <charset val="134"/>
      </rPr>
      <t>消费税</t>
    </r>
  </si>
  <si>
    <r>
      <rPr>
        <sz val="10"/>
        <rFont val="宋体"/>
        <family val="3"/>
        <charset val="134"/>
      </rPr>
      <t>营业税</t>
    </r>
  </si>
  <si>
    <r>
      <rPr>
        <sz val="10"/>
        <rFont val="宋体"/>
        <family val="3"/>
        <charset val="134"/>
      </rPr>
      <t>资源税</t>
    </r>
  </si>
  <si>
    <r>
      <rPr>
        <sz val="10"/>
        <rFont val="宋体"/>
        <family val="3"/>
        <charset val="134"/>
      </rPr>
      <t>企业所得税</t>
    </r>
  </si>
  <si>
    <r>
      <rPr>
        <sz val="10"/>
        <rFont val="宋体"/>
        <family val="3"/>
        <charset val="134"/>
      </rPr>
      <t>城市维护建设税</t>
    </r>
  </si>
  <si>
    <r>
      <rPr>
        <sz val="10"/>
        <rFont val="宋体"/>
        <family val="3"/>
        <charset val="134"/>
      </rPr>
      <t>房产税</t>
    </r>
  </si>
  <si>
    <r>
      <rPr>
        <sz val="10"/>
        <rFont val="宋体"/>
        <family val="3"/>
        <charset val="134"/>
      </rPr>
      <t>土地使用税</t>
    </r>
  </si>
  <si>
    <r>
      <rPr>
        <sz val="10"/>
        <rFont val="宋体"/>
        <family val="3"/>
        <charset val="134"/>
      </rPr>
      <t>个人所得税</t>
    </r>
  </si>
  <si>
    <r>
      <rPr>
        <sz val="10"/>
        <rFont val="宋体"/>
        <family val="3"/>
        <charset val="134"/>
      </rPr>
      <t>教育费附加</t>
    </r>
  </si>
  <si>
    <r>
      <rPr>
        <sz val="10"/>
        <rFont val="宋体"/>
        <family val="3"/>
        <charset val="134"/>
      </rPr>
      <t>其他税费</t>
    </r>
  </si>
  <si>
    <r>
      <rPr>
        <sz val="10"/>
        <rFont val="宋体"/>
        <family val="3"/>
        <charset val="134"/>
      </rPr>
      <t>说明：</t>
    </r>
    <r>
      <rPr>
        <sz val="10"/>
        <color rgb="FF0000FF"/>
        <rFont val="Arial Narrow"/>
        <family val="2"/>
      </rPr>
      <t xml:space="preserve"> </t>
    </r>
  </si>
  <si>
    <r>
      <rPr>
        <sz val="10"/>
        <color rgb="FF0070C0"/>
        <rFont val="宋体"/>
        <family val="3"/>
        <charset val="134"/>
      </rPr>
      <t>（小税（费）种可合并反映。）</t>
    </r>
  </si>
  <si>
    <r>
      <rPr>
        <sz val="10"/>
        <color rgb="FF0070C0"/>
        <rFont val="宋体"/>
        <family val="3"/>
        <charset val="134"/>
      </rPr>
      <t>（对于满足条件将当期所得税资产及当期所得税负债以抵销后的净额列示的情况，当企业实际交纳的所得税税款大于按照税法规定计算的应交税时，超过部分在资产负债表中应当列示为</t>
    </r>
    <r>
      <rPr>
        <sz val="10"/>
        <color rgb="FF0070C0"/>
        <rFont val="Arial Narrow"/>
        <family val="2"/>
      </rPr>
      <t>“</t>
    </r>
    <r>
      <rPr>
        <sz val="10"/>
        <color rgb="FF0070C0"/>
        <rFont val="宋体"/>
        <family val="3"/>
        <charset val="134"/>
      </rPr>
      <t>其他流动资产</t>
    </r>
    <r>
      <rPr>
        <sz val="10"/>
        <color rgb="FF0070C0"/>
        <rFont val="Arial Narrow"/>
        <family val="2"/>
      </rPr>
      <t>”</t>
    </r>
    <r>
      <rPr>
        <sz val="10"/>
        <color rgb="FF0070C0"/>
        <rFont val="宋体"/>
        <family val="3"/>
        <charset val="134"/>
      </rPr>
      <t>；当企业实际交纳的所得税税款小于按照税法规定计算的应交税时，差额部分应当作为资产负债表中的</t>
    </r>
    <r>
      <rPr>
        <sz val="10"/>
        <color rgb="FF0070C0"/>
        <rFont val="Arial Narrow"/>
        <family val="2"/>
      </rPr>
      <t>“</t>
    </r>
    <r>
      <rPr>
        <sz val="10"/>
        <color rgb="FF0070C0"/>
        <rFont val="宋体"/>
        <family val="3"/>
        <charset val="134"/>
      </rPr>
      <t>应交税费</t>
    </r>
    <r>
      <rPr>
        <sz val="10"/>
        <color rgb="FF0070C0"/>
        <rFont val="Arial Narrow"/>
        <family val="2"/>
      </rPr>
      <t>”</t>
    </r>
    <r>
      <rPr>
        <sz val="10"/>
        <color rgb="FF0070C0"/>
        <rFont val="宋体"/>
        <family val="3"/>
        <charset val="134"/>
      </rPr>
      <t>项目列示。）</t>
    </r>
  </si>
  <si>
    <t>应付利息</t>
  </si>
  <si>
    <t>应付股利</t>
  </si>
  <si>
    <r>
      <rPr>
        <b/>
        <sz val="12"/>
        <rFont val="宋体"/>
        <family val="3"/>
        <charset val="134"/>
      </rPr>
      <t>应付利息</t>
    </r>
  </si>
  <si>
    <r>
      <rPr>
        <sz val="10"/>
        <color rgb="FF000000"/>
        <rFont val="宋体"/>
        <family val="3"/>
        <charset val="134"/>
      </rPr>
      <t>分期付息到期还本的长期借款利息</t>
    </r>
  </si>
  <si>
    <r>
      <rPr>
        <sz val="10"/>
        <color rgb="FF000000"/>
        <rFont val="宋体"/>
        <family val="3"/>
        <charset val="134"/>
      </rPr>
      <t>企业债券利息</t>
    </r>
  </si>
  <si>
    <r>
      <rPr>
        <sz val="10"/>
        <color rgb="FF000000"/>
        <rFont val="宋体"/>
        <family val="3"/>
        <charset val="134"/>
      </rPr>
      <t>短期借款应付利息</t>
    </r>
  </si>
  <si>
    <r>
      <rPr>
        <sz val="10"/>
        <color rgb="FF000000"/>
        <rFont val="宋体"/>
        <family val="3"/>
        <charset val="134"/>
      </rPr>
      <t>划分为金融负债的优先股</t>
    </r>
    <r>
      <rPr>
        <sz val="10"/>
        <color rgb="FF000000"/>
        <rFont val="Arial Narrow"/>
        <family val="2"/>
      </rPr>
      <t>\</t>
    </r>
    <r>
      <rPr>
        <sz val="10"/>
        <color rgb="FF000000"/>
        <rFont val="宋体"/>
        <family val="3"/>
        <charset val="134"/>
      </rPr>
      <t>永续债利息</t>
    </r>
  </si>
  <si>
    <r>
      <rPr>
        <sz val="10"/>
        <color rgb="FF000000"/>
        <rFont val="宋体"/>
        <family val="3"/>
        <charset val="134"/>
      </rPr>
      <t>其中：工具</t>
    </r>
    <r>
      <rPr>
        <sz val="10"/>
        <color rgb="FF000000"/>
        <rFont val="Arial Narrow"/>
        <family val="2"/>
      </rPr>
      <t>1</t>
    </r>
  </si>
  <si>
    <r>
      <rPr>
        <sz val="10"/>
        <color rgb="FF000000"/>
        <rFont val="宋体"/>
        <family val="3"/>
        <charset val="134"/>
      </rPr>
      <t>工具</t>
    </r>
    <r>
      <rPr>
        <sz val="10"/>
        <color rgb="FF000000"/>
        <rFont val="Arial Narrow"/>
        <family val="2"/>
      </rPr>
      <t>2</t>
    </r>
  </si>
  <si>
    <r>
      <rPr>
        <sz val="10"/>
        <rFont val="宋体"/>
        <family val="3"/>
        <charset val="134"/>
      </rPr>
      <t>重要的逾期未付利息：</t>
    </r>
  </si>
  <si>
    <r>
      <rPr>
        <sz val="10"/>
        <rFont val="宋体"/>
        <family val="3"/>
        <charset val="134"/>
      </rPr>
      <t>借款单位</t>
    </r>
  </si>
  <si>
    <r>
      <rPr>
        <sz val="10"/>
        <rFont val="宋体"/>
        <family val="3"/>
        <charset val="134"/>
      </rPr>
      <t>逾期金额</t>
    </r>
  </si>
  <si>
    <r>
      <rPr>
        <sz val="10"/>
        <rFont val="宋体"/>
        <family val="3"/>
        <charset val="134"/>
      </rPr>
      <t>逾期原因</t>
    </r>
  </si>
  <si>
    <r>
      <rPr>
        <b/>
        <sz val="12"/>
        <rFont val="宋体"/>
        <family val="3"/>
        <charset val="134"/>
      </rPr>
      <t>应付股利</t>
    </r>
  </si>
  <si>
    <r>
      <rPr>
        <b/>
        <sz val="12"/>
        <rFont val="宋体"/>
        <family val="3"/>
        <charset val="134"/>
      </rPr>
      <t>项目</t>
    </r>
    <r>
      <rPr>
        <b/>
        <sz val="12"/>
        <color rgb="FF0000FF"/>
        <rFont val="宋体"/>
        <family val="3"/>
        <charset val="134"/>
      </rPr>
      <t>（或股东名称）</t>
    </r>
  </si>
  <si>
    <r>
      <rPr>
        <sz val="10"/>
        <color rgb="FF000000"/>
        <rFont val="宋体"/>
        <family val="3"/>
        <charset val="134"/>
      </rPr>
      <t>普通股股利</t>
    </r>
  </si>
  <si>
    <r>
      <rPr>
        <sz val="10"/>
        <color rgb="FF000000"/>
        <rFont val="宋体"/>
        <family val="3"/>
        <charset val="134"/>
      </rPr>
      <t>划分为权益工具的优先股</t>
    </r>
    <r>
      <rPr>
        <sz val="10"/>
        <color rgb="FF000000"/>
        <rFont val="Arial Narrow"/>
        <family val="2"/>
      </rPr>
      <t>\</t>
    </r>
    <r>
      <rPr>
        <sz val="10"/>
        <color rgb="FF000000"/>
        <rFont val="宋体"/>
        <family val="3"/>
        <charset val="134"/>
      </rPr>
      <t>永续债股利</t>
    </r>
  </si>
  <si>
    <r>
      <rPr>
        <sz val="10"/>
        <color rgb="FF000000"/>
        <rFont val="Arial Narrow"/>
        <family val="2"/>
      </rPr>
      <t xml:space="preserve">  </t>
    </r>
    <r>
      <rPr>
        <sz val="10"/>
        <color rgb="FF000000"/>
        <rFont val="宋体"/>
        <family val="3"/>
        <charset val="134"/>
      </rPr>
      <t>其中：工具</t>
    </r>
    <r>
      <rPr>
        <sz val="10"/>
        <color rgb="FF000000"/>
        <rFont val="Arial Narrow"/>
        <family val="2"/>
      </rPr>
      <t>1</t>
    </r>
  </si>
  <si>
    <r>
      <rPr>
        <sz val="10"/>
        <color rgb="FF000000"/>
        <rFont val="Arial Narrow"/>
        <family val="2"/>
      </rPr>
      <t xml:space="preserve">        </t>
    </r>
    <r>
      <rPr>
        <sz val="10"/>
        <color rgb="FF000000"/>
        <rFont val="宋体"/>
        <family val="3"/>
        <charset val="134"/>
      </rPr>
      <t>工具</t>
    </r>
    <r>
      <rPr>
        <sz val="10"/>
        <color rgb="FF000000"/>
        <rFont val="Arial Narrow"/>
        <family val="2"/>
      </rPr>
      <t>2</t>
    </r>
  </si>
  <si>
    <r>
      <rPr>
        <sz val="10"/>
        <rFont val="宋体"/>
        <family val="3"/>
        <charset val="134"/>
      </rPr>
      <t>重要的超过</t>
    </r>
    <r>
      <rPr>
        <sz val="10"/>
        <rFont val="Arial Narrow"/>
        <family val="2"/>
      </rPr>
      <t>1</t>
    </r>
    <r>
      <rPr>
        <sz val="10"/>
        <rFont val="宋体"/>
        <family val="3"/>
        <charset val="134"/>
      </rPr>
      <t>年未支付的应付股利：</t>
    </r>
  </si>
  <si>
    <r>
      <rPr>
        <sz val="10"/>
        <rFont val="宋体"/>
        <family val="3"/>
        <charset val="134"/>
      </rPr>
      <t>股东名称</t>
    </r>
  </si>
  <si>
    <r>
      <rPr>
        <sz val="10"/>
        <rFont val="宋体"/>
        <family val="3"/>
        <charset val="134"/>
      </rPr>
      <t>应付股利金额</t>
    </r>
  </si>
  <si>
    <r>
      <rPr>
        <sz val="10"/>
        <rFont val="宋体"/>
        <family val="3"/>
        <charset val="134"/>
      </rPr>
      <t>未支付原因</t>
    </r>
  </si>
  <si>
    <r>
      <rPr>
        <b/>
        <sz val="12"/>
        <rFont val="宋体"/>
        <family val="3"/>
        <charset val="134"/>
      </rPr>
      <t>其他应付款</t>
    </r>
  </si>
  <si>
    <r>
      <rPr>
        <b/>
        <sz val="12"/>
        <rFont val="宋体"/>
        <family val="3"/>
        <charset val="134"/>
      </rPr>
      <t>其他应付款</t>
    </r>
    <r>
      <rPr>
        <b/>
        <sz val="12"/>
        <color indexed="12"/>
        <rFont val="宋体"/>
        <family val="3"/>
        <charset val="134"/>
      </rPr>
      <t>（按款项性质列示）</t>
    </r>
  </si>
  <si>
    <r>
      <rPr>
        <sz val="10"/>
        <color rgb="FF0000FF"/>
        <rFont val="宋体"/>
        <family val="3"/>
        <charset val="134"/>
      </rPr>
      <t>押金</t>
    </r>
  </si>
  <si>
    <r>
      <rPr>
        <sz val="10"/>
        <color rgb="FF0000FF"/>
        <rFont val="宋体"/>
        <family val="3"/>
        <charset val="134"/>
      </rPr>
      <t>质保金</t>
    </r>
  </si>
  <si>
    <r>
      <rPr>
        <sz val="10"/>
        <color rgb="FF000000"/>
        <rFont val="宋体"/>
        <family val="3"/>
        <charset val="134"/>
      </rPr>
      <t>其中，账龄超过</t>
    </r>
    <r>
      <rPr>
        <sz val="10"/>
        <color indexed="8"/>
        <rFont val="Arial Narrow"/>
        <family val="2"/>
      </rPr>
      <t>1</t>
    </r>
    <r>
      <rPr>
        <sz val="10"/>
        <color indexed="8"/>
        <rFont val="宋体"/>
        <family val="3"/>
        <charset val="134"/>
      </rPr>
      <t>年的重要其他应付款</t>
    </r>
  </si>
  <si>
    <r>
      <rPr>
        <b/>
        <sz val="10"/>
        <rFont val="宋体"/>
        <family val="3"/>
        <charset val="134"/>
      </rPr>
      <t>金额</t>
    </r>
  </si>
  <si>
    <r>
      <rPr>
        <b/>
        <sz val="12"/>
        <rFont val="宋体"/>
        <family val="3"/>
        <charset val="134"/>
      </rPr>
      <t>一年内到期的非流动负债</t>
    </r>
  </si>
  <si>
    <r>
      <rPr>
        <sz val="10"/>
        <rFont val="宋体"/>
        <family val="3"/>
        <charset val="134"/>
      </rPr>
      <t>一年内到期的长期借款</t>
    </r>
  </si>
  <si>
    <r>
      <rPr>
        <sz val="10"/>
        <rFont val="宋体"/>
        <family val="3"/>
        <charset val="134"/>
      </rPr>
      <t>一年内到期的应付债券</t>
    </r>
  </si>
  <si>
    <r>
      <rPr>
        <sz val="10"/>
        <rFont val="宋体"/>
        <family val="3"/>
        <charset val="134"/>
      </rPr>
      <t>一年内到期的长期应付款</t>
    </r>
  </si>
  <si>
    <r>
      <rPr>
        <sz val="10"/>
        <rFont val="宋体"/>
        <family val="3"/>
        <charset val="134"/>
      </rPr>
      <t>一年内到期的预计负债</t>
    </r>
  </si>
  <si>
    <r>
      <rPr>
        <sz val="10"/>
        <rFont val="宋体"/>
        <family val="3"/>
        <charset val="134"/>
      </rPr>
      <t>一年内到期的递延收益</t>
    </r>
  </si>
  <si>
    <r>
      <rPr>
        <sz val="10"/>
        <color rgb="FF0000FF"/>
        <rFont val="宋体"/>
        <family val="3"/>
        <charset val="134"/>
      </rPr>
      <t>（</t>
    </r>
    <r>
      <rPr>
        <sz val="10"/>
        <rFont val="Arial Narrow"/>
        <family val="2"/>
      </rPr>
      <t>1</t>
    </r>
    <r>
      <rPr>
        <sz val="10"/>
        <rFont val="宋体"/>
        <family val="3"/>
        <charset val="134"/>
      </rPr>
      <t>）一年内到期的长期借款</t>
    </r>
  </si>
  <si>
    <r>
      <rPr>
        <sz val="10"/>
        <color rgb="FF000000"/>
        <rFont val="宋体"/>
        <family val="3"/>
        <charset val="134"/>
      </rPr>
      <t>质押借款</t>
    </r>
  </si>
  <si>
    <r>
      <rPr>
        <sz val="10"/>
        <color rgb="FF000000"/>
        <rFont val="宋体"/>
        <family val="3"/>
        <charset val="134"/>
      </rPr>
      <t>信用借款</t>
    </r>
  </si>
  <si>
    <r>
      <rPr>
        <sz val="10"/>
        <color rgb="FF0000FF"/>
        <rFont val="宋体"/>
        <family val="3"/>
        <charset val="134"/>
      </rPr>
      <t>说明：公司用于抵押、质押的财产；</t>
    </r>
  </si>
  <si>
    <r>
      <rPr>
        <sz val="10"/>
        <color indexed="10"/>
        <rFont val="宋体"/>
        <family val="3"/>
        <charset val="134"/>
      </rPr>
      <t>（</t>
    </r>
    <r>
      <rPr>
        <sz val="10"/>
        <rFont val="Arial Narrow"/>
        <family val="2"/>
      </rPr>
      <t>2</t>
    </r>
    <r>
      <rPr>
        <sz val="10"/>
        <rFont val="宋体"/>
        <family val="3"/>
        <charset val="134"/>
      </rPr>
      <t>）一年内到期的应付债券</t>
    </r>
  </si>
  <si>
    <r>
      <rPr>
        <b/>
        <sz val="10"/>
        <rFont val="宋体"/>
        <family val="3"/>
        <charset val="134"/>
      </rPr>
      <t>债券名称</t>
    </r>
  </si>
  <si>
    <r>
      <rPr>
        <b/>
        <sz val="10"/>
        <rFont val="宋体"/>
        <family val="3"/>
        <charset val="134"/>
      </rPr>
      <t>面值</t>
    </r>
  </si>
  <si>
    <r>
      <rPr>
        <b/>
        <sz val="10"/>
        <rFont val="宋体"/>
        <family val="3"/>
        <charset val="134"/>
      </rPr>
      <t>发行日期</t>
    </r>
  </si>
  <si>
    <r>
      <rPr>
        <b/>
        <sz val="10"/>
        <rFont val="宋体"/>
        <family val="3"/>
        <charset val="134"/>
      </rPr>
      <t>债券期限</t>
    </r>
  </si>
  <si>
    <r>
      <rPr>
        <b/>
        <sz val="10"/>
        <rFont val="宋体"/>
        <family val="3"/>
        <charset val="134"/>
      </rPr>
      <t>发行金额</t>
    </r>
  </si>
  <si>
    <r>
      <rPr>
        <sz val="10"/>
        <color theme="1"/>
        <rFont val="宋体"/>
        <family val="3"/>
        <charset val="134"/>
      </rPr>
      <t>一年内到期的应付债券（续）</t>
    </r>
  </si>
  <si>
    <r>
      <rPr>
        <b/>
        <sz val="10"/>
        <rFont val="宋体"/>
        <family val="3"/>
        <charset val="134"/>
      </rPr>
      <t>本期发行</t>
    </r>
  </si>
  <si>
    <r>
      <rPr>
        <b/>
        <sz val="10"/>
        <rFont val="宋体"/>
        <family val="3"/>
        <charset val="134"/>
      </rPr>
      <t>按面值计提利息</t>
    </r>
  </si>
  <si>
    <r>
      <rPr>
        <b/>
        <sz val="10"/>
        <rFont val="宋体"/>
        <family val="3"/>
        <charset val="134"/>
      </rPr>
      <t>溢折价摊销</t>
    </r>
  </si>
  <si>
    <r>
      <rPr>
        <b/>
        <sz val="10"/>
        <rFont val="宋体"/>
        <family val="3"/>
        <charset val="134"/>
      </rPr>
      <t>本期偿还</t>
    </r>
  </si>
  <si>
    <t xml:space="preserve">                   </t>
  </si>
  <si>
    <r>
      <rPr>
        <sz val="10"/>
        <color theme="1"/>
        <rFont val="宋体"/>
        <family val="3"/>
        <charset val="134"/>
      </rPr>
      <t>（</t>
    </r>
    <r>
      <rPr>
        <sz val="10"/>
        <rFont val="Arial Narrow"/>
        <family val="2"/>
      </rPr>
      <t>3</t>
    </r>
    <r>
      <rPr>
        <sz val="10"/>
        <rFont val="宋体"/>
        <family val="3"/>
        <charset val="134"/>
      </rPr>
      <t>）一年内到期的长期应付款</t>
    </r>
  </si>
  <si>
    <r>
      <rPr>
        <sz val="10"/>
        <rFont val="宋体"/>
        <family val="3"/>
        <charset val="134"/>
      </rPr>
      <t>应付融资租赁款</t>
    </r>
  </si>
  <si>
    <r>
      <rPr>
        <b/>
        <sz val="12"/>
        <rFont val="宋体"/>
        <family val="3"/>
        <charset val="134"/>
      </rPr>
      <t>其他流动负债</t>
    </r>
  </si>
  <si>
    <r>
      <rPr>
        <sz val="10"/>
        <rFont val="宋体"/>
        <family val="3"/>
        <charset val="134"/>
      </rPr>
      <t>短期应付债券</t>
    </r>
  </si>
  <si>
    <r>
      <rPr>
        <sz val="10"/>
        <color rgb="FF0000FF"/>
        <rFont val="宋体"/>
        <family val="3"/>
        <charset val="134"/>
      </rPr>
      <t>政府补助</t>
    </r>
  </si>
  <si>
    <r>
      <rPr>
        <sz val="10"/>
        <color rgb="FF0070C0"/>
        <rFont val="宋体"/>
        <family val="3"/>
        <charset val="134"/>
      </rPr>
      <t>【公司根据《企业会计准则》规定计入</t>
    </r>
    <r>
      <rPr>
        <sz val="10"/>
        <color rgb="FF0070C0"/>
        <rFont val="Arial Narrow"/>
        <family val="2"/>
      </rPr>
      <t>“</t>
    </r>
    <r>
      <rPr>
        <sz val="10"/>
        <color rgb="FF0070C0"/>
        <rFont val="宋体"/>
        <family val="3"/>
        <charset val="134"/>
      </rPr>
      <t>递延收益</t>
    </r>
    <r>
      <rPr>
        <sz val="10"/>
        <color rgb="FF0070C0"/>
        <rFont val="Arial Narrow"/>
        <family val="2"/>
      </rPr>
      <t>”</t>
    </r>
    <r>
      <rPr>
        <sz val="10"/>
        <color rgb="FF0070C0"/>
        <rFont val="宋体"/>
        <family val="3"/>
        <charset val="134"/>
      </rPr>
      <t>科目的金额，应按如下原则确定所属的报表项目：</t>
    </r>
  </si>
  <si>
    <r>
      <rPr>
        <sz val="10"/>
        <color rgb="FF0070C0"/>
        <rFont val="宋体"/>
        <family val="3"/>
        <charset val="134"/>
      </rPr>
      <t>（</t>
    </r>
    <r>
      <rPr>
        <sz val="10"/>
        <color rgb="FF0070C0"/>
        <rFont val="Arial Narrow"/>
        <family val="2"/>
      </rPr>
      <t>1</t>
    </r>
    <r>
      <rPr>
        <sz val="10"/>
        <color rgb="FF0070C0"/>
        <rFont val="宋体"/>
        <family val="3"/>
        <charset val="134"/>
      </rPr>
      <t>）取得政府补助时，预计在一年以内（含一年）转入损益的项目，应在</t>
    </r>
    <r>
      <rPr>
        <sz val="10"/>
        <color rgb="FF0070C0"/>
        <rFont val="Arial Narrow"/>
        <family val="2"/>
      </rPr>
      <t>“</t>
    </r>
    <r>
      <rPr>
        <sz val="10"/>
        <color rgb="FF0070C0"/>
        <rFont val="宋体"/>
        <family val="3"/>
        <charset val="134"/>
      </rPr>
      <t>其他流动负债</t>
    </r>
    <r>
      <rPr>
        <sz val="10"/>
        <color rgb="FF0070C0"/>
        <rFont val="Arial Narrow"/>
        <family val="2"/>
      </rPr>
      <t>”</t>
    </r>
    <r>
      <rPr>
        <sz val="10"/>
        <color rgb="FF0070C0"/>
        <rFont val="宋体"/>
        <family val="3"/>
        <charset val="134"/>
      </rPr>
      <t>项目列报；</t>
    </r>
  </si>
  <si>
    <r>
      <rPr>
        <sz val="10"/>
        <color rgb="FF0070C0"/>
        <rFont val="宋体"/>
        <family val="3"/>
        <charset val="134"/>
      </rPr>
      <t>（</t>
    </r>
    <r>
      <rPr>
        <sz val="10"/>
        <color rgb="FF0070C0"/>
        <rFont val="Arial Narrow"/>
        <family val="2"/>
      </rPr>
      <t>2</t>
    </r>
    <r>
      <rPr>
        <sz val="10"/>
        <color rgb="FF0070C0"/>
        <rFont val="宋体"/>
        <family val="3"/>
        <charset val="134"/>
      </rPr>
      <t>）取得政府补助时，预计转入损益的期限超过一年的项目：</t>
    </r>
  </si>
  <si>
    <r>
      <rPr>
        <sz val="10"/>
        <color rgb="FF0070C0"/>
        <rFont val="宋体"/>
        <family val="3"/>
        <charset val="134"/>
      </rPr>
      <t>①自资产负债表日起，下一年度转入损益的金额，应在</t>
    </r>
    <r>
      <rPr>
        <sz val="10"/>
        <color rgb="FF0070C0"/>
        <rFont val="Arial Narrow"/>
        <family val="2"/>
      </rPr>
      <t>“</t>
    </r>
    <r>
      <rPr>
        <sz val="10"/>
        <color rgb="FF0070C0"/>
        <rFont val="宋体"/>
        <family val="3"/>
        <charset val="134"/>
      </rPr>
      <t>一年内到期的其他非流动负债</t>
    </r>
    <r>
      <rPr>
        <sz val="10"/>
        <color rgb="FF0070C0"/>
        <rFont val="Arial Narrow"/>
        <family val="2"/>
      </rPr>
      <t>”</t>
    </r>
    <r>
      <rPr>
        <sz val="10"/>
        <color rgb="FF0070C0"/>
        <rFont val="宋体"/>
        <family val="3"/>
        <charset val="134"/>
      </rPr>
      <t>项目中列报；</t>
    </r>
  </si>
  <si>
    <r>
      <rPr>
        <sz val="10"/>
        <color rgb="FF0070C0"/>
        <rFont val="宋体"/>
        <family val="3"/>
        <charset val="134"/>
      </rPr>
      <t>②自资产负债表日起，将于下一年度之后转入损益的金额，在</t>
    </r>
    <r>
      <rPr>
        <sz val="10"/>
        <color rgb="FF0070C0"/>
        <rFont val="Arial Narrow"/>
        <family val="2"/>
      </rPr>
      <t>“</t>
    </r>
    <r>
      <rPr>
        <sz val="10"/>
        <color rgb="FF0070C0"/>
        <rFont val="宋体"/>
        <family val="3"/>
        <charset val="134"/>
      </rPr>
      <t>递延收益</t>
    </r>
    <r>
      <rPr>
        <sz val="10"/>
        <color rgb="FF0070C0"/>
        <rFont val="Arial Narrow"/>
        <family val="2"/>
      </rPr>
      <t>”</t>
    </r>
    <r>
      <rPr>
        <sz val="10"/>
        <color rgb="FF0070C0"/>
        <rFont val="宋体"/>
        <family val="3"/>
        <charset val="134"/>
      </rPr>
      <t>项目中列报。】</t>
    </r>
  </si>
  <si>
    <r>
      <rPr>
        <sz val="10"/>
        <rFont val="宋体"/>
        <family val="3"/>
        <charset val="134"/>
      </rPr>
      <t>（</t>
    </r>
    <r>
      <rPr>
        <sz val="10"/>
        <rFont val="Arial Narrow"/>
        <family val="2"/>
      </rPr>
      <t>1</t>
    </r>
    <r>
      <rPr>
        <sz val="10"/>
        <rFont val="宋体"/>
        <family val="3"/>
        <charset val="134"/>
      </rPr>
      <t>）短期应付债券</t>
    </r>
  </si>
  <si>
    <r>
      <rPr>
        <sz val="10"/>
        <rFont val="宋体"/>
        <family val="3"/>
        <charset val="134"/>
      </rPr>
      <t>短期应付债券（续）</t>
    </r>
  </si>
  <si>
    <r>
      <rPr>
        <sz val="10"/>
        <color rgb="FF0070C0"/>
        <rFont val="宋体"/>
        <family val="3"/>
        <charset val="134"/>
      </rPr>
      <t>（</t>
    </r>
    <r>
      <rPr>
        <sz val="10"/>
        <rFont val="Arial Narrow"/>
        <family val="2"/>
      </rPr>
      <t>2</t>
    </r>
    <r>
      <rPr>
        <sz val="10"/>
        <rFont val="宋体"/>
        <family val="3"/>
        <charset val="134"/>
      </rPr>
      <t>）递延收益</t>
    </r>
    <r>
      <rPr>
        <sz val="10"/>
        <rFont val="Arial Narrow"/>
        <family val="2"/>
      </rPr>
      <t>-</t>
    </r>
    <r>
      <rPr>
        <sz val="10"/>
        <rFont val="宋体"/>
        <family val="3"/>
        <charset val="134"/>
      </rPr>
      <t>政府补助情况</t>
    </r>
  </si>
  <si>
    <r>
      <rPr>
        <b/>
        <sz val="10"/>
        <rFont val="宋体"/>
        <family val="3"/>
        <charset val="134"/>
      </rPr>
      <t>补助项目</t>
    </r>
  </si>
  <si>
    <r>
      <rPr>
        <b/>
        <sz val="10"/>
        <rFont val="宋体"/>
        <family val="3"/>
        <charset val="134"/>
      </rPr>
      <t>本期新增补助金额</t>
    </r>
  </si>
  <si>
    <r>
      <rPr>
        <b/>
        <sz val="10"/>
        <rFont val="宋体"/>
        <family val="3"/>
        <charset val="134"/>
      </rPr>
      <t>本期计入营业外收入金额</t>
    </r>
  </si>
  <si>
    <r>
      <rPr>
        <b/>
        <sz val="10"/>
        <rFont val="宋体"/>
        <family val="3"/>
        <charset val="134"/>
      </rPr>
      <t>与资产相关</t>
    </r>
    <r>
      <rPr>
        <b/>
        <sz val="10"/>
        <rFont val="Arial Narrow"/>
        <family val="2"/>
      </rPr>
      <t>/</t>
    </r>
    <r>
      <rPr>
        <b/>
        <sz val="10"/>
        <rFont val="宋体"/>
        <family val="3"/>
        <charset val="134"/>
      </rPr>
      <t>与收益相关</t>
    </r>
  </si>
  <si>
    <r>
      <rPr>
        <b/>
        <sz val="10"/>
        <rFont val="宋体"/>
        <family val="3"/>
        <charset val="134"/>
      </rPr>
      <t>变动</t>
    </r>
  </si>
  <si>
    <r>
      <rPr>
        <b/>
        <sz val="10"/>
        <rFont val="宋体"/>
        <family val="3"/>
        <charset val="134"/>
      </rPr>
      <t>余额</t>
    </r>
  </si>
  <si>
    <r>
      <rPr>
        <sz val="10"/>
        <color rgb="FF0070C0"/>
        <rFont val="宋体"/>
        <family val="3"/>
        <charset val="134"/>
      </rPr>
      <t>（</t>
    </r>
    <r>
      <rPr>
        <i/>
        <sz val="10"/>
        <color rgb="FFFF0000"/>
        <rFont val="Arial Narrow"/>
        <family val="2"/>
      </rPr>
      <t>1</t>
    </r>
    <r>
      <rPr>
        <i/>
        <sz val="10"/>
        <color rgb="FFFF0000"/>
        <rFont val="宋体"/>
        <family val="3"/>
        <charset val="134"/>
      </rPr>
      <t>）</t>
    </r>
    <r>
      <rPr>
        <i/>
        <sz val="10"/>
        <color rgb="FFFF0000"/>
        <rFont val="Arial Narrow"/>
        <family val="2"/>
      </rPr>
      <t>XX</t>
    </r>
    <r>
      <rPr>
        <i/>
        <sz val="10"/>
        <color rgb="FFFF0000"/>
        <rFont val="宋体"/>
        <family val="3"/>
        <charset val="134"/>
      </rPr>
      <t>补助项目，相关文件未明确规定补助对象，由于该项目未来不会形成长期资产，本集团将其作为与收益相关的政府补助。</t>
    </r>
  </si>
  <si>
    <r>
      <rPr>
        <sz val="10"/>
        <color rgb="FF0070C0"/>
        <rFont val="宋体"/>
        <family val="3"/>
        <charset val="134"/>
      </rPr>
      <t>（信息披露解释性公告第</t>
    </r>
    <r>
      <rPr>
        <sz val="10"/>
        <color rgb="FF0000FF"/>
        <rFont val="Arial Narrow"/>
        <family val="2"/>
      </rPr>
      <t>2</t>
    </r>
    <r>
      <rPr>
        <sz val="10"/>
        <color rgb="FF0000FF"/>
        <rFont val="宋体"/>
        <family val="3"/>
        <charset val="134"/>
      </rPr>
      <t>号规定：公司应当遵循</t>
    </r>
    <r>
      <rPr>
        <b/>
        <u/>
        <sz val="10"/>
        <color rgb="FF0000FF"/>
        <rFont val="宋体"/>
        <family val="3"/>
        <charset val="134"/>
      </rPr>
      <t>重要性</t>
    </r>
    <r>
      <rPr>
        <sz val="10"/>
        <color rgb="FF0000FF"/>
        <rFont val="宋体"/>
        <family val="3"/>
        <charset val="134"/>
      </rPr>
      <t>原则，对涉及政府补助的负债项目，在财务报表附注的相关项目下，</t>
    </r>
    <r>
      <rPr>
        <b/>
        <u/>
        <sz val="10"/>
        <color rgb="FF0000FF"/>
        <rFont val="宋体"/>
        <family val="3"/>
        <charset val="134"/>
      </rPr>
      <t>逐项</t>
    </r>
    <r>
      <rPr>
        <sz val="10"/>
        <color rgb="FF0000FF"/>
        <rFont val="宋体"/>
        <family val="3"/>
        <charset val="134"/>
      </rPr>
      <t>披露相关期初余额、本期新增补助金额、本期计入营业外收入金额、本期转入资本公积金额以及期末余额。</t>
    </r>
    <r>
      <rPr>
        <b/>
        <u/>
        <sz val="10"/>
        <color rgb="FF0000FF"/>
        <rFont val="宋体"/>
        <family val="3"/>
        <charset val="134"/>
      </rPr>
      <t>对于相关文件未明确规定补助对象的政府补助项目，公司还应单独说明其划分依据。</t>
    </r>
    <r>
      <rPr>
        <sz val="10"/>
        <color rgb="FF0000FF"/>
        <rFont val="宋体"/>
        <family val="3"/>
        <charset val="134"/>
      </rPr>
      <t>）</t>
    </r>
  </si>
  <si>
    <r>
      <rPr>
        <b/>
        <sz val="12"/>
        <rFont val="宋体"/>
        <family val="3"/>
        <charset val="134"/>
      </rPr>
      <t>长期借款</t>
    </r>
  </si>
  <si>
    <r>
      <rPr>
        <b/>
        <sz val="10"/>
        <rFont val="宋体"/>
        <family val="3"/>
        <charset val="134"/>
      </rPr>
      <t>长期借款</t>
    </r>
  </si>
  <si>
    <r>
      <rPr>
        <b/>
        <sz val="10"/>
        <color rgb="FF000000"/>
        <rFont val="宋体"/>
        <family val="3"/>
        <charset val="134"/>
      </rPr>
      <t>利率区间</t>
    </r>
  </si>
  <si>
    <r>
      <rPr>
        <b/>
        <sz val="10"/>
        <rFont val="宋体"/>
        <family val="3"/>
        <charset val="134"/>
      </rPr>
      <t>利率区间</t>
    </r>
  </si>
  <si>
    <r>
      <rPr>
        <sz val="10"/>
        <color rgb="FF000000"/>
        <rFont val="宋体"/>
        <family val="3"/>
        <charset val="134"/>
      </rPr>
      <t>减：一年内到期的长期借款</t>
    </r>
  </si>
  <si>
    <r>
      <rPr>
        <sz val="10"/>
        <color rgb="FF0070C0"/>
        <rFont val="宋体"/>
        <family val="3"/>
        <charset val="134"/>
      </rPr>
      <t>说明：</t>
    </r>
    <r>
      <rPr>
        <sz val="10"/>
        <color rgb="FF0000FF"/>
        <rFont val="宋体"/>
        <family val="3"/>
        <charset val="134"/>
      </rPr>
      <t>公司用于抵押、质押的财产。</t>
    </r>
  </si>
  <si>
    <r>
      <rPr>
        <sz val="10"/>
        <color theme="1"/>
        <rFont val="宋体"/>
        <family val="3"/>
        <charset val="134"/>
      </rPr>
      <t>一年内到期的长期借款</t>
    </r>
  </si>
  <si>
    <r>
      <rPr>
        <sz val="10"/>
        <color rgb="FF0070C0"/>
        <rFont val="宋体"/>
        <family val="3"/>
        <charset val="134"/>
      </rPr>
      <t>说明：</t>
    </r>
    <r>
      <rPr>
        <sz val="10"/>
        <color rgb="FF0000FF"/>
        <rFont val="宋体"/>
        <family val="3"/>
        <charset val="134"/>
      </rPr>
      <t>公司用于抵押、质押的财产；</t>
    </r>
  </si>
  <si>
    <r>
      <rPr>
        <b/>
        <sz val="12"/>
        <rFont val="宋体"/>
        <family val="3"/>
        <charset val="134"/>
      </rPr>
      <t>应付债券</t>
    </r>
  </si>
  <si>
    <r>
      <rPr>
        <b/>
        <sz val="10"/>
        <rFont val="宋体"/>
        <family val="3"/>
        <charset val="134"/>
      </rPr>
      <t>应付债券</t>
    </r>
  </si>
  <si>
    <r>
      <rPr>
        <sz val="10"/>
        <color rgb="FF0070C0"/>
        <rFont val="宋体"/>
        <family val="3"/>
        <charset val="134"/>
      </rPr>
      <t>（</t>
    </r>
    <r>
      <rPr>
        <sz val="10"/>
        <rFont val="Arial Narrow"/>
        <family val="2"/>
      </rPr>
      <t>1</t>
    </r>
    <r>
      <rPr>
        <sz val="10"/>
        <rFont val="宋体"/>
        <family val="3"/>
        <charset val="134"/>
      </rPr>
      <t>）应付债券的增减变动</t>
    </r>
    <r>
      <rPr>
        <sz val="10"/>
        <color rgb="FF0000FF"/>
        <rFont val="宋体"/>
        <family val="3"/>
        <charset val="134"/>
      </rPr>
      <t>（不包括划分为金融负债的优先股、永续债等其他金融工具）</t>
    </r>
  </si>
  <si>
    <r>
      <rPr>
        <sz val="10"/>
        <rFont val="宋体"/>
        <family val="3"/>
        <charset val="134"/>
      </rPr>
      <t>应付债券（续）</t>
    </r>
  </si>
  <si>
    <r>
      <rPr>
        <sz val="10"/>
        <color rgb="FF000000"/>
        <rFont val="宋体"/>
        <family val="3"/>
        <charset val="134"/>
      </rPr>
      <t>减：一年内到期的应付债券</t>
    </r>
  </si>
  <si>
    <r>
      <rPr>
        <sz val="10"/>
        <rFont val="宋体"/>
        <family val="3"/>
        <charset val="134"/>
      </rPr>
      <t>（</t>
    </r>
    <r>
      <rPr>
        <sz val="10"/>
        <rFont val="Arial Narrow"/>
        <family val="2"/>
      </rPr>
      <t>2</t>
    </r>
    <r>
      <rPr>
        <sz val="10"/>
        <rFont val="宋体"/>
        <family val="3"/>
        <charset val="134"/>
      </rPr>
      <t>）可转换公司债券</t>
    </r>
  </si>
  <si>
    <r>
      <rPr>
        <sz val="10"/>
        <rFont val="宋体"/>
        <family val="3"/>
        <charset val="134"/>
      </rPr>
      <t>说明：</t>
    </r>
    <r>
      <rPr>
        <sz val="10"/>
        <color rgb="FF0000FF"/>
        <rFont val="宋体"/>
        <family val="3"/>
        <charset val="134"/>
      </rPr>
      <t>（可转换公司债券的转股条件、转股时间）</t>
    </r>
  </si>
  <si>
    <r>
      <rPr>
        <sz val="10"/>
        <color rgb="FFFF0000"/>
        <rFont val="宋体"/>
        <family val="3"/>
        <charset val="134"/>
      </rPr>
      <t>根据中国证券监督管理委员会证监发行字</t>
    </r>
    <r>
      <rPr>
        <sz val="10"/>
        <color rgb="FFFF0000"/>
        <rFont val="Arial Narrow"/>
        <family val="2"/>
      </rPr>
      <t>[200x]XX</t>
    </r>
    <r>
      <rPr>
        <sz val="10"/>
        <color rgb="FFFF0000"/>
        <rFont val="宋体"/>
        <family val="3"/>
        <charset val="134"/>
      </rPr>
      <t>号核准，本公司于</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日至</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日公开发行</t>
    </r>
    <r>
      <rPr>
        <sz val="10"/>
        <color rgb="FFFF0000"/>
        <rFont val="Arial Narrow"/>
        <family val="2"/>
      </rPr>
      <t>XX</t>
    </r>
    <r>
      <rPr>
        <sz val="10"/>
        <color rgb="FFFF0000"/>
        <rFont val="宋体"/>
        <family val="3"/>
        <charset val="134"/>
      </rPr>
      <t>份可转换公司债券，每份面值</t>
    </r>
    <r>
      <rPr>
        <sz val="10"/>
        <color rgb="FFFF0000"/>
        <rFont val="Arial Narrow"/>
        <family val="2"/>
      </rPr>
      <t>100</t>
    </r>
    <r>
      <rPr>
        <sz val="10"/>
        <color rgb="FFFF0000"/>
        <rFont val="宋体"/>
        <family val="3"/>
        <charset val="134"/>
      </rPr>
      <t>元，发行总额</t>
    </r>
    <r>
      <rPr>
        <sz val="10"/>
        <color rgb="FFFF0000"/>
        <rFont val="Arial Narrow"/>
        <family val="2"/>
      </rPr>
      <t>XXX</t>
    </r>
    <r>
      <rPr>
        <sz val="10"/>
        <color rgb="FFFF0000"/>
        <rFont val="宋体"/>
        <family val="3"/>
        <charset val="134"/>
      </rPr>
      <t>元，债券期限为</t>
    </r>
    <r>
      <rPr>
        <sz val="10"/>
        <color rgb="FFFF0000"/>
        <rFont val="Arial Narrow"/>
        <family val="2"/>
      </rPr>
      <t>X</t>
    </r>
    <r>
      <rPr>
        <sz val="10"/>
        <color rgb="FFFF0000"/>
        <rFont val="宋体"/>
        <family val="3"/>
        <charset val="134"/>
      </rPr>
      <t>年。</t>
    </r>
  </si>
  <si>
    <r>
      <rPr>
        <sz val="10"/>
        <color rgb="FFFF0000"/>
        <rFont val="宋体"/>
        <family val="3"/>
        <charset val="134"/>
      </rPr>
      <t>本公司发行的可转换公司债券的票面利率为</t>
    </r>
    <r>
      <rPr>
        <sz val="10"/>
        <color rgb="FFFF0000"/>
        <rFont val="Arial Narrow"/>
        <family val="2"/>
      </rPr>
      <t>X%</t>
    </r>
    <r>
      <rPr>
        <sz val="10"/>
        <color rgb="FFFF0000"/>
        <rFont val="宋体"/>
        <family val="3"/>
        <charset val="134"/>
      </rPr>
      <t>，利息按季支付，</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日为第一次派息日。转股期自发行之日起</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t>
    </r>
    <r>
      <rPr>
        <sz val="10"/>
        <color rgb="FFFF0000"/>
        <rFont val="Arial Narrow"/>
        <family val="2"/>
      </rPr>
      <t>)X</t>
    </r>
    <r>
      <rPr>
        <sz val="10"/>
        <color rgb="FFFF0000"/>
        <rFont val="宋体"/>
        <family val="3"/>
        <charset val="134"/>
      </rPr>
      <t>个月后的第一个交易日</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t>
    </r>
    <r>
      <rPr>
        <sz val="10"/>
        <color rgb="FFFF0000"/>
        <rFont val="Arial Narrow"/>
        <family val="2"/>
      </rPr>
      <t>)</t>
    </r>
    <r>
      <rPr>
        <sz val="10"/>
        <color rgb="FFFF0000"/>
        <rFont val="宋体"/>
        <family val="3"/>
        <charset val="134"/>
      </rPr>
      <t>起</t>
    </r>
    <r>
      <rPr>
        <sz val="10"/>
        <color rgb="FFFF0000"/>
        <rFont val="Arial Narrow"/>
        <family val="2"/>
      </rPr>
      <t>(</t>
    </r>
    <r>
      <rPr>
        <sz val="10"/>
        <color rgb="FFFF0000"/>
        <rFont val="宋体"/>
        <family val="3"/>
        <charset val="134"/>
      </rPr>
      <t>含当日</t>
    </r>
    <r>
      <rPr>
        <sz val="10"/>
        <color rgb="FFFF0000"/>
        <rFont val="Arial Narrow"/>
        <family val="2"/>
      </rPr>
      <t>)</t>
    </r>
    <r>
      <rPr>
        <sz val="10"/>
        <color rgb="FFFF0000"/>
        <rFont val="宋体"/>
        <family val="3"/>
        <charset val="134"/>
      </rPr>
      <t>，至可转换公司债券到期日</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t>
    </r>
    <r>
      <rPr>
        <sz val="10"/>
        <color rgb="FFFF0000"/>
        <rFont val="Arial Narrow"/>
        <family val="2"/>
      </rPr>
      <t>)</t>
    </r>
    <r>
      <rPr>
        <sz val="10"/>
        <color rgb="FFFF0000"/>
        <rFont val="宋体"/>
        <family val="3"/>
        <charset val="134"/>
      </rPr>
      <t>前一个交易日止</t>
    </r>
    <r>
      <rPr>
        <sz val="10"/>
        <color rgb="FFFF0000"/>
        <rFont val="Arial Narrow"/>
        <family val="2"/>
      </rPr>
      <t>(</t>
    </r>
    <r>
      <rPr>
        <sz val="10"/>
        <color rgb="FFFF0000"/>
        <rFont val="宋体"/>
        <family val="3"/>
        <charset val="134"/>
      </rPr>
      <t>含当日</t>
    </r>
    <r>
      <rPr>
        <sz val="10"/>
        <color rgb="FFFF0000"/>
        <rFont val="Arial Narrow"/>
        <family val="2"/>
      </rPr>
      <t>)</t>
    </r>
    <r>
      <rPr>
        <sz val="10"/>
        <color rgb="FFFF0000"/>
        <rFont val="宋体"/>
        <family val="3"/>
        <charset val="134"/>
      </rPr>
      <t>。持有人可在转股期内申请转股。</t>
    </r>
  </si>
  <si>
    <r>
      <rPr>
        <sz val="10"/>
        <color rgb="FFFF0000"/>
        <rFont val="宋体"/>
        <family val="3"/>
        <charset val="134"/>
      </rPr>
      <t>可转换公司债券发行时的初始转股价格为每股人民币</t>
    </r>
    <r>
      <rPr>
        <sz val="10"/>
        <color rgb="FFFF0000"/>
        <rFont val="Arial Narrow"/>
        <family val="2"/>
      </rPr>
      <t>X</t>
    </r>
    <r>
      <rPr>
        <sz val="10"/>
        <color rgb="FFFF0000"/>
        <rFont val="宋体"/>
        <family val="3"/>
        <charset val="134"/>
      </rPr>
      <t>元，本公司在</t>
    </r>
    <r>
      <rPr>
        <sz val="10"/>
        <color rgb="FFFF0000"/>
        <rFont val="Arial Narrow"/>
        <family val="2"/>
      </rPr>
      <t>200X</t>
    </r>
    <r>
      <rPr>
        <sz val="10"/>
        <color rgb="FFFF0000"/>
        <rFont val="宋体"/>
        <family val="3"/>
        <charset val="134"/>
      </rPr>
      <t>年</t>
    </r>
    <r>
      <rPr>
        <sz val="10"/>
        <color rgb="FFFF0000"/>
        <rFont val="Arial Narrow"/>
        <family val="2"/>
      </rPr>
      <t>X</t>
    </r>
    <r>
      <rPr>
        <sz val="10"/>
        <color rgb="FFFF0000"/>
        <rFont val="宋体"/>
        <family val="3"/>
        <charset val="134"/>
      </rPr>
      <t>月</t>
    </r>
    <r>
      <rPr>
        <sz val="10"/>
        <color rgb="FFFF0000"/>
        <rFont val="Arial Narrow"/>
        <family val="2"/>
      </rPr>
      <t>X</t>
    </r>
    <r>
      <rPr>
        <sz val="10"/>
        <color rgb="FFFF0000"/>
        <rFont val="宋体"/>
        <family val="3"/>
        <charset val="134"/>
      </rPr>
      <t>日实施</t>
    </r>
    <r>
      <rPr>
        <sz val="10"/>
        <color rgb="FFFF0000"/>
        <rFont val="Arial Narrow"/>
        <family val="2"/>
      </rPr>
      <t>200X</t>
    </r>
    <r>
      <rPr>
        <sz val="10"/>
        <color rgb="FFFF0000"/>
        <rFont val="宋体"/>
        <family val="3"/>
        <charset val="134"/>
      </rPr>
      <t>年度每股派发现金股息人民币</t>
    </r>
    <r>
      <rPr>
        <sz val="10"/>
        <color rgb="FFFF0000"/>
        <rFont val="Arial Narrow"/>
        <family val="2"/>
      </rPr>
      <t>X</t>
    </r>
    <r>
      <rPr>
        <sz val="10"/>
        <color rgb="FFFF0000"/>
        <rFont val="宋体"/>
        <family val="3"/>
        <charset val="134"/>
      </rPr>
      <t>元及用资本公积每十股转增</t>
    </r>
    <r>
      <rPr>
        <sz val="10"/>
        <color rgb="FFFF0000"/>
        <rFont val="Arial Narrow"/>
        <family val="2"/>
      </rPr>
      <t>X</t>
    </r>
    <r>
      <rPr>
        <sz val="10"/>
        <color rgb="FFFF0000"/>
        <rFont val="宋体"/>
        <family val="3"/>
        <charset val="134"/>
      </rPr>
      <t>股的方案后，可转债初始转股价格相应调整为每股人民币</t>
    </r>
    <r>
      <rPr>
        <sz val="10"/>
        <color rgb="FFFF0000"/>
        <rFont val="Arial Narrow"/>
        <family val="2"/>
      </rPr>
      <t>X</t>
    </r>
    <r>
      <rPr>
        <sz val="10"/>
        <color rgb="FFFF0000"/>
        <rFont val="宋体"/>
        <family val="3"/>
        <charset val="134"/>
      </rPr>
      <t>元。</t>
    </r>
    <r>
      <rPr>
        <b/>
        <sz val="10"/>
        <color rgb="FFFF0000"/>
        <rFont val="Arial Narrow"/>
        <family val="2"/>
      </rPr>
      <t>]</t>
    </r>
  </si>
  <si>
    <r>
      <rPr>
        <sz val="10"/>
        <color rgb="FF0070C0"/>
        <rFont val="宋体"/>
        <family val="3"/>
        <charset val="134"/>
      </rPr>
      <t>（</t>
    </r>
    <r>
      <rPr>
        <sz val="10"/>
        <rFont val="Arial Narrow"/>
        <family val="2"/>
      </rPr>
      <t>3</t>
    </r>
    <r>
      <rPr>
        <sz val="10"/>
        <rFont val="宋体"/>
        <family val="3"/>
        <charset val="134"/>
      </rPr>
      <t>）划分为金融负债的其他金融工具</t>
    </r>
  </si>
  <si>
    <r>
      <rPr>
        <sz val="10"/>
        <color rgb="FF0070C0"/>
        <rFont val="宋体"/>
        <family val="3"/>
        <charset val="134"/>
      </rPr>
      <t>【公司发行其他金融工具并划分为金融负债的，应分项披露其基本情况、期初余额、期末余额和本期增减变动情况，以及划分至金融负债的依据。】</t>
    </r>
  </si>
  <si>
    <r>
      <rPr>
        <sz val="10"/>
        <color theme="1"/>
        <rFont val="宋体"/>
        <family val="3"/>
        <charset val="134"/>
      </rPr>
      <t>期末发行在外的优先股、永续债等其他金融工具的基本情况：</t>
    </r>
  </si>
  <si>
    <r>
      <rPr>
        <sz val="10"/>
        <color rgb="FF0070C0"/>
        <rFont val="宋体"/>
        <family val="3"/>
        <charset val="134"/>
      </rPr>
      <t>【包括：各金融工具的主要条款，利息的设定机制等】</t>
    </r>
  </si>
  <si>
    <r>
      <rPr>
        <sz val="10"/>
        <color theme="1"/>
        <rFont val="宋体"/>
        <family val="3"/>
        <charset val="134"/>
      </rPr>
      <t>期末发行在外的优先股、永续债等其他金融工具变动情况表：</t>
    </r>
  </si>
  <si>
    <r>
      <rPr>
        <b/>
        <sz val="10"/>
        <color rgb="FF000000"/>
        <rFont val="宋体"/>
        <family val="3"/>
        <charset val="134"/>
      </rPr>
      <t>发行在外的金融工具</t>
    </r>
  </si>
  <si>
    <r>
      <rPr>
        <b/>
        <sz val="10"/>
        <color rgb="FF000000"/>
        <rFont val="宋体"/>
        <family val="3"/>
        <charset val="134"/>
      </rPr>
      <t>数量</t>
    </r>
  </si>
  <si>
    <r>
      <rPr>
        <sz val="10"/>
        <color rgb="FF000000"/>
        <rFont val="宋体"/>
        <family val="3"/>
        <charset val="134"/>
      </rPr>
      <t>工具</t>
    </r>
    <r>
      <rPr>
        <sz val="10"/>
        <color rgb="FF000000"/>
        <rFont val="Arial Narrow"/>
        <family val="2"/>
      </rPr>
      <t>1</t>
    </r>
  </si>
  <si>
    <r>
      <rPr>
        <sz val="10"/>
        <color theme="1"/>
        <rFont val="宋体"/>
        <family val="3"/>
        <charset val="134"/>
      </rPr>
      <t>说明</t>
    </r>
    <r>
      <rPr>
        <sz val="10"/>
        <color rgb="FF0000FF"/>
        <rFont val="宋体"/>
        <family val="3"/>
        <charset val="134"/>
      </rPr>
      <t>：划分至金融负债的依据。</t>
    </r>
  </si>
  <si>
    <r>
      <rPr>
        <b/>
        <sz val="12"/>
        <rFont val="宋体"/>
        <family val="3"/>
        <charset val="134"/>
      </rPr>
      <t>长期应付款</t>
    </r>
  </si>
  <si>
    <t>专项应付款</t>
  </si>
  <si>
    <r>
      <rPr>
        <sz val="10"/>
        <rFont val="宋体"/>
        <family val="3"/>
        <charset val="134"/>
      </rPr>
      <t>减：一年内到期长期应付款</t>
    </r>
  </si>
  <si>
    <r>
      <rPr>
        <sz val="10"/>
        <color rgb="FF0070C0"/>
        <rFont val="宋体"/>
        <family val="3"/>
        <charset val="134"/>
      </rPr>
      <t>说明：由独立第三方为公司融资租赁提供担保的金额</t>
    </r>
    <r>
      <rPr>
        <sz val="10"/>
        <rFont val="Arial Narrow"/>
        <family val="2"/>
      </rPr>
      <t>XX</t>
    </r>
    <r>
      <rPr>
        <sz val="10"/>
        <rFont val="宋体"/>
        <family val="3"/>
        <charset val="134"/>
      </rPr>
      <t>元。</t>
    </r>
  </si>
  <si>
    <r>
      <rPr>
        <b/>
        <sz val="10"/>
        <rFont val="宋体"/>
        <family val="3"/>
        <charset val="134"/>
      </rPr>
      <t>长期应付款</t>
    </r>
    <r>
      <rPr>
        <b/>
        <sz val="10"/>
        <color rgb="FF0000FF"/>
        <rFont val="宋体"/>
        <family val="3"/>
        <charset val="134"/>
      </rPr>
      <t>（按款项性质列示）</t>
    </r>
  </si>
  <si>
    <r>
      <rPr>
        <b/>
        <sz val="12"/>
        <rFont val="宋体"/>
        <family val="3"/>
        <charset val="134"/>
      </rPr>
      <t>专项应付款</t>
    </r>
  </si>
  <si>
    <r>
      <rPr>
        <b/>
        <sz val="10"/>
        <color indexed="8"/>
        <rFont val="宋体"/>
        <family val="3"/>
        <charset val="134"/>
      </rPr>
      <t>项</t>
    </r>
    <r>
      <rPr>
        <b/>
        <sz val="10"/>
        <color indexed="8"/>
        <rFont val="Arial Narrow"/>
        <family val="2"/>
      </rPr>
      <t xml:space="preserve">  </t>
    </r>
    <r>
      <rPr>
        <b/>
        <sz val="10"/>
        <color indexed="8"/>
        <rFont val="宋体"/>
        <family val="3"/>
        <charset val="134"/>
      </rPr>
      <t>目</t>
    </r>
  </si>
  <si>
    <r>
      <rPr>
        <b/>
        <sz val="10"/>
        <color indexed="8"/>
        <rFont val="宋体"/>
        <family val="3"/>
        <charset val="134"/>
      </rPr>
      <t>期初</t>
    </r>
  </si>
  <si>
    <r>
      <rPr>
        <sz val="10"/>
        <color rgb="FF0000FF"/>
        <rFont val="宋体"/>
        <family val="3"/>
        <charset val="134"/>
      </rPr>
      <t>（注：</t>
    </r>
  </si>
  <si>
    <r>
      <rPr>
        <sz val="10"/>
        <color rgb="FF0000FF"/>
        <rFont val="宋体"/>
        <family val="3"/>
        <charset val="134"/>
      </rPr>
      <t>（</t>
    </r>
    <r>
      <rPr>
        <sz val="10"/>
        <color rgb="FF0000FF"/>
        <rFont val="Arial Narrow"/>
        <family val="2"/>
      </rPr>
      <t>1</t>
    </r>
    <r>
      <rPr>
        <sz val="10"/>
        <color rgb="FF0000FF"/>
        <rFont val="宋体"/>
        <family val="3"/>
        <charset val="134"/>
      </rPr>
      <t>）应说明专项应付款的来源、指定的专门用途、使用限制等相关内容。如：该专项应付款为财政部按照</t>
    </r>
    <r>
      <rPr>
        <sz val="10"/>
        <color rgb="FF0000FF"/>
        <rFont val="Arial Narrow"/>
        <family val="2"/>
      </rPr>
      <t>XX</t>
    </r>
    <r>
      <rPr>
        <sz val="10"/>
        <color rgb="FF0000FF"/>
        <rFont val="宋体"/>
        <family val="3"/>
        <charset val="134"/>
      </rPr>
      <t>文规定拨付的</t>
    </r>
    <r>
      <rPr>
        <sz val="10"/>
        <color rgb="FF0000FF"/>
        <rFont val="Arial Narrow"/>
        <family val="2"/>
      </rPr>
      <t>X</t>
    </r>
    <r>
      <rPr>
        <sz val="10"/>
        <color rgb="FF0000FF"/>
        <rFont val="宋体"/>
        <family val="3"/>
        <charset val="134"/>
      </rPr>
      <t>项目专用设备购置款。</t>
    </r>
  </si>
  <si>
    <r>
      <rPr>
        <sz val="10"/>
        <color rgb="FF0000FF"/>
        <rFont val="宋体"/>
        <family val="3"/>
        <charset val="134"/>
      </rPr>
      <t>（</t>
    </r>
    <r>
      <rPr>
        <sz val="10"/>
        <color rgb="FF0000FF"/>
        <rFont val="Arial Narrow"/>
        <family val="2"/>
      </rPr>
      <t>2</t>
    </r>
    <r>
      <rPr>
        <sz val="10"/>
        <color rgb="FF0000FF"/>
        <rFont val="宋体"/>
        <family val="3"/>
        <charset val="134"/>
      </rPr>
      <t>）企业因城镇整体规划、库区建设、棚户区改造、沉陷区治理等公共利益进行搬迁，收到政府从财政预算直接拨付的搬迁补偿款，在专项应付款中核算。）</t>
    </r>
  </si>
  <si>
    <r>
      <rPr>
        <b/>
        <sz val="12"/>
        <rFont val="宋体"/>
        <family val="3"/>
        <charset val="134"/>
      </rPr>
      <t>长期应付职工薪酬</t>
    </r>
  </si>
  <si>
    <r>
      <rPr>
        <b/>
        <sz val="10"/>
        <color theme="1"/>
        <rFont val="宋体"/>
        <family val="3"/>
        <charset val="134"/>
      </rPr>
      <t>长期应付职工薪酬</t>
    </r>
    <r>
      <rPr>
        <b/>
        <sz val="10"/>
        <color rgb="FF0000FF"/>
        <rFont val="宋体"/>
        <family val="3"/>
        <charset val="134"/>
      </rPr>
      <t>（不适用的删除）</t>
    </r>
  </si>
  <si>
    <r>
      <rPr>
        <sz val="10"/>
        <color theme="1"/>
        <rFont val="宋体"/>
        <family val="3"/>
        <charset val="134"/>
      </rPr>
      <t>设定受益计划净负债</t>
    </r>
  </si>
  <si>
    <r>
      <rPr>
        <sz val="10"/>
        <color theme="1"/>
        <rFont val="宋体"/>
        <family val="3"/>
        <charset val="134"/>
      </rPr>
      <t>符合设定受益计划条件的其他长期职工福利的净负债</t>
    </r>
    <r>
      <rPr>
        <sz val="10"/>
        <color rgb="FF0000FF"/>
        <rFont val="宋体"/>
        <family val="3"/>
        <charset val="134"/>
      </rPr>
      <t>（不适用删除）</t>
    </r>
  </si>
  <si>
    <r>
      <rPr>
        <sz val="10"/>
        <color theme="1"/>
        <rFont val="宋体"/>
        <family val="3"/>
        <charset val="134"/>
      </rPr>
      <t>其他长期福利</t>
    </r>
  </si>
  <si>
    <r>
      <rPr>
        <sz val="10"/>
        <color theme="1"/>
        <rFont val="宋体"/>
        <family val="3"/>
        <charset val="134"/>
      </rPr>
      <t>减：一年内到期的长期应付职工薪酬</t>
    </r>
  </si>
  <si>
    <r>
      <rPr>
        <sz val="10"/>
        <color rgb="FF0070C0"/>
        <rFont val="宋体"/>
        <family val="3"/>
        <charset val="134"/>
      </rPr>
      <t>说明：</t>
    </r>
    <r>
      <rPr>
        <sz val="10"/>
        <color rgb="FF0000FF"/>
        <rFont val="Arial Narrow"/>
        <family val="2"/>
      </rPr>
      <t>1</t>
    </r>
    <r>
      <rPr>
        <sz val="10"/>
        <color rgb="FF0000FF"/>
        <rFont val="宋体"/>
        <family val="3"/>
        <charset val="134"/>
      </rPr>
      <t>、辞退福利的性质、内容及计算依据详见</t>
    </r>
    <r>
      <rPr>
        <sz val="10"/>
        <color rgb="FFFF0000"/>
        <rFont val="宋体"/>
        <family val="3"/>
        <charset val="134"/>
      </rPr>
      <t>附注五、</t>
    </r>
    <r>
      <rPr>
        <sz val="10"/>
        <color rgb="FFFF0000"/>
        <rFont val="Arial Narrow"/>
        <family val="2"/>
      </rPr>
      <t>35</t>
    </r>
    <r>
      <rPr>
        <sz val="10"/>
        <color rgb="FF0000FF"/>
        <rFont val="宋体"/>
        <family val="3"/>
        <charset val="134"/>
      </rPr>
      <t>；</t>
    </r>
  </si>
  <si>
    <r>
      <rPr>
        <sz val="10"/>
        <color rgb="FF0070C0"/>
        <rFont val="Arial Narrow"/>
        <family val="2"/>
      </rPr>
      <t>2</t>
    </r>
    <r>
      <rPr>
        <sz val="10"/>
        <color rgb="FF0000FF"/>
        <rFont val="宋体"/>
        <family val="3"/>
        <charset val="134"/>
      </rPr>
      <t>、其他长期职工福利的性质及计算依据。</t>
    </r>
  </si>
  <si>
    <r>
      <rPr>
        <b/>
        <sz val="10"/>
        <color rgb="FF0070C0"/>
        <rFont val="宋体"/>
        <family val="3"/>
        <charset val="134"/>
      </rPr>
      <t>（</t>
    </r>
    <r>
      <rPr>
        <b/>
        <sz val="10"/>
        <color theme="1"/>
        <rFont val="Arial Narrow"/>
        <family val="2"/>
      </rPr>
      <t>1</t>
    </r>
    <r>
      <rPr>
        <b/>
        <sz val="10"/>
        <color theme="1"/>
        <rFont val="宋体"/>
        <family val="3"/>
        <charset val="134"/>
      </rPr>
      <t>）设定受益计划变动情况</t>
    </r>
  </si>
  <si>
    <r>
      <rPr>
        <sz val="10"/>
        <color theme="1"/>
        <rFont val="宋体"/>
        <family val="3"/>
        <charset val="134"/>
      </rPr>
      <t>设定受益计划义务现值：</t>
    </r>
  </si>
  <si>
    <r>
      <rPr>
        <b/>
        <sz val="10"/>
        <color rgb="FF000000"/>
        <rFont val="Arial Narrow"/>
        <family val="2"/>
      </rPr>
      <t> </t>
    </r>
    <r>
      <rPr>
        <b/>
        <sz val="10"/>
        <color rgb="FF000000"/>
        <rFont val="宋体"/>
        <family val="3"/>
        <charset val="134"/>
      </rPr>
      <t>项</t>
    </r>
    <r>
      <rPr>
        <b/>
        <sz val="10"/>
        <color rgb="FF000000"/>
        <rFont val="Arial Narrow"/>
        <family val="2"/>
      </rPr>
      <t xml:space="preserve"> </t>
    </r>
    <r>
      <rPr>
        <b/>
        <sz val="10"/>
        <color rgb="FF000000"/>
        <rFont val="宋体"/>
        <family val="3"/>
        <charset val="134"/>
      </rPr>
      <t>目</t>
    </r>
  </si>
  <si>
    <r>
      <rPr>
        <b/>
        <sz val="10"/>
        <color rgb="FF000000"/>
        <rFont val="宋体"/>
        <family val="3"/>
        <charset val="134"/>
      </rPr>
      <t>本期金额</t>
    </r>
  </si>
  <si>
    <r>
      <rPr>
        <b/>
        <sz val="10"/>
        <color rgb="FF000000"/>
        <rFont val="宋体"/>
        <family val="3"/>
        <charset val="134"/>
      </rPr>
      <t>上期金额</t>
    </r>
  </si>
  <si>
    <r>
      <rPr>
        <b/>
        <sz val="10"/>
        <color rgb="FF000000"/>
        <rFont val="宋体"/>
        <family val="3"/>
        <charset val="134"/>
      </rPr>
      <t>二、计入当期损益的设定受益成本</t>
    </r>
  </si>
  <si>
    <r>
      <rPr>
        <sz val="10"/>
        <color rgb="FF000000"/>
        <rFont val="Arial Narrow"/>
        <family val="2"/>
      </rPr>
      <t>1</t>
    </r>
    <r>
      <rPr>
        <sz val="10"/>
        <color rgb="FF000000"/>
        <rFont val="宋体"/>
        <family val="3"/>
        <charset val="134"/>
      </rPr>
      <t>．当期服务成本</t>
    </r>
  </si>
  <si>
    <r>
      <rPr>
        <sz val="10"/>
        <color rgb="FF000000"/>
        <rFont val="Arial Narrow"/>
        <family val="2"/>
      </rPr>
      <t>2</t>
    </r>
    <r>
      <rPr>
        <sz val="10"/>
        <color rgb="FF000000"/>
        <rFont val="宋体"/>
        <family val="3"/>
        <charset val="134"/>
      </rPr>
      <t>．过去服务成本</t>
    </r>
  </si>
  <si>
    <r>
      <rPr>
        <sz val="10"/>
        <color rgb="FF000000"/>
        <rFont val="Arial Narrow"/>
        <family val="2"/>
      </rPr>
      <t>3</t>
    </r>
    <r>
      <rPr>
        <sz val="10"/>
        <color rgb="FF000000"/>
        <rFont val="宋体"/>
        <family val="3"/>
        <charset val="134"/>
      </rPr>
      <t>．结算利得（损失以</t>
    </r>
    <r>
      <rPr>
        <sz val="10"/>
        <color rgb="FF000000"/>
        <rFont val="Arial Narrow"/>
        <family val="2"/>
      </rPr>
      <t>“-”</t>
    </r>
    <r>
      <rPr>
        <sz val="10"/>
        <color rgb="FF000000"/>
        <rFont val="宋体"/>
        <family val="3"/>
        <charset val="134"/>
      </rPr>
      <t>表示）</t>
    </r>
  </si>
  <si>
    <r>
      <rPr>
        <sz val="10"/>
        <color rgb="FF000000"/>
        <rFont val="Arial Narrow"/>
        <family val="2"/>
      </rPr>
      <t>4</t>
    </r>
    <r>
      <rPr>
        <sz val="10"/>
        <color rgb="FF000000"/>
        <rFont val="宋体"/>
        <family val="3"/>
        <charset val="134"/>
      </rPr>
      <t>．利息净额</t>
    </r>
  </si>
  <si>
    <r>
      <rPr>
        <b/>
        <sz val="10"/>
        <color rgb="FF000000"/>
        <rFont val="宋体"/>
        <family val="3"/>
        <charset val="134"/>
      </rPr>
      <t>三、计入其他综合收益的设定受益成本</t>
    </r>
  </si>
  <si>
    <r>
      <rPr>
        <sz val="10"/>
        <color rgb="FF000000"/>
        <rFont val="Arial Narrow"/>
        <family val="2"/>
      </rPr>
      <t>1</t>
    </r>
    <r>
      <rPr>
        <sz val="10"/>
        <color rgb="FF000000"/>
        <rFont val="宋体"/>
        <family val="3"/>
        <charset val="134"/>
      </rPr>
      <t>．精算利得（损失以</t>
    </r>
    <r>
      <rPr>
        <sz val="10"/>
        <color rgb="FF000000"/>
        <rFont val="Arial Narrow"/>
        <family val="2"/>
      </rPr>
      <t>“-”</t>
    </r>
    <r>
      <rPr>
        <sz val="10"/>
        <color rgb="FF000000"/>
        <rFont val="宋体"/>
        <family val="3"/>
        <charset val="134"/>
      </rPr>
      <t>表示）</t>
    </r>
  </si>
  <si>
    <r>
      <rPr>
        <b/>
        <sz val="10"/>
        <color rgb="FF000000"/>
        <rFont val="宋体"/>
        <family val="3"/>
        <charset val="134"/>
      </rPr>
      <t>四、其他变动</t>
    </r>
  </si>
  <si>
    <r>
      <rPr>
        <sz val="10"/>
        <color rgb="FF000000"/>
        <rFont val="Arial Narrow"/>
        <family val="2"/>
      </rPr>
      <t>1</t>
    </r>
    <r>
      <rPr>
        <sz val="10"/>
        <color rgb="FF000000"/>
        <rFont val="宋体"/>
        <family val="3"/>
        <charset val="134"/>
      </rPr>
      <t>．结算时消除的负债</t>
    </r>
  </si>
  <si>
    <r>
      <rPr>
        <sz val="10"/>
        <color rgb="FF000000"/>
        <rFont val="Arial Narrow"/>
        <family val="2"/>
      </rPr>
      <t>2</t>
    </r>
    <r>
      <rPr>
        <sz val="10"/>
        <color rgb="FF000000"/>
        <rFont val="宋体"/>
        <family val="3"/>
        <charset val="134"/>
      </rPr>
      <t>．已支付的福利</t>
    </r>
  </si>
  <si>
    <r>
      <rPr>
        <b/>
        <sz val="10"/>
        <color rgb="FF000000"/>
        <rFont val="宋体"/>
        <family val="3"/>
        <charset val="134"/>
      </rPr>
      <t>五、期末余额</t>
    </r>
  </si>
  <si>
    <r>
      <rPr>
        <sz val="10"/>
        <color theme="1"/>
        <rFont val="宋体"/>
        <family val="3"/>
        <charset val="134"/>
      </rPr>
      <t>计划资产：</t>
    </r>
  </si>
  <si>
    <r>
      <rPr>
        <sz val="10"/>
        <color rgb="FF000000"/>
        <rFont val="Arial Narrow"/>
        <family val="2"/>
      </rPr>
      <t>1</t>
    </r>
    <r>
      <rPr>
        <sz val="10"/>
        <color rgb="FF000000"/>
        <rFont val="宋体"/>
        <family val="3"/>
        <charset val="134"/>
      </rPr>
      <t>．利息净额</t>
    </r>
  </si>
  <si>
    <t xml:space="preserve"> </t>
  </si>
  <si>
    <r>
      <rPr>
        <sz val="10"/>
        <color rgb="FF000000"/>
        <rFont val="Arial Narrow"/>
        <family val="2"/>
      </rPr>
      <t>1</t>
    </r>
    <r>
      <rPr>
        <sz val="10"/>
        <color rgb="FF000000"/>
        <rFont val="宋体"/>
        <family val="3"/>
        <charset val="134"/>
      </rPr>
      <t>．计划资产的回报（计入利息净额的除外）</t>
    </r>
  </si>
  <si>
    <r>
      <rPr>
        <sz val="10"/>
        <color rgb="FF000000"/>
        <rFont val="Arial Narrow"/>
        <family val="2"/>
      </rPr>
      <t>2</t>
    </r>
    <r>
      <rPr>
        <sz val="10"/>
        <color rgb="FF000000"/>
        <rFont val="宋体"/>
        <family val="3"/>
        <charset val="134"/>
      </rPr>
      <t>．资产上限影响的变动（计入利息净额的除外）</t>
    </r>
  </si>
  <si>
    <r>
      <rPr>
        <sz val="10"/>
        <color rgb="FF0000FF"/>
        <rFont val="宋体"/>
        <family val="3"/>
        <charset val="134"/>
      </rPr>
      <t>【提示：设定受益计划存在资产的，企业应当将设定受益计划义务现值减去设定受益计划资产公允价值所形成的赤字或盈余确认为一项设定受益计划净负债或净资产。】</t>
    </r>
  </si>
  <si>
    <r>
      <rPr>
        <sz val="10"/>
        <color rgb="FF000000"/>
        <rFont val="宋体"/>
        <family val="3"/>
        <charset val="134"/>
      </rPr>
      <t>设定受益计划净负债（净资产）：</t>
    </r>
  </si>
  <si>
    <r>
      <rPr>
        <sz val="10"/>
        <color rgb="FF000000"/>
        <rFont val="宋体"/>
        <family val="3"/>
        <charset val="134"/>
      </rPr>
      <t>一、期初余额</t>
    </r>
  </si>
  <si>
    <r>
      <rPr>
        <sz val="10"/>
        <color rgb="FF000000"/>
        <rFont val="宋体"/>
        <family val="3"/>
        <charset val="134"/>
      </rPr>
      <t>二、计入当期损益的设定受益成本</t>
    </r>
  </si>
  <si>
    <r>
      <rPr>
        <sz val="10"/>
        <color rgb="FF000000"/>
        <rFont val="宋体"/>
        <family val="3"/>
        <charset val="134"/>
      </rPr>
      <t>三、计入其他综合收益的设定受益成本</t>
    </r>
  </si>
  <si>
    <r>
      <rPr>
        <sz val="10"/>
        <color rgb="FF000000"/>
        <rFont val="宋体"/>
        <family val="3"/>
        <charset val="134"/>
      </rPr>
      <t>四、其他变动</t>
    </r>
  </si>
  <si>
    <r>
      <rPr>
        <sz val="10"/>
        <color rgb="FF000000"/>
        <rFont val="宋体"/>
        <family val="3"/>
        <charset val="134"/>
      </rPr>
      <t>五、期末余额</t>
    </r>
  </si>
  <si>
    <r>
      <rPr>
        <sz val="10"/>
        <color theme="1"/>
        <rFont val="宋体"/>
        <family val="3"/>
        <charset val="134"/>
      </rPr>
      <t>说明：</t>
    </r>
    <r>
      <rPr>
        <sz val="10"/>
        <color rgb="FF0000FF"/>
        <rFont val="宋体"/>
        <family val="3"/>
        <charset val="134"/>
      </rPr>
      <t>（</t>
    </r>
    <r>
      <rPr>
        <sz val="10"/>
        <color rgb="FF0000FF"/>
        <rFont val="Arial Narrow"/>
        <family val="2"/>
      </rPr>
      <t>1</t>
    </r>
    <r>
      <rPr>
        <sz val="10"/>
        <color rgb="FF0000FF"/>
        <rFont val="宋体"/>
        <family val="3"/>
        <charset val="134"/>
      </rPr>
      <t>、设定受益计划的内容、形成的原因、特征及与之相关的风险；</t>
    </r>
  </si>
  <si>
    <r>
      <rPr>
        <sz val="10"/>
        <color rgb="FF0000FF"/>
        <rFont val="宋体"/>
        <family val="3"/>
        <charset val="134"/>
      </rPr>
      <t>如有对计划的修改或结算的，还应当披露修改或结算计划的有关情况；</t>
    </r>
  </si>
  <si>
    <r>
      <rPr>
        <sz val="10"/>
        <color rgb="FF0000FF"/>
        <rFont val="Arial Narrow"/>
        <family val="2"/>
      </rPr>
      <t>2</t>
    </r>
    <r>
      <rPr>
        <sz val="10"/>
        <color rgb="FF0000FF"/>
        <rFont val="宋体"/>
        <family val="3"/>
        <charset val="134"/>
      </rPr>
      <t>、设定受益计划对公司未来现金流量的金额、时间和不确定性的影响。披露影响设定受益计划未来缴存金额的有关筹资政策和计划、下一会计年度预期将缴存的金额，设定受益义务有关到期情况的信息，如设定受益义务的加权平均期间、对有关福利支付的到期日分析等）</t>
    </r>
  </si>
  <si>
    <r>
      <rPr>
        <sz val="10"/>
        <color theme="1"/>
        <rFont val="宋体"/>
        <family val="3"/>
        <charset val="134"/>
      </rPr>
      <t>未折现的离职后福利预计到期分析：</t>
    </r>
  </si>
  <si>
    <r>
      <rPr>
        <b/>
        <sz val="10"/>
        <color rgb="FF000000"/>
        <rFont val="宋体"/>
        <family val="3"/>
        <charset val="134"/>
      </rPr>
      <t>金额</t>
    </r>
  </si>
  <si>
    <r>
      <rPr>
        <sz val="10"/>
        <color rgb="FF000000"/>
        <rFont val="Arial Narrow"/>
        <family val="2"/>
      </rPr>
      <t xml:space="preserve"> </t>
    </r>
    <r>
      <rPr>
        <sz val="10"/>
        <color rgb="FF000000"/>
        <rFont val="宋体"/>
        <family val="3"/>
        <charset val="134"/>
      </rPr>
      <t>一年以内</t>
    </r>
  </si>
  <si>
    <r>
      <rPr>
        <sz val="10"/>
        <color rgb="FF000000"/>
        <rFont val="Arial Narrow"/>
        <family val="2"/>
      </rPr>
      <t xml:space="preserve"> </t>
    </r>
    <r>
      <rPr>
        <sz val="10"/>
        <color rgb="FF000000"/>
        <rFont val="宋体"/>
        <family val="3"/>
        <charset val="134"/>
      </rPr>
      <t>一到两年</t>
    </r>
  </si>
  <si>
    <r>
      <rPr>
        <sz val="10"/>
        <color rgb="FF000000"/>
        <rFont val="Arial Narrow"/>
        <family val="2"/>
      </rPr>
      <t xml:space="preserve"> </t>
    </r>
    <r>
      <rPr>
        <sz val="10"/>
        <color rgb="FF000000"/>
        <rFont val="宋体"/>
        <family val="3"/>
        <charset val="134"/>
      </rPr>
      <t>二到五年</t>
    </r>
  </si>
  <si>
    <r>
      <rPr>
        <sz val="10"/>
        <color rgb="FF000000"/>
        <rFont val="Arial Narrow"/>
        <family val="2"/>
      </rPr>
      <t xml:space="preserve"> </t>
    </r>
    <r>
      <rPr>
        <sz val="10"/>
        <color rgb="FF000000"/>
        <rFont val="宋体"/>
        <family val="3"/>
        <charset val="134"/>
      </rPr>
      <t>五年以上</t>
    </r>
  </si>
  <si>
    <r>
      <rPr>
        <b/>
        <sz val="10"/>
        <color theme="1"/>
        <rFont val="宋体"/>
        <family val="3"/>
        <charset val="134"/>
      </rPr>
      <t>（</t>
    </r>
    <r>
      <rPr>
        <b/>
        <sz val="10"/>
        <color theme="1"/>
        <rFont val="Arial Narrow"/>
        <family val="2"/>
      </rPr>
      <t>2</t>
    </r>
    <r>
      <rPr>
        <b/>
        <sz val="10"/>
        <color theme="1"/>
        <rFont val="宋体"/>
        <family val="3"/>
        <charset val="134"/>
      </rPr>
      <t>）计划资产</t>
    </r>
  </si>
  <si>
    <r>
      <rPr>
        <b/>
        <sz val="10"/>
        <color theme="1"/>
        <rFont val="宋体"/>
        <family val="3"/>
        <charset val="134"/>
      </rPr>
      <t>计划资产的公允价值</t>
    </r>
  </si>
  <si>
    <r>
      <rPr>
        <sz val="10"/>
        <color theme="1"/>
        <rFont val="宋体"/>
        <family val="3"/>
        <charset val="134"/>
      </rPr>
      <t>现金和现金等价物</t>
    </r>
  </si>
  <si>
    <r>
      <rPr>
        <sz val="10"/>
        <color theme="1"/>
        <rFont val="宋体"/>
        <family val="3"/>
        <charset val="134"/>
      </rPr>
      <t>权益工具投资</t>
    </r>
    <r>
      <rPr>
        <sz val="10"/>
        <color theme="1"/>
        <rFont val="Arial Narrow"/>
        <family val="2"/>
      </rPr>
      <t xml:space="preserve"> </t>
    </r>
  </si>
  <si>
    <r>
      <rPr>
        <sz val="10"/>
        <color theme="1"/>
        <rFont val="Arial Narrow"/>
        <family val="2"/>
      </rPr>
      <t>1</t>
    </r>
    <r>
      <rPr>
        <sz val="10"/>
        <color theme="1"/>
        <rFont val="宋体"/>
        <family val="3"/>
        <charset val="134"/>
      </rPr>
      <t>、</t>
    </r>
    <r>
      <rPr>
        <sz val="10"/>
        <color theme="1"/>
        <rFont val="Arial Narrow"/>
        <family val="2"/>
      </rPr>
      <t>……</t>
    </r>
  </si>
  <si>
    <r>
      <rPr>
        <sz val="10"/>
        <color theme="1"/>
        <rFont val="Arial Narrow"/>
        <family val="2"/>
      </rPr>
      <t>2</t>
    </r>
    <r>
      <rPr>
        <sz val="10"/>
        <color theme="1"/>
        <rFont val="宋体"/>
        <family val="3"/>
        <charset val="134"/>
      </rPr>
      <t>、</t>
    </r>
    <r>
      <rPr>
        <sz val="10"/>
        <color theme="1"/>
        <rFont val="Arial Narrow"/>
        <family val="2"/>
      </rPr>
      <t>……</t>
    </r>
  </si>
  <si>
    <r>
      <rPr>
        <sz val="10"/>
        <color theme="1"/>
        <rFont val="宋体"/>
        <family val="3"/>
        <charset val="134"/>
      </rPr>
      <t>债务工具投资</t>
    </r>
  </si>
  <si>
    <r>
      <rPr>
        <b/>
        <sz val="10"/>
        <color theme="1"/>
        <rFont val="宋体"/>
        <family val="3"/>
        <charset val="134"/>
      </rPr>
      <t>合</t>
    </r>
    <r>
      <rPr>
        <b/>
        <sz val="10"/>
        <color theme="1"/>
        <rFont val="Arial Narrow"/>
        <family val="2"/>
      </rPr>
      <t xml:space="preserve">  </t>
    </r>
    <r>
      <rPr>
        <b/>
        <sz val="10"/>
        <color theme="1"/>
        <rFont val="宋体"/>
        <family val="3"/>
        <charset val="134"/>
      </rPr>
      <t>计</t>
    </r>
  </si>
  <si>
    <r>
      <rPr>
        <sz val="10"/>
        <color rgb="FF0000FF"/>
        <rFont val="宋体"/>
        <family val="3"/>
        <charset val="134"/>
      </rPr>
      <t>【提示：</t>
    </r>
    <r>
      <rPr>
        <sz val="10"/>
        <color rgb="FF0000FF"/>
        <rFont val="Arial Narrow"/>
        <family val="2"/>
      </rPr>
      <t>1</t>
    </r>
    <r>
      <rPr>
        <sz val="10"/>
        <color rgb="FF0000FF"/>
        <rFont val="宋体"/>
        <family val="3"/>
        <charset val="134"/>
      </rPr>
      <t>、权益工具投资按行业类型或公司规模或地域等分类；</t>
    </r>
  </si>
  <si>
    <r>
      <rPr>
        <sz val="10"/>
        <color rgb="FF0000FF"/>
        <rFont val="Arial Narrow"/>
        <family val="2"/>
      </rPr>
      <t>2</t>
    </r>
    <r>
      <rPr>
        <sz val="10"/>
        <color rgb="FF0000FF"/>
        <rFont val="宋体"/>
        <family val="3"/>
        <charset val="134"/>
      </rPr>
      <t>、债务工具投资按债务工具发行人类型或信用评级或地域等分类。】</t>
    </r>
  </si>
  <si>
    <r>
      <rPr>
        <b/>
        <sz val="10"/>
        <color theme="1"/>
        <rFont val="宋体"/>
        <family val="3"/>
        <charset val="134"/>
      </rPr>
      <t>（</t>
    </r>
    <r>
      <rPr>
        <b/>
        <sz val="10"/>
        <color theme="1"/>
        <rFont val="Arial Narrow"/>
        <family val="2"/>
      </rPr>
      <t>3</t>
    </r>
    <r>
      <rPr>
        <b/>
        <sz val="10"/>
        <color theme="1"/>
        <rFont val="宋体"/>
        <family val="3"/>
        <charset val="134"/>
      </rPr>
      <t>）精算假设</t>
    </r>
  </si>
  <si>
    <r>
      <rPr>
        <sz val="10"/>
        <color theme="1"/>
        <rFont val="宋体"/>
        <family val="3"/>
        <charset val="134"/>
      </rPr>
      <t>折现率</t>
    </r>
  </si>
  <si>
    <r>
      <rPr>
        <sz val="10"/>
        <color theme="1"/>
        <rFont val="宋体"/>
        <family val="3"/>
        <charset val="134"/>
      </rPr>
      <t>死亡率</t>
    </r>
  </si>
  <si>
    <r>
      <rPr>
        <sz val="10"/>
        <color theme="1"/>
        <rFont val="宋体"/>
        <family val="3"/>
        <charset val="134"/>
      </rPr>
      <t>预计平均寿命</t>
    </r>
  </si>
  <si>
    <r>
      <rPr>
        <sz val="10"/>
        <color theme="1"/>
        <rFont val="宋体"/>
        <family val="3"/>
        <charset val="134"/>
      </rPr>
      <t>职工的离职率</t>
    </r>
  </si>
  <si>
    <r>
      <rPr>
        <sz val="10"/>
        <color theme="1"/>
        <rFont val="宋体"/>
        <family val="3"/>
        <charset val="134"/>
      </rPr>
      <t>薪酬的预期增长率</t>
    </r>
  </si>
  <si>
    <r>
      <rPr>
        <b/>
        <sz val="10"/>
        <color theme="1"/>
        <rFont val="宋体"/>
        <family val="3"/>
        <charset val="134"/>
      </rPr>
      <t>（</t>
    </r>
    <r>
      <rPr>
        <b/>
        <sz val="10"/>
        <color theme="1"/>
        <rFont val="Arial Narrow"/>
        <family val="2"/>
      </rPr>
      <t>4</t>
    </r>
    <r>
      <rPr>
        <b/>
        <sz val="10"/>
        <color theme="1"/>
        <rFont val="宋体"/>
        <family val="3"/>
        <charset val="134"/>
      </rPr>
      <t>）敏感性分析</t>
    </r>
  </si>
  <si>
    <r>
      <rPr>
        <b/>
        <sz val="10"/>
        <color rgb="FF000000"/>
        <rFont val="Arial Narrow"/>
        <family val="2"/>
      </rPr>
      <t xml:space="preserve"> </t>
    </r>
    <r>
      <rPr>
        <b/>
        <sz val="10"/>
        <color rgb="FF000000"/>
        <rFont val="宋体"/>
        <family val="3"/>
        <charset val="134"/>
      </rPr>
      <t>假设的变动幅度</t>
    </r>
  </si>
  <si>
    <r>
      <rPr>
        <b/>
        <sz val="10"/>
        <color rgb="FF000000"/>
        <rFont val="宋体"/>
        <family val="3"/>
        <charset val="134"/>
      </rPr>
      <t>对设定受益义务现值的影响</t>
    </r>
  </si>
  <si>
    <r>
      <rPr>
        <b/>
        <sz val="10"/>
        <color rgb="FF000000"/>
        <rFont val="Arial Narrow"/>
        <family val="2"/>
      </rPr>
      <t xml:space="preserve"> </t>
    </r>
    <r>
      <rPr>
        <b/>
        <sz val="10"/>
        <color rgb="FF000000"/>
        <rFont val="宋体"/>
        <family val="3"/>
        <charset val="134"/>
      </rPr>
      <t>计划负债增加</t>
    </r>
  </si>
  <si>
    <r>
      <rPr>
        <b/>
        <sz val="10"/>
        <color rgb="FF000000"/>
        <rFont val="宋体"/>
        <family val="3"/>
        <charset val="134"/>
      </rPr>
      <t>计划负债减少</t>
    </r>
  </si>
  <si>
    <r>
      <rPr>
        <sz val="10"/>
        <color rgb="FF000000"/>
        <rFont val="宋体"/>
        <family val="3"/>
        <charset val="134"/>
      </rPr>
      <t>折现率</t>
    </r>
  </si>
  <si>
    <r>
      <rPr>
        <sz val="10"/>
        <color rgb="FF000000"/>
        <rFont val="宋体"/>
        <family val="3"/>
        <charset val="134"/>
      </rPr>
      <t>死亡率</t>
    </r>
  </si>
  <si>
    <r>
      <rPr>
        <sz val="10"/>
        <color rgb="FF000000"/>
        <rFont val="宋体"/>
        <family val="3"/>
        <charset val="134"/>
      </rPr>
      <t>职工的离职率</t>
    </r>
  </si>
  <si>
    <r>
      <rPr>
        <sz val="10"/>
        <color rgb="FF000000"/>
        <rFont val="宋体"/>
        <family val="3"/>
        <charset val="134"/>
      </rPr>
      <t>薪酬的预期增长率</t>
    </r>
  </si>
  <si>
    <r>
      <rPr>
        <sz val="10"/>
        <color rgb="FF0000FF"/>
        <rFont val="宋体"/>
        <family val="3"/>
        <charset val="134"/>
      </rPr>
      <t>上述敏感性分析是基于一个假设发生变动而其他假设均保持不变，但实际上各种假设通常是相互关联的。上述敏感性分析在计算设定受益义务现值时也同样采用累积福利单位法。</t>
    </r>
  </si>
  <si>
    <r>
      <rPr>
        <sz val="10"/>
        <color rgb="FF0000FF"/>
        <rFont val="宋体"/>
        <family val="3"/>
        <charset val="134"/>
      </rPr>
      <t>进行敏感度分析所采用的重大假设的方法和类型与以前年度比较未发生变动。</t>
    </r>
  </si>
  <si>
    <r>
      <rPr>
        <sz val="10"/>
        <color rgb="FF0000FF"/>
        <rFont val="宋体"/>
        <family val="3"/>
        <charset val="134"/>
      </rPr>
      <t>（如发生变动，应进一步说明发生的具体变动及原因。）</t>
    </r>
  </si>
  <si>
    <r>
      <rPr>
        <b/>
        <sz val="12"/>
        <rFont val="宋体"/>
        <family val="3"/>
        <charset val="134"/>
      </rPr>
      <t>预计负债</t>
    </r>
  </si>
  <si>
    <r>
      <rPr>
        <b/>
        <sz val="10"/>
        <color rgb="FF000000"/>
        <rFont val="宋体"/>
        <family val="3"/>
        <charset val="134"/>
      </rPr>
      <t>形成原因</t>
    </r>
  </si>
  <si>
    <r>
      <rPr>
        <sz val="10"/>
        <color rgb="FF000000"/>
        <rFont val="宋体"/>
        <family val="3"/>
        <charset val="134"/>
      </rPr>
      <t>对外提供担保</t>
    </r>
  </si>
  <si>
    <r>
      <rPr>
        <sz val="10"/>
        <rFont val="宋体"/>
        <family val="3"/>
        <charset val="134"/>
      </rPr>
      <t>未决诉讼</t>
    </r>
  </si>
  <si>
    <r>
      <rPr>
        <sz val="10"/>
        <rFont val="宋体"/>
        <family val="3"/>
        <charset val="134"/>
      </rPr>
      <t>产品质量保证</t>
    </r>
  </si>
  <si>
    <r>
      <rPr>
        <sz val="10"/>
        <rFont val="宋体"/>
        <family val="3"/>
        <charset val="134"/>
      </rPr>
      <t>重组义务</t>
    </r>
  </si>
  <si>
    <r>
      <rPr>
        <sz val="10"/>
        <rFont val="宋体"/>
        <family val="3"/>
        <charset val="134"/>
      </rPr>
      <t>弃置义务</t>
    </r>
  </si>
  <si>
    <r>
      <rPr>
        <sz val="10"/>
        <rFont val="宋体"/>
        <family val="3"/>
        <charset val="134"/>
      </rPr>
      <t>待执行的亏损合同</t>
    </r>
  </si>
  <si>
    <r>
      <rPr>
        <sz val="10"/>
        <color rgb="FF0000FF"/>
        <rFont val="宋体"/>
        <family val="3"/>
        <charset val="134"/>
      </rPr>
      <t>说明：</t>
    </r>
    <r>
      <rPr>
        <sz val="10"/>
        <color indexed="12"/>
        <rFont val="宋体"/>
        <family val="3"/>
        <charset val="134"/>
      </rPr>
      <t>重要的预计负债，应披露相关重要假设、估计。</t>
    </r>
  </si>
  <si>
    <r>
      <rPr>
        <b/>
        <sz val="12"/>
        <rFont val="宋体"/>
        <family val="3"/>
        <charset val="134"/>
      </rPr>
      <t>递延收益</t>
    </r>
  </si>
  <si>
    <r>
      <rPr>
        <sz val="10"/>
        <color rgb="FF000000"/>
        <rFont val="宋体"/>
        <family val="3"/>
        <charset val="134"/>
      </rPr>
      <t>政府补助</t>
    </r>
  </si>
  <si>
    <r>
      <rPr>
        <sz val="10"/>
        <color rgb="FF0000FF"/>
        <rFont val="宋体"/>
        <family val="3"/>
        <charset val="134"/>
      </rPr>
      <t>【公司根据《企业会计准则》规定计入</t>
    </r>
    <r>
      <rPr>
        <sz val="10"/>
        <color rgb="FF0000FF"/>
        <rFont val="Arial Narrow"/>
        <family val="2"/>
      </rPr>
      <t>“</t>
    </r>
    <r>
      <rPr>
        <sz val="10"/>
        <color rgb="FF0000FF"/>
        <rFont val="宋体"/>
        <family val="3"/>
        <charset val="134"/>
      </rPr>
      <t>递延收益</t>
    </r>
    <r>
      <rPr>
        <sz val="10"/>
        <color rgb="FF0000FF"/>
        <rFont val="Arial Narrow"/>
        <family val="2"/>
      </rPr>
      <t>”</t>
    </r>
    <r>
      <rPr>
        <sz val="10"/>
        <color rgb="FF0000FF"/>
        <rFont val="宋体"/>
        <family val="3"/>
        <charset val="134"/>
      </rPr>
      <t>科目的金额，应按如下原则确定所属的报表项目：</t>
    </r>
  </si>
  <si>
    <r>
      <rPr>
        <sz val="10"/>
        <color rgb="FF0000FF"/>
        <rFont val="宋体"/>
        <family val="3"/>
        <charset val="134"/>
      </rPr>
      <t>（</t>
    </r>
    <r>
      <rPr>
        <sz val="10"/>
        <color rgb="FF0000FF"/>
        <rFont val="Arial Narrow"/>
        <family val="2"/>
      </rPr>
      <t>1</t>
    </r>
    <r>
      <rPr>
        <sz val="10"/>
        <color rgb="FF0000FF"/>
        <rFont val="宋体"/>
        <family val="3"/>
        <charset val="134"/>
      </rPr>
      <t>）受益期预计在一年以内（含一年）的，应在</t>
    </r>
    <r>
      <rPr>
        <sz val="10"/>
        <color rgb="FF0000FF"/>
        <rFont val="Arial Narrow"/>
        <family val="2"/>
      </rPr>
      <t>“</t>
    </r>
    <r>
      <rPr>
        <sz val="10"/>
        <color rgb="FF0000FF"/>
        <rFont val="宋体"/>
        <family val="3"/>
        <charset val="134"/>
      </rPr>
      <t>其他流动负债</t>
    </r>
    <r>
      <rPr>
        <sz val="10"/>
        <color rgb="FF0000FF"/>
        <rFont val="Arial Narrow"/>
        <family val="2"/>
      </rPr>
      <t>”</t>
    </r>
    <r>
      <rPr>
        <sz val="10"/>
        <color rgb="FF0000FF"/>
        <rFont val="宋体"/>
        <family val="3"/>
        <charset val="134"/>
      </rPr>
      <t>项目列报；</t>
    </r>
  </si>
  <si>
    <t>（2）自资产负债表日起算的受益期限超过一年的，在“递延收益”目中列报。</t>
  </si>
  <si>
    <r>
      <rPr>
        <sz val="10"/>
        <color theme="1"/>
        <rFont val="宋体"/>
        <family val="3"/>
        <charset val="134"/>
      </rPr>
      <t>其中：递延收益</t>
    </r>
    <r>
      <rPr>
        <sz val="10"/>
        <color theme="1"/>
        <rFont val="Arial Narrow"/>
        <family val="2"/>
      </rPr>
      <t>-</t>
    </r>
    <r>
      <rPr>
        <sz val="10"/>
        <color theme="1"/>
        <rFont val="宋体"/>
        <family val="3"/>
        <charset val="134"/>
      </rPr>
      <t>政府补助情况</t>
    </r>
  </si>
  <si>
    <r>
      <rPr>
        <b/>
        <sz val="10"/>
        <rFont val="宋体"/>
        <family val="3"/>
        <charset val="134"/>
      </rPr>
      <t>其他变动</t>
    </r>
  </si>
  <si>
    <r>
      <rPr>
        <sz val="10"/>
        <color rgb="FF0000FF"/>
        <rFont val="宋体"/>
        <family val="3"/>
        <charset val="134"/>
      </rPr>
      <t>（</t>
    </r>
    <r>
      <rPr>
        <i/>
        <sz val="10"/>
        <color rgb="FFFF0000"/>
        <rFont val="Arial Narrow"/>
        <family val="2"/>
      </rPr>
      <t>1</t>
    </r>
    <r>
      <rPr>
        <i/>
        <sz val="10"/>
        <color rgb="FFFF0000"/>
        <rFont val="宋体"/>
        <family val="3"/>
        <charset val="134"/>
      </rPr>
      <t>）</t>
    </r>
    <r>
      <rPr>
        <i/>
        <sz val="10"/>
        <color rgb="FFFF0000"/>
        <rFont val="Arial Narrow"/>
        <family val="2"/>
      </rPr>
      <t>XX</t>
    </r>
    <r>
      <rPr>
        <i/>
        <sz val="10"/>
        <color rgb="FFFF0000"/>
        <rFont val="宋体"/>
        <family val="3"/>
        <charset val="134"/>
      </rPr>
      <t>补助项目，相关文件未明确规定补助对象，由于该项目未来不会形成长期资产，本集团将其作为与收益相关的政府补助。</t>
    </r>
  </si>
  <si>
    <r>
      <rPr>
        <sz val="10"/>
        <color rgb="FF0000FF"/>
        <rFont val="宋体"/>
        <family val="3"/>
        <charset val="134"/>
      </rPr>
      <t>（信息披露解释性公告第</t>
    </r>
    <r>
      <rPr>
        <sz val="10"/>
        <color rgb="FF0000FF"/>
        <rFont val="Arial Narrow"/>
        <family val="2"/>
      </rPr>
      <t>2</t>
    </r>
    <r>
      <rPr>
        <sz val="10"/>
        <color rgb="FF0000FF"/>
        <rFont val="宋体"/>
        <family val="3"/>
        <charset val="134"/>
      </rPr>
      <t>号规定：公司应当遵循</t>
    </r>
    <r>
      <rPr>
        <u/>
        <sz val="10"/>
        <color rgb="FF0000FF"/>
        <rFont val="宋体"/>
        <family val="3"/>
        <charset val="134"/>
      </rPr>
      <t>重要性</t>
    </r>
    <r>
      <rPr>
        <sz val="10"/>
        <color rgb="FF0000FF"/>
        <rFont val="宋体"/>
        <family val="3"/>
        <charset val="134"/>
      </rPr>
      <t>原则，对涉及政府补助的负债项目，在财务报表附注的相关项目下，</t>
    </r>
    <r>
      <rPr>
        <u/>
        <sz val="10"/>
        <color rgb="FF0000FF"/>
        <rFont val="宋体"/>
        <family val="3"/>
        <charset val="134"/>
      </rPr>
      <t>逐项</t>
    </r>
    <r>
      <rPr>
        <sz val="10"/>
        <color rgb="FF0000FF"/>
        <rFont val="宋体"/>
        <family val="3"/>
        <charset val="134"/>
      </rPr>
      <t>披露相关期初余额、本期新增补助金额、本期计入营业外收入金额、本期转入资本公积金额以及期末余额。</t>
    </r>
    <r>
      <rPr>
        <u/>
        <sz val="10"/>
        <color rgb="FF0000FF"/>
        <rFont val="宋体"/>
        <family val="3"/>
        <charset val="134"/>
      </rPr>
      <t>对于相关文件未明确规定补助对象的政府补助项目，公司还应单独说明其划分依据。</t>
    </r>
    <r>
      <rPr>
        <sz val="10"/>
        <color rgb="FF0000FF"/>
        <rFont val="宋体"/>
        <family val="3"/>
        <charset val="134"/>
      </rPr>
      <t>）</t>
    </r>
  </si>
  <si>
    <r>
      <rPr>
        <b/>
        <sz val="12"/>
        <rFont val="宋体"/>
        <family val="3"/>
        <charset val="134"/>
      </rPr>
      <t>其他非流动负债</t>
    </r>
  </si>
  <si>
    <r>
      <rPr>
        <b/>
        <sz val="12"/>
        <rFont val="宋体"/>
        <family val="3"/>
        <charset val="134"/>
      </rPr>
      <t>营业收入及成本</t>
    </r>
  </si>
  <si>
    <r>
      <rPr>
        <b/>
        <sz val="10"/>
        <rFont val="Arial Narrow"/>
        <family val="2"/>
      </rPr>
      <t>A</t>
    </r>
    <r>
      <rPr>
        <b/>
        <sz val="10"/>
        <rFont val="宋体"/>
        <family val="3"/>
        <charset val="134"/>
      </rPr>
      <t>、营业收入列示如下：</t>
    </r>
  </si>
  <si>
    <r>
      <rPr>
        <b/>
        <sz val="10"/>
        <color indexed="8"/>
        <rFont val="宋体"/>
        <family val="3"/>
        <charset val="134"/>
      </rPr>
      <t>本期</t>
    </r>
  </si>
  <si>
    <r>
      <rPr>
        <b/>
        <sz val="10"/>
        <color indexed="8"/>
        <rFont val="宋体"/>
        <family val="3"/>
        <charset val="134"/>
      </rPr>
      <t>收入</t>
    </r>
  </si>
  <si>
    <r>
      <rPr>
        <b/>
        <sz val="10"/>
        <color indexed="8"/>
        <rFont val="宋体"/>
        <family val="3"/>
        <charset val="134"/>
      </rPr>
      <t>成本</t>
    </r>
  </si>
  <si>
    <r>
      <rPr>
        <sz val="10"/>
        <rFont val="宋体"/>
        <family val="3"/>
        <charset val="134"/>
      </rPr>
      <t>主营业务收入</t>
    </r>
  </si>
  <si>
    <r>
      <rPr>
        <sz val="10"/>
        <rFont val="宋体"/>
        <family val="3"/>
        <charset val="134"/>
      </rPr>
      <t>其他业务收入</t>
    </r>
  </si>
  <si>
    <r>
      <rPr>
        <sz val="10"/>
        <rFont val="Arial Narrow"/>
        <family val="2"/>
      </rPr>
      <t>B</t>
    </r>
    <r>
      <rPr>
        <sz val="10"/>
        <rFont val="宋体"/>
        <family val="3"/>
        <charset val="134"/>
      </rPr>
      <t>、主营业务收入及成本列示如下：</t>
    </r>
  </si>
  <si>
    <r>
      <rPr>
        <sz val="10"/>
        <rFont val="宋体"/>
        <family val="3"/>
        <charset val="134"/>
      </rPr>
      <t>系统集成收入</t>
    </r>
  </si>
  <si>
    <r>
      <rPr>
        <sz val="10"/>
        <rFont val="宋体"/>
        <family val="3"/>
        <charset val="134"/>
      </rPr>
      <t>其中：系统产品及系统集成服务</t>
    </r>
  </si>
  <si>
    <r>
      <rPr>
        <sz val="10"/>
        <rFont val="Arial Narrow"/>
        <family val="2"/>
      </rPr>
      <t xml:space="preserve">                </t>
    </r>
    <r>
      <rPr>
        <sz val="10"/>
        <rFont val="宋体"/>
        <family val="3"/>
        <charset val="134"/>
      </rPr>
      <t>软件及软件开发</t>
    </r>
  </si>
  <si>
    <r>
      <rPr>
        <sz val="10"/>
        <rFont val="宋体"/>
        <family val="3"/>
        <charset val="134"/>
      </rPr>
      <t>专业服务收入</t>
    </r>
  </si>
  <si>
    <r>
      <rPr>
        <sz val="10"/>
        <color rgb="FF0070C0"/>
        <rFont val="宋体"/>
        <family val="3"/>
        <charset val="134"/>
      </rPr>
      <t>如果企业没有报告分部，应在此处增加披露以下内容：</t>
    </r>
    <r>
      <rPr>
        <sz val="10"/>
        <color rgb="FF0070C0"/>
        <rFont val="Arial Narrow"/>
        <family val="2"/>
      </rPr>
      <t xml:space="preserve"> </t>
    </r>
  </si>
  <si>
    <r>
      <rPr>
        <sz val="10"/>
        <color theme="1"/>
        <rFont val="宋体"/>
        <family val="3"/>
        <charset val="134"/>
      </rPr>
      <t>（</t>
    </r>
    <r>
      <rPr>
        <sz val="10"/>
        <color theme="1"/>
        <rFont val="Arial Narrow"/>
        <family val="2"/>
      </rPr>
      <t>1</t>
    </r>
    <r>
      <rPr>
        <sz val="10"/>
        <color theme="1"/>
        <rFont val="宋体"/>
        <family val="3"/>
        <charset val="134"/>
      </rPr>
      <t>）主营业务（分行业或业务）</t>
    </r>
  </si>
  <si>
    <r>
      <rPr>
        <b/>
        <sz val="10"/>
        <color theme="1"/>
        <rFont val="宋体"/>
        <family val="3"/>
        <charset val="134"/>
      </rPr>
      <t>行业（或：业务）名称</t>
    </r>
  </si>
  <si>
    <r>
      <rPr>
        <b/>
        <sz val="10"/>
        <color theme="1"/>
        <rFont val="Arial Narrow"/>
        <family val="2"/>
      </rPr>
      <t xml:space="preserve">      </t>
    </r>
    <r>
      <rPr>
        <b/>
        <sz val="10"/>
        <color theme="1"/>
        <rFont val="宋体"/>
        <family val="3"/>
        <charset val="134"/>
      </rPr>
      <t>本期发生额</t>
    </r>
  </si>
  <si>
    <r>
      <rPr>
        <b/>
        <sz val="10"/>
        <color theme="1"/>
        <rFont val="Arial Narrow"/>
        <family val="2"/>
      </rPr>
      <t xml:space="preserve">     </t>
    </r>
    <r>
      <rPr>
        <b/>
        <sz val="10"/>
        <color theme="1"/>
        <rFont val="宋体"/>
        <family val="3"/>
        <charset val="134"/>
      </rPr>
      <t>上期发生额</t>
    </r>
  </si>
  <si>
    <r>
      <rPr>
        <b/>
        <sz val="10"/>
        <color theme="1"/>
        <rFont val="宋体"/>
        <family val="3"/>
        <charset val="134"/>
      </rPr>
      <t>营业收入</t>
    </r>
  </si>
  <si>
    <r>
      <rPr>
        <b/>
        <sz val="10"/>
        <color theme="1"/>
        <rFont val="宋体"/>
        <family val="3"/>
        <charset val="134"/>
      </rPr>
      <t>营业成本</t>
    </r>
  </si>
  <si>
    <r>
      <rPr>
        <sz val="10"/>
        <color theme="1"/>
        <rFont val="宋体"/>
        <family val="3"/>
        <charset val="134"/>
      </rPr>
      <t>（</t>
    </r>
    <r>
      <rPr>
        <sz val="10"/>
        <color theme="1"/>
        <rFont val="Arial Narrow"/>
        <family val="2"/>
      </rPr>
      <t>2</t>
    </r>
    <r>
      <rPr>
        <sz val="10"/>
        <color theme="1"/>
        <rFont val="宋体"/>
        <family val="3"/>
        <charset val="134"/>
      </rPr>
      <t>）主营业务（分产品）</t>
    </r>
  </si>
  <si>
    <r>
      <rPr>
        <b/>
        <sz val="10"/>
        <color theme="1"/>
        <rFont val="宋体"/>
        <family val="3"/>
        <charset val="134"/>
      </rPr>
      <t>产品名称</t>
    </r>
  </si>
  <si>
    <r>
      <rPr>
        <sz val="10"/>
        <color theme="1"/>
        <rFont val="宋体"/>
        <family val="3"/>
        <charset val="134"/>
      </rPr>
      <t>（</t>
    </r>
    <r>
      <rPr>
        <sz val="10"/>
        <color theme="1"/>
        <rFont val="Arial Narrow"/>
        <family val="2"/>
      </rPr>
      <t>3</t>
    </r>
    <r>
      <rPr>
        <sz val="10"/>
        <color theme="1"/>
        <rFont val="宋体"/>
        <family val="3"/>
        <charset val="134"/>
      </rPr>
      <t>）主营业务（分地区）</t>
    </r>
  </si>
  <si>
    <r>
      <rPr>
        <b/>
        <sz val="10"/>
        <color theme="1"/>
        <rFont val="宋体"/>
        <family val="3"/>
        <charset val="134"/>
      </rPr>
      <t>地区名称</t>
    </r>
  </si>
  <si>
    <r>
      <rPr>
        <b/>
        <sz val="10"/>
        <rFont val="宋体"/>
        <family val="3"/>
        <charset val="134"/>
      </rPr>
      <t>计缴标准</t>
    </r>
  </si>
  <si>
    <r>
      <rPr>
        <b/>
        <sz val="10"/>
        <rFont val="宋体"/>
        <family val="3"/>
        <charset val="134"/>
      </rPr>
      <t>本期</t>
    </r>
  </si>
  <si>
    <t>消费税</t>
  </si>
  <si>
    <t>资源税</t>
  </si>
  <si>
    <t>房产税</t>
  </si>
  <si>
    <t>土地使用税</t>
  </si>
  <si>
    <t>车船使用税</t>
  </si>
  <si>
    <t>印花税</t>
  </si>
  <si>
    <r>
      <rPr>
        <b/>
        <sz val="12"/>
        <rFont val="宋体"/>
        <family val="3"/>
        <charset val="134"/>
      </rPr>
      <t>销售费用</t>
    </r>
  </si>
  <si>
    <r>
      <rPr>
        <b/>
        <sz val="12"/>
        <color rgb="FF000000"/>
        <rFont val="Arial Narrow"/>
        <family val="2"/>
      </rPr>
      <t xml:space="preserve">      </t>
    </r>
    <r>
      <rPr>
        <b/>
        <sz val="12"/>
        <color rgb="FF000000"/>
        <rFont val="宋体"/>
        <family val="3"/>
        <charset val="134"/>
      </rPr>
      <t>本期发生额</t>
    </r>
  </si>
  <si>
    <r>
      <rPr>
        <b/>
        <sz val="12"/>
        <rFont val="宋体"/>
        <family val="3"/>
        <charset val="134"/>
      </rPr>
      <t>管理费用</t>
    </r>
  </si>
  <si>
    <r>
      <rPr>
        <b/>
        <sz val="10"/>
        <color rgb="FF000000"/>
        <rFont val="Arial Narrow"/>
        <family val="2"/>
      </rPr>
      <t xml:space="preserve">      </t>
    </r>
    <r>
      <rPr>
        <b/>
        <sz val="10"/>
        <color rgb="FF000000"/>
        <rFont val="宋体"/>
        <family val="3"/>
        <charset val="134"/>
      </rPr>
      <t>本期发生额</t>
    </r>
  </si>
  <si>
    <r>
      <rPr>
        <b/>
        <sz val="12"/>
        <rFont val="宋体"/>
        <family val="3"/>
        <charset val="134"/>
      </rPr>
      <t>财务费用</t>
    </r>
  </si>
  <si>
    <r>
      <rPr>
        <sz val="10"/>
        <rFont val="宋体"/>
        <family val="3"/>
        <charset val="134"/>
      </rPr>
      <t>减：利息资本化</t>
    </r>
  </si>
  <si>
    <r>
      <rPr>
        <sz val="10"/>
        <rFont val="宋体"/>
        <family val="3"/>
        <charset val="134"/>
      </rPr>
      <t>减：利息收入</t>
    </r>
  </si>
  <si>
    <r>
      <rPr>
        <sz val="10"/>
        <rFont val="宋体"/>
        <family val="3"/>
        <charset val="134"/>
      </rPr>
      <t>承兑汇票贴息</t>
    </r>
  </si>
  <si>
    <r>
      <rPr>
        <sz val="10"/>
        <rFont val="宋体"/>
        <family val="3"/>
        <charset val="134"/>
      </rPr>
      <t>汇兑损益</t>
    </r>
  </si>
  <si>
    <r>
      <rPr>
        <sz val="10"/>
        <rFont val="宋体"/>
        <family val="3"/>
        <charset val="134"/>
      </rPr>
      <t>减：汇兑损益资本化</t>
    </r>
  </si>
  <si>
    <r>
      <rPr>
        <sz val="10"/>
        <rFont val="宋体"/>
        <family val="3"/>
        <charset val="134"/>
      </rPr>
      <t>手续费及其他</t>
    </r>
  </si>
  <si>
    <r>
      <rPr>
        <sz val="10"/>
        <rFont val="Arial Narrow"/>
        <family val="2"/>
      </rPr>
      <t>B</t>
    </r>
    <r>
      <rPr>
        <sz val="10"/>
        <rFont val="宋体"/>
        <family val="3"/>
        <charset val="134"/>
      </rPr>
      <t>、利息资本化情况描述：</t>
    </r>
    <r>
      <rPr>
        <sz val="10"/>
        <color indexed="10"/>
        <rFont val="宋体"/>
        <family val="3"/>
        <charset val="134"/>
      </rPr>
      <t>（利息资本化金额已计入的项目，所确定的资本化率）</t>
    </r>
  </si>
  <si>
    <r>
      <rPr>
        <b/>
        <sz val="12"/>
        <rFont val="宋体"/>
        <family val="3"/>
        <charset val="134"/>
      </rPr>
      <t>资产减值损失</t>
    </r>
  </si>
  <si>
    <r>
      <rPr>
        <b/>
        <sz val="12"/>
        <rFont val="宋体"/>
        <family val="3"/>
        <charset val="134"/>
      </rPr>
      <t>本期</t>
    </r>
  </si>
  <si>
    <r>
      <rPr>
        <sz val="10"/>
        <rFont val="宋体"/>
        <family val="3"/>
        <charset val="134"/>
      </rPr>
      <t>坏账损失</t>
    </r>
  </si>
  <si>
    <r>
      <rPr>
        <sz val="10"/>
        <rFont val="宋体"/>
        <family val="3"/>
        <charset val="134"/>
      </rPr>
      <t>存货跌价损失</t>
    </r>
  </si>
  <si>
    <r>
      <rPr>
        <sz val="10"/>
        <rFont val="宋体"/>
        <family val="3"/>
        <charset val="134"/>
      </rPr>
      <t>可供出售金融资产减值损失</t>
    </r>
  </si>
  <si>
    <r>
      <rPr>
        <sz val="10"/>
        <rFont val="宋体"/>
        <family val="3"/>
        <charset val="134"/>
      </rPr>
      <t>持有至到期投资减值损失</t>
    </r>
  </si>
  <si>
    <r>
      <rPr>
        <sz val="10"/>
        <rFont val="宋体"/>
        <family val="3"/>
        <charset val="134"/>
      </rPr>
      <t>长期股权投资减值损失</t>
    </r>
  </si>
  <si>
    <r>
      <rPr>
        <sz val="10"/>
        <rFont val="宋体"/>
        <family val="3"/>
        <charset val="134"/>
      </rPr>
      <t>投资性房地产减值损失</t>
    </r>
  </si>
  <si>
    <r>
      <rPr>
        <sz val="10"/>
        <rFont val="宋体"/>
        <family val="3"/>
        <charset val="134"/>
      </rPr>
      <t>固定资产减值损失</t>
    </r>
  </si>
  <si>
    <r>
      <rPr>
        <sz val="10"/>
        <rFont val="宋体"/>
        <family val="3"/>
        <charset val="134"/>
      </rPr>
      <t>工程物资减值损失</t>
    </r>
  </si>
  <si>
    <r>
      <rPr>
        <sz val="10"/>
        <rFont val="宋体"/>
        <family val="3"/>
        <charset val="134"/>
      </rPr>
      <t>在建工程减值损失</t>
    </r>
  </si>
  <si>
    <r>
      <rPr>
        <sz val="10"/>
        <rFont val="宋体"/>
        <family val="3"/>
        <charset val="134"/>
      </rPr>
      <t>生产性生物资产减值损失</t>
    </r>
  </si>
  <si>
    <r>
      <rPr>
        <sz val="10"/>
        <rFont val="宋体"/>
        <family val="3"/>
        <charset val="134"/>
      </rPr>
      <t>无形资产减值损失</t>
    </r>
  </si>
  <si>
    <r>
      <rPr>
        <sz val="10"/>
        <rFont val="宋体"/>
        <family val="3"/>
        <charset val="134"/>
      </rPr>
      <t>商誉减值损失</t>
    </r>
  </si>
  <si>
    <t>补助项目（产生其他收益的来源）</t>
  </si>
  <si>
    <t>本期发生额</t>
  </si>
  <si>
    <t>上期发生额</t>
  </si>
  <si>
    <t xml:space="preserve">与资产相关/
与收益相关
</t>
  </si>
  <si>
    <r>
      <rPr>
        <sz val="10"/>
        <rFont val="宋体"/>
        <family val="3"/>
        <charset val="134"/>
      </rPr>
      <t>固定资产处置利得</t>
    </r>
  </si>
  <si>
    <r>
      <rPr>
        <sz val="10"/>
        <rFont val="宋体"/>
        <family val="3"/>
        <charset val="134"/>
      </rPr>
      <t>无形资产处置利得</t>
    </r>
  </si>
  <si>
    <r>
      <rPr>
        <sz val="10"/>
        <rFont val="宋体"/>
        <family val="3"/>
        <charset val="134"/>
      </rPr>
      <t>非货币性资产交换利得</t>
    </r>
  </si>
  <si>
    <r>
      <rPr>
        <sz val="10"/>
        <rFont val="宋体"/>
        <family val="3"/>
        <charset val="134"/>
      </rPr>
      <t>债务重组利得</t>
    </r>
  </si>
  <si>
    <r>
      <rPr>
        <sz val="10"/>
        <rFont val="宋体"/>
        <family val="3"/>
        <charset val="134"/>
      </rPr>
      <t>捐赠利得</t>
    </r>
  </si>
  <si>
    <r>
      <rPr>
        <sz val="10"/>
        <rFont val="宋体"/>
        <family val="3"/>
        <charset val="134"/>
      </rPr>
      <t>增值税返还</t>
    </r>
  </si>
  <si>
    <r>
      <rPr>
        <sz val="10"/>
        <rFont val="宋体"/>
        <family val="3"/>
        <charset val="134"/>
      </rPr>
      <t>赔偿偿收入</t>
    </r>
  </si>
  <si>
    <r>
      <rPr>
        <sz val="10"/>
        <rFont val="宋体"/>
        <family val="3"/>
        <charset val="134"/>
      </rPr>
      <t>罚款</t>
    </r>
  </si>
  <si>
    <t>提示：与日常活动相关的政府补助，采用总额法时计入其他收益。</t>
  </si>
  <si>
    <r>
      <rPr>
        <b/>
        <sz val="12"/>
        <rFont val="宋体"/>
        <family val="3"/>
        <charset val="134"/>
      </rPr>
      <t>投资收益</t>
    </r>
  </si>
  <si>
    <r>
      <rPr>
        <b/>
        <sz val="10"/>
        <rFont val="Arial Narrow"/>
        <family val="2"/>
      </rPr>
      <t>A</t>
    </r>
    <r>
      <rPr>
        <b/>
        <sz val="10"/>
        <rFont val="宋体"/>
        <family val="3"/>
        <charset val="134"/>
      </rPr>
      <t>、按被投资单位</t>
    </r>
  </si>
  <si>
    <r>
      <rPr>
        <sz val="10"/>
        <rFont val="宋体"/>
        <family val="3"/>
        <charset val="134"/>
      </rPr>
      <t>权益法核算的长期股权投资收益</t>
    </r>
  </si>
  <si>
    <r>
      <rPr>
        <sz val="10"/>
        <rFont val="宋体"/>
        <family val="3"/>
        <charset val="134"/>
      </rPr>
      <t>处置长期股权投资产生的投资收益</t>
    </r>
  </si>
  <si>
    <r>
      <rPr>
        <sz val="10"/>
        <rFont val="宋体"/>
        <family val="3"/>
        <charset val="134"/>
      </rPr>
      <t>以公允价值计量且其变动计入当期损益的金融资产持有期间取得的投资收益</t>
    </r>
  </si>
  <si>
    <r>
      <rPr>
        <sz val="10"/>
        <rFont val="宋体"/>
        <family val="3"/>
        <charset val="134"/>
      </rPr>
      <t>持有至到期投资持有期间取得的投资收益</t>
    </r>
  </si>
  <si>
    <r>
      <rPr>
        <sz val="10"/>
        <rFont val="宋体"/>
        <family val="3"/>
        <charset val="134"/>
      </rPr>
      <t>可供出售金融资产持有期间取得的投资收益</t>
    </r>
  </si>
  <si>
    <r>
      <rPr>
        <sz val="10"/>
        <rFont val="宋体"/>
        <family val="3"/>
        <charset val="134"/>
      </rPr>
      <t>处置以公允价值计量且其变动计入当期损益的金融资产取得的投资收益</t>
    </r>
  </si>
  <si>
    <r>
      <rPr>
        <sz val="10"/>
        <rFont val="宋体"/>
        <family val="3"/>
        <charset val="134"/>
      </rPr>
      <t>处置持有至到期投资取得的投资收益</t>
    </r>
  </si>
  <si>
    <r>
      <rPr>
        <sz val="10"/>
        <rFont val="宋体"/>
        <family val="3"/>
        <charset val="134"/>
      </rPr>
      <t>处置可供出售金融资产取得的投资收益</t>
    </r>
  </si>
  <si>
    <r>
      <rPr>
        <sz val="10"/>
        <rFont val="宋体"/>
        <family val="3"/>
        <charset val="134"/>
      </rPr>
      <t>丧失控制权后，剩余股权按公允价值重新计量产生的利得</t>
    </r>
  </si>
  <si>
    <r>
      <rPr>
        <sz val="10"/>
        <rFont val="宋体"/>
        <family val="3"/>
        <charset val="134"/>
      </rPr>
      <t>投资收益汇回存在重大限制的情况</t>
    </r>
  </si>
  <si>
    <r>
      <rPr>
        <b/>
        <sz val="10"/>
        <rFont val="宋体"/>
        <family val="3"/>
        <charset val="134"/>
      </rPr>
      <t>存在限制的原因</t>
    </r>
  </si>
  <si>
    <r>
      <rPr>
        <sz val="10"/>
        <rFont val="宋体"/>
        <family val="3"/>
        <charset val="134"/>
      </rPr>
      <t>产生公允价值变动收益的来源</t>
    </r>
  </si>
  <si>
    <r>
      <rPr>
        <sz val="10"/>
        <color rgb="FF000000"/>
        <rFont val="Arial Narrow"/>
        <family val="2"/>
      </rPr>
      <t xml:space="preserve">      </t>
    </r>
    <r>
      <rPr>
        <sz val="10"/>
        <color rgb="FF000000"/>
        <rFont val="宋体"/>
        <family val="3"/>
        <charset val="134"/>
      </rPr>
      <t>本期发生额</t>
    </r>
  </si>
  <si>
    <r>
      <rPr>
        <sz val="10"/>
        <rFont val="宋体"/>
        <family val="3"/>
        <charset val="134"/>
      </rPr>
      <t>其中：衍生金融工具产生的公允价值变动收益</t>
    </r>
  </si>
  <si>
    <r>
      <rPr>
        <sz val="10"/>
        <rFont val="宋体"/>
        <family val="3"/>
        <charset val="134"/>
      </rPr>
      <t>按公允价值计量的投资性房地产</t>
    </r>
  </si>
  <si>
    <t>项目</t>
  </si>
  <si>
    <t>持有待售的非流动资产（处置组）处置利得（损失以“-”填列）</t>
  </si>
  <si>
    <t>固定资产处置利得（损失以“-”填列）</t>
  </si>
  <si>
    <t>在建工程处置利得（损失以“-”填列）</t>
  </si>
  <si>
    <t>生产性生物资产处置利得（损失以“-”填列）</t>
  </si>
  <si>
    <t>无形资产处置利得（损失以“-”填列）</t>
  </si>
  <si>
    <t>债务重组中因处置非流动资产产生的利得（损失以“-”填列）</t>
  </si>
  <si>
    <t>非货币性资产交换产生的利得（损失以“-”填列）</t>
  </si>
  <si>
    <r>
      <rPr>
        <b/>
        <sz val="12"/>
        <rFont val="宋体"/>
        <family val="3"/>
        <charset val="134"/>
      </rPr>
      <t>营业外收入</t>
    </r>
  </si>
  <si>
    <r>
      <rPr>
        <b/>
        <sz val="10"/>
        <rFont val="宋体"/>
        <family val="3"/>
        <charset val="134"/>
      </rPr>
      <t>计入当期非经常性损益的金额</t>
    </r>
  </si>
  <si>
    <t>债务重组</t>
  </si>
  <si>
    <t>接受捐赠</t>
  </si>
  <si>
    <t>政府补助</t>
  </si>
  <si>
    <t>盘盈利得</t>
  </si>
  <si>
    <r>
      <rPr>
        <b/>
        <sz val="12"/>
        <rFont val="宋体"/>
        <family val="3"/>
        <charset val="134"/>
      </rPr>
      <t>营业外支出</t>
    </r>
  </si>
  <si>
    <r>
      <rPr>
        <sz val="10"/>
        <rFont val="宋体"/>
        <family val="3"/>
        <charset val="134"/>
      </rPr>
      <t>不能修改！！！！</t>
    </r>
  </si>
  <si>
    <t>债务重组损失</t>
  </si>
  <si>
    <r>
      <rPr>
        <sz val="10"/>
        <rFont val="宋体"/>
        <family val="3"/>
        <charset val="134"/>
      </rPr>
      <t>固定资产处置损失</t>
    </r>
  </si>
  <si>
    <t>对外捐赠</t>
  </si>
  <si>
    <r>
      <rPr>
        <sz val="10"/>
        <rFont val="宋体"/>
        <family val="3"/>
        <charset val="134"/>
      </rPr>
      <t>无形资产处置损失</t>
    </r>
  </si>
  <si>
    <t>非常损失</t>
  </si>
  <si>
    <r>
      <rPr>
        <sz val="10"/>
        <rFont val="宋体"/>
        <family val="3"/>
        <charset val="134"/>
      </rPr>
      <t>非流动资产交换利得</t>
    </r>
  </si>
  <si>
    <t>盘亏损失</t>
  </si>
  <si>
    <r>
      <rPr>
        <sz val="10"/>
        <rFont val="宋体"/>
        <family val="3"/>
        <charset val="134"/>
      </rPr>
      <t>债务重组损失</t>
    </r>
  </si>
  <si>
    <t>非流动资产毁损报废损失</t>
  </si>
  <si>
    <r>
      <rPr>
        <sz val="10"/>
        <rFont val="宋体"/>
        <family val="3"/>
        <charset val="134"/>
      </rPr>
      <t>公益性捐赠支出</t>
    </r>
  </si>
  <si>
    <r>
      <rPr>
        <sz val="10"/>
        <rFont val="宋体"/>
        <family val="3"/>
        <charset val="134"/>
      </rPr>
      <t>滞纳金</t>
    </r>
  </si>
  <si>
    <r>
      <rPr>
        <sz val="10"/>
        <rFont val="宋体"/>
        <family val="3"/>
        <charset val="134"/>
      </rPr>
      <t>固定资产报废损失</t>
    </r>
  </si>
  <si>
    <r>
      <rPr>
        <b/>
        <sz val="12"/>
        <rFont val="宋体"/>
        <family val="3"/>
        <charset val="134"/>
      </rPr>
      <t>所得税费用</t>
    </r>
  </si>
  <si>
    <r>
      <rPr>
        <b/>
        <sz val="10"/>
        <rFont val="宋体"/>
        <family val="3"/>
        <charset val="134"/>
      </rPr>
      <t>（</t>
    </r>
    <r>
      <rPr>
        <b/>
        <sz val="10"/>
        <rFont val="Arial Narrow"/>
        <family val="2"/>
      </rPr>
      <t>1</t>
    </r>
    <r>
      <rPr>
        <b/>
        <sz val="10"/>
        <rFont val="宋体"/>
        <family val="3"/>
        <charset val="134"/>
      </rPr>
      <t>）所得税费用明细</t>
    </r>
  </si>
  <si>
    <r>
      <rPr>
        <sz val="10"/>
        <rFont val="宋体"/>
        <family val="3"/>
        <charset val="134"/>
      </rPr>
      <t>当期所得税</t>
    </r>
  </si>
  <si>
    <r>
      <rPr>
        <sz val="10"/>
        <rFont val="宋体"/>
        <family val="3"/>
        <charset val="134"/>
      </rPr>
      <t>递延所得税</t>
    </r>
  </si>
  <si>
    <r>
      <rPr>
        <sz val="10"/>
        <rFont val="宋体"/>
        <family val="3"/>
        <charset val="134"/>
      </rPr>
      <t>（</t>
    </r>
    <r>
      <rPr>
        <sz val="10"/>
        <rFont val="Arial Narrow"/>
        <family val="2"/>
      </rPr>
      <t>2</t>
    </r>
    <r>
      <rPr>
        <sz val="10"/>
        <rFont val="宋体"/>
        <family val="3"/>
        <charset val="134"/>
      </rPr>
      <t>）所得税费用与利润总额的关系列示如下：</t>
    </r>
  </si>
  <si>
    <r>
      <rPr>
        <sz val="10"/>
        <rFont val="宋体"/>
        <family val="3"/>
        <charset val="134"/>
      </rPr>
      <t>本期</t>
    </r>
  </si>
  <si>
    <r>
      <rPr>
        <sz val="10"/>
        <rFont val="宋体"/>
        <family val="3"/>
        <charset val="134"/>
      </rPr>
      <t>利润总额</t>
    </r>
  </si>
  <si>
    <r>
      <rPr>
        <sz val="10"/>
        <rFont val="宋体"/>
        <family val="3"/>
        <charset val="134"/>
      </rPr>
      <t>按法定（或适用）税率计算的所得税费用</t>
    </r>
    <r>
      <rPr>
        <sz val="10"/>
        <color indexed="12"/>
        <rFont val="宋体"/>
        <family val="3"/>
        <charset val="134"/>
      </rPr>
      <t>（利润总额</t>
    </r>
    <r>
      <rPr>
        <sz val="10"/>
        <color indexed="12"/>
        <rFont val="Arial Narrow"/>
        <family val="2"/>
      </rPr>
      <t>*XX%</t>
    </r>
    <r>
      <rPr>
        <sz val="10"/>
        <color indexed="12"/>
        <rFont val="宋体"/>
        <family val="3"/>
        <charset val="134"/>
      </rPr>
      <t>）</t>
    </r>
  </si>
  <si>
    <r>
      <rPr>
        <sz val="10"/>
        <rFont val="宋体"/>
        <family val="3"/>
        <charset val="134"/>
      </rPr>
      <t>某些子公司适用不同税率的影响</t>
    </r>
  </si>
  <si>
    <r>
      <rPr>
        <sz val="10"/>
        <rFont val="宋体"/>
        <family val="3"/>
        <charset val="134"/>
      </rPr>
      <t>对以前期间当期所得税的调整</t>
    </r>
  </si>
  <si>
    <r>
      <rPr>
        <sz val="10"/>
        <rFont val="宋体"/>
        <family val="3"/>
        <charset val="134"/>
      </rPr>
      <t>归属于合营企业和联营企业的损益</t>
    </r>
  </si>
  <si>
    <r>
      <rPr>
        <sz val="10"/>
        <rFont val="宋体"/>
        <family val="3"/>
        <charset val="134"/>
      </rPr>
      <t>无须纳税的收入</t>
    </r>
  </si>
  <si>
    <r>
      <rPr>
        <sz val="10"/>
        <rFont val="宋体"/>
        <family val="3"/>
        <charset val="134"/>
      </rPr>
      <t>不可抵扣的费用</t>
    </r>
  </si>
  <si>
    <r>
      <rPr>
        <sz val="10"/>
        <rFont val="宋体"/>
        <family val="3"/>
        <charset val="134"/>
      </rPr>
      <t>税率变动的影响对期初递延所得税余额的影响</t>
    </r>
  </si>
  <si>
    <r>
      <rPr>
        <sz val="10"/>
        <rFont val="宋体"/>
        <family val="3"/>
        <charset val="134"/>
      </rPr>
      <t>利用以前期间的税务亏损</t>
    </r>
  </si>
  <si>
    <r>
      <rPr>
        <sz val="10"/>
        <rFont val="宋体"/>
        <family val="3"/>
        <charset val="134"/>
      </rPr>
      <t>未确认递延所得税的税务亏损</t>
    </r>
  </si>
  <si>
    <r>
      <rPr>
        <sz val="10"/>
        <color indexed="8"/>
        <rFont val="宋体"/>
        <family val="3"/>
        <charset val="134"/>
      </rPr>
      <t>报表金额</t>
    </r>
    <r>
      <rPr>
        <sz val="10"/>
        <color indexed="8"/>
        <rFont val="Arial Narrow"/>
        <family val="2"/>
      </rPr>
      <t>-</t>
    </r>
    <r>
      <rPr>
        <sz val="10"/>
        <color indexed="8"/>
        <rFont val="宋体"/>
        <family val="3"/>
        <charset val="134"/>
      </rPr>
      <t>所得税费用</t>
    </r>
  </si>
  <si>
    <r>
      <rPr>
        <sz val="10"/>
        <color indexed="8"/>
        <rFont val="宋体"/>
        <family val="3"/>
        <charset val="134"/>
      </rPr>
      <t>报表金额</t>
    </r>
    <r>
      <rPr>
        <sz val="10"/>
        <color indexed="8"/>
        <rFont val="Arial Narrow"/>
        <family val="2"/>
      </rPr>
      <t>-</t>
    </r>
    <r>
      <rPr>
        <sz val="10"/>
        <color indexed="8"/>
        <rFont val="宋体"/>
        <family val="3"/>
        <charset val="134"/>
      </rPr>
      <t>利润总额</t>
    </r>
  </si>
  <si>
    <r>
      <rPr>
        <b/>
        <sz val="12"/>
        <rFont val="宋体"/>
        <family val="3"/>
        <charset val="134"/>
      </rPr>
      <t>收到的其他与经营活动有关的现金</t>
    </r>
  </si>
  <si>
    <r>
      <rPr>
        <b/>
        <sz val="12"/>
        <rFont val="宋体"/>
        <family val="3"/>
        <charset val="134"/>
      </rPr>
      <t>支付的其他与经营活动有关的现金</t>
    </r>
  </si>
  <si>
    <r>
      <rPr>
        <b/>
        <sz val="12"/>
        <rFont val="宋体"/>
        <family val="3"/>
        <charset val="134"/>
      </rPr>
      <t>其中：</t>
    </r>
  </si>
  <si>
    <r>
      <rPr>
        <b/>
        <sz val="12"/>
        <rFont val="宋体"/>
        <family val="3"/>
        <charset val="134"/>
      </rPr>
      <t>收到的其他与投资活动有关的现金</t>
    </r>
  </si>
  <si>
    <r>
      <rPr>
        <b/>
        <sz val="12"/>
        <rFont val="宋体"/>
        <family val="3"/>
        <charset val="134"/>
      </rPr>
      <t>支付的其他与投资活动有关的现金</t>
    </r>
  </si>
  <si>
    <r>
      <rPr>
        <b/>
        <sz val="12"/>
        <rFont val="宋体"/>
        <family val="3"/>
        <charset val="134"/>
      </rPr>
      <t>收到的其他与筹资活动有关的现金</t>
    </r>
  </si>
  <si>
    <r>
      <rPr>
        <b/>
        <sz val="12"/>
        <rFont val="宋体"/>
        <family val="3"/>
        <charset val="134"/>
      </rPr>
      <t>支付的其他与筹资活动有关的现金</t>
    </r>
  </si>
  <si>
    <r>
      <rPr>
        <b/>
        <sz val="12"/>
        <rFont val="宋体"/>
        <family val="3"/>
        <charset val="134"/>
      </rPr>
      <t>现金流量表补充资料</t>
    </r>
  </si>
  <si>
    <r>
      <rPr>
        <sz val="10"/>
        <rFont val="Arial Narrow"/>
        <family val="2"/>
      </rPr>
      <t>1</t>
    </r>
    <r>
      <rPr>
        <sz val="10"/>
        <rFont val="宋体"/>
        <family val="3"/>
        <charset val="134"/>
      </rPr>
      <t>、将净利润调节为经营活动现金流量：</t>
    </r>
  </si>
  <si>
    <r>
      <rPr>
        <sz val="10"/>
        <rFont val="宋体"/>
        <family val="3"/>
        <charset val="134"/>
      </rPr>
      <t>加：资产减值准备</t>
    </r>
  </si>
  <si>
    <r>
      <rPr>
        <sz val="10"/>
        <rFont val="宋体"/>
        <family val="3"/>
        <charset val="134"/>
      </rPr>
      <t>固定资产折旧、油气资产折耗、生产性生物资产折旧</t>
    </r>
  </si>
  <si>
    <r>
      <rPr>
        <sz val="10"/>
        <rFont val="宋体"/>
        <family val="3"/>
        <charset val="134"/>
      </rPr>
      <t>无形资产摊销</t>
    </r>
  </si>
  <si>
    <r>
      <rPr>
        <sz val="10"/>
        <rFont val="宋体"/>
        <family val="3"/>
        <charset val="134"/>
      </rPr>
      <t>长期待摊费用摊销</t>
    </r>
  </si>
  <si>
    <r>
      <rPr>
        <sz val="10"/>
        <rFont val="宋体"/>
        <family val="3"/>
        <charset val="134"/>
      </rPr>
      <t>处置固定资产、无形资产和其他长期资产的损失（收益以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</si>
  <si>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固定资产报废损失（收益以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</si>
  <si>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公允价值变动损失（收益以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</si>
  <si>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财务费用（收益以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</si>
  <si>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投资损失（收益以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</si>
  <si>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递延所得税资产减少（增加以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</si>
  <si>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递延所得税负债增加（减少以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</si>
  <si>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存货的减少（增加以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</si>
  <si>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经营性应收项目的减少（增加以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</si>
  <si>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经营性应付项目的增加（减少以</t>
    </r>
    <r>
      <rPr>
        <sz val="10"/>
        <rFont val="Arial Narrow"/>
        <family val="2"/>
      </rPr>
      <t>“</t>
    </r>
    <r>
      <rPr>
        <sz val="10"/>
        <rFont val="宋体"/>
        <family val="3"/>
        <charset val="134"/>
      </rPr>
      <t>－</t>
    </r>
    <r>
      <rPr>
        <sz val="10"/>
        <rFont val="Arial Narrow"/>
        <family val="2"/>
      </rPr>
      <t>”</t>
    </r>
    <r>
      <rPr>
        <sz val="10"/>
        <rFont val="宋体"/>
        <family val="3"/>
        <charset val="134"/>
      </rPr>
      <t>号填列）</t>
    </r>
  </si>
  <si>
    <r>
      <rPr>
        <sz val="10"/>
        <rFont val="宋体"/>
        <family val="3"/>
        <charset val="134"/>
      </rPr>
      <t>经营活动产生的现金流量净额</t>
    </r>
  </si>
  <si>
    <r>
      <rPr>
        <sz val="10"/>
        <rFont val="Arial Narrow"/>
        <family val="2"/>
      </rPr>
      <t>2</t>
    </r>
    <r>
      <rPr>
        <sz val="10"/>
        <rFont val="宋体"/>
        <family val="3"/>
        <charset val="134"/>
      </rPr>
      <t>、不涉及现金收支的重大投资和筹资活动：</t>
    </r>
  </si>
  <si>
    <r>
      <rPr>
        <sz val="10"/>
        <rFont val="宋体"/>
        <family val="3"/>
        <charset val="134"/>
      </rPr>
      <t>债务转为资本</t>
    </r>
  </si>
  <si>
    <r>
      <rPr>
        <sz val="10"/>
        <rFont val="宋体"/>
        <family val="3"/>
        <charset val="134"/>
      </rPr>
      <t>一年内到期的可转换公司债券</t>
    </r>
  </si>
  <si>
    <r>
      <rPr>
        <sz val="10"/>
        <rFont val="宋体"/>
        <family val="3"/>
        <charset val="134"/>
      </rPr>
      <t>融资租入固定资产</t>
    </r>
  </si>
  <si>
    <r>
      <rPr>
        <sz val="10"/>
        <rFont val="Arial Narrow"/>
        <family val="2"/>
      </rPr>
      <t>3</t>
    </r>
    <r>
      <rPr>
        <sz val="10"/>
        <rFont val="宋体"/>
        <family val="3"/>
        <charset val="134"/>
      </rPr>
      <t>、现金及现金等价物净变动情况：</t>
    </r>
  </si>
  <si>
    <r>
      <rPr>
        <sz val="10"/>
        <rFont val="宋体"/>
        <family val="3"/>
        <charset val="134"/>
      </rPr>
      <t>现金的期末余额</t>
    </r>
  </si>
  <si>
    <r>
      <rPr>
        <sz val="10"/>
        <rFont val="宋体"/>
        <family val="3"/>
        <charset val="134"/>
      </rPr>
      <t>减：现金的期初余额</t>
    </r>
  </si>
  <si>
    <r>
      <rPr>
        <sz val="10"/>
        <rFont val="宋体"/>
        <family val="3"/>
        <charset val="134"/>
      </rPr>
      <t>加：现金等价物的期末余额</t>
    </r>
  </si>
  <si>
    <r>
      <rPr>
        <sz val="10"/>
        <rFont val="宋体"/>
        <family val="3"/>
        <charset val="134"/>
      </rPr>
      <t>减：现金等价物的期初余额</t>
    </r>
  </si>
  <si>
    <r>
      <rPr>
        <sz val="10"/>
        <rFont val="宋体"/>
        <family val="3"/>
        <charset val="134"/>
      </rPr>
      <t>现金及现金等价物净增加额</t>
    </r>
  </si>
  <si>
    <r>
      <rPr>
        <sz val="10"/>
        <rFont val="宋体"/>
        <family val="3"/>
        <charset val="134"/>
      </rPr>
      <t>（</t>
    </r>
    <r>
      <rPr>
        <sz val="10"/>
        <rFont val="Arial Narrow"/>
        <family val="2"/>
      </rPr>
      <t>2</t>
    </r>
    <r>
      <rPr>
        <sz val="10"/>
        <rFont val="宋体"/>
        <family val="3"/>
        <charset val="134"/>
      </rPr>
      <t>）本期支付的取得子公司的现金净额</t>
    </r>
  </si>
  <si>
    <r>
      <rPr>
        <b/>
        <sz val="10"/>
        <rFont val="宋体"/>
        <family val="3"/>
        <charset val="134"/>
      </rPr>
      <t>项</t>
    </r>
    <r>
      <rPr>
        <b/>
        <sz val="10"/>
        <color rgb="FF000000"/>
        <rFont val="Arial Narrow"/>
        <family val="2"/>
      </rPr>
      <t xml:space="preserve">  </t>
    </r>
    <r>
      <rPr>
        <b/>
        <sz val="10"/>
        <color rgb="FF000000"/>
        <rFont val="宋体"/>
        <family val="3"/>
        <charset val="134"/>
      </rPr>
      <t>目</t>
    </r>
  </si>
  <si>
    <r>
      <rPr>
        <b/>
        <sz val="10"/>
        <rFont val="宋体"/>
        <family val="3"/>
        <charset val="134"/>
      </rPr>
      <t>本期发生额</t>
    </r>
    <r>
      <rPr>
        <b/>
        <sz val="10"/>
        <rFont val="Arial Narrow"/>
        <family val="2"/>
      </rPr>
      <t xml:space="preserve"> </t>
    </r>
  </si>
  <si>
    <r>
      <rPr>
        <sz val="10"/>
        <rFont val="宋体"/>
        <family val="3"/>
        <charset val="134"/>
      </rPr>
      <t>本期发生的企业合并于本期支付的现金或现金等价物</t>
    </r>
  </si>
  <si>
    <r>
      <rPr>
        <sz val="10"/>
        <rFont val="宋体"/>
        <family val="3"/>
        <charset val="134"/>
      </rPr>
      <t>其中：</t>
    </r>
    <r>
      <rPr>
        <sz val="10"/>
        <color rgb="FF000000"/>
        <rFont val="Arial Narrow"/>
        <family val="2"/>
      </rPr>
      <t>XX</t>
    </r>
    <r>
      <rPr>
        <sz val="10"/>
        <color rgb="FF000000"/>
        <rFont val="宋体"/>
        <family val="3"/>
        <charset val="134"/>
      </rPr>
      <t>公司</t>
    </r>
  </si>
  <si>
    <r>
      <rPr>
        <sz val="10"/>
        <rFont val="Arial Narrow"/>
        <family val="2"/>
      </rPr>
      <t xml:space="preserve">      XX</t>
    </r>
    <r>
      <rPr>
        <sz val="10"/>
        <color rgb="FF000000"/>
        <rFont val="宋体"/>
        <family val="3"/>
        <charset val="134"/>
      </rPr>
      <t>公司</t>
    </r>
  </si>
  <si>
    <r>
      <rPr>
        <sz val="10"/>
        <rFont val="宋体"/>
        <family val="3"/>
        <charset val="134"/>
      </rPr>
      <t>减：购买日子公司持有的现金及现金等价物</t>
    </r>
  </si>
  <si>
    <r>
      <rPr>
        <sz val="10"/>
        <rFont val="宋体"/>
        <family val="3"/>
        <charset val="134"/>
      </rPr>
      <t>加：以前期间发生的企业合并于本期支付的现金或现金等价物</t>
    </r>
  </si>
  <si>
    <r>
      <rPr>
        <sz val="10"/>
        <rFont val="宋体"/>
        <family val="3"/>
        <charset val="134"/>
      </rPr>
      <t>取得子公司支付的现金净额</t>
    </r>
  </si>
  <si>
    <r>
      <rPr>
        <sz val="10"/>
        <rFont val="宋体"/>
        <family val="3"/>
        <charset val="134"/>
      </rPr>
      <t>（</t>
    </r>
    <r>
      <rPr>
        <sz val="10"/>
        <rFont val="Arial Narrow"/>
        <family val="2"/>
      </rPr>
      <t>3</t>
    </r>
    <r>
      <rPr>
        <sz val="10"/>
        <rFont val="宋体"/>
        <family val="3"/>
        <charset val="134"/>
      </rPr>
      <t>）本期收到的处置子公司的现金净额</t>
    </r>
  </si>
  <si>
    <r>
      <rPr>
        <sz val="10"/>
        <color rgb="FF000000"/>
        <rFont val="宋体"/>
        <family val="3"/>
        <charset val="134"/>
      </rPr>
      <t>本期处置子公司于本期收到的现金或现金等价物</t>
    </r>
  </si>
  <si>
    <r>
      <rPr>
        <sz val="10"/>
        <color rgb="FF000000"/>
        <rFont val="宋体"/>
        <family val="3"/>
        <charset val="134"/>
      </rPr>
      <t>其中：</t>
    </r>
    <r>
      <rPr>
        <sz val="10"/>
        <color rgb="FF000000"/>
        <rFont val="Arial Narrow"/>
        <family val="2"/>
      </rPr>
      <t>XX</t>
    </r>
    <r>
      <rPr>
        <sz val="10"/>
        <color rgb="FF000000"/>
        <rFont val="宋体"/>
        <family val="3"/>
        <charset val="134"/>
      </rPr>
      <t>公司</t>
    </r>
  </si>
  <si>
    <r>
      <rPr>
        <sz val="10"/>
        <color rgb="FF000000"/>
        <rFont val="Arial Narrow"/>
        <family val="2"/>
      </rPr>
      <t xml:space="preserve">      XX</t>
    </r>
    <r>
      <rPr>
        <sz val="10"/>
        <color rgb="FF000000"/>
        <rFont val="宋体"/>
        <family val="3"/>
        <charset val="134"/>
      </rPr>
      <t>公司</t>
    </r>
  </si>
  <si>
    <r>
      <rPr>
        <sz val="10"/>
        <color rgb="FF000000"/>
        <rFont val="宋体"/>
        <family val="3"/>
        <charset val="134"/>
      </rPr>
      <t>减：丧失控制权日子公司持有的现金及现金等价物</t>
    </r>
  </si>
  <si>
    <r>
      <rPr>
        <sz val="10"/>
        <color rgb="FF000000"/>
        <rFont val="宋体"/>
        <family val="3"/>
        <charset val="134"/>
      </rPr>
      <t>加：以前期间处置子公司于本期收到的现金或现金等价物</t>
    </r>
  </si>
  <si>
    <r>
      <rPr>
        <sz val="10"/>
        <color rgb="FF000000"/>
        <rFont val="宋体"/>
        <family val="3"/>
        <charset val="134"/>
      </rPr>
      <t>处置子公司收到的现金净额</t>
    </r>
  </si>
  <si>
    <r>
      <rPr>
        <sz val="10"/>
        <rFont val="宋体"/>
        <family val="3"/>
        <charset val="134"/>
      </rPr>
      <t>（</t>
    </r>
    <r>
      <rPr>
        <sz val="10"/>
        <rFont val="Arial Narrow"/>
        <family val="2"/>
      </rPr>
      <t>4</t>
    </r>
    <r>
      <rPr>
        <sz val="10"/>
        <rFont val="宋体"/>
        <family val="3"/>
        <charset val="134"/>
      </rPr>
      <t>）现金及现金等价物的构成</t>
    </r>
  </si>
  <si>
    <r>
      <rPr>
        <b/>
        <sz val="10"/>
        <rFont val="宋体"/>
        <family val="3"/>
        <charset val="134"/>
      </rPr>
      <t>期末数</t>
    </r>
    <r>
      <rPr>
        <b/>
        <sz val="10"/>
        <rFont val="Arial Narrow"/>
        <family val="2"/>
      </rPr>
      <t xml:space="preserve"> </t>
    </r>
  </si>
  <si>
    <r>
      <rPr>
        <sz val="10"/>
        <rFont val="宋体"/>
        <family val="3"/>
        <charset val="134"/>
      </rPr>
      <t>一、现金</t>
    </r>
  </si>
  <si>
    <r>
      <rPr>
        <sz val="10"/>
        <rFont val="宋体"/>
        <family val="3"/>
        <charset val="134"/>
      </rPr>
      <t>其中：库存现金</t>
    </r>
  </si>
  <si>
    <r>
      <rPr>
        <sz val="10"/>
        <rFont val="宋体"/>
        <family val="3"/>
        <charset val="134"/>
      </rPr>
      <t>　　可随时用于支付的银行存款</t>
    </r>
  </si>
  <si>
    <r>
      <rPr>
        <sz val="10"/>
        <rFont val="宋体"/>
        <family val="3"/>
        <charset val="134"/>
      </rPr>
      <t>　　可随时用于支付的其他货币资金</t>
    </r>
  </si>
  <si>
    <r>
      <rPr>
        <sz val="10"/>
        <rFont val="宋体"/>
        <family val="3"/>
        <charset val="134"/>
      </rPr>
      <t>　　可用于支付的存放中央银行款项</t>
    </r>
  </si>
  <si>
    <r>
      <rPr>
        <sz val="10"/>
        <rFont val="宋体"/>
        <family val="3"/>
        <charset val="134"/>
      </rPr>
      <t>　　存放同业款项</t>
    </r>
  </si>
  <si>
    <r>
      <rPr>
        <sz val="10"/>
        <rFont val="宋体"/>
        <family val="3"/>
        <charset val="134"/>
      </rPr>
      <t>　　拆放同业款项</t>
    </r>
  </si>
  <si>
    <r>
      <rPr>
        <sz val="10"/>
        <rFont val="宋体"/>
        <family val="3"/>
        <charset val="134"/>
      </rPr>
      <t>二、现金等价物</t>
    </r>
  </si>
  <si>
    <r>
      <rPr>
        <sz val="10"/>
        <rFont val="宋体"/>
        <family val="3"/>
        <charset val="134"/>
      </rPr>
      <t>其中：三个月内到期的债券投资</t>
    </r>
  </si>
  <si>
    <r>
      <rPr>
        <sz val="10"/>
        <rFont val="宋体"/>
        <family val="3"/>
        <charset val="134"/>
      </rPr>
      <t>三、期末现金及现金等价物余额</t>
    </r>
  </si>
  <si>
    <r>
      <rPr>
        <sz val="10"/>
        <rFont val="宋体"/>
        <family val="3"/>
        <charset val="134"/>
      </rPr>
      <t>（注：现金及现金等价物不含母公司或集团内子公司使用受限制的现金及现金等价物）</t>
    </r>
  </si>
  <si>
    <r>
      <rPr>
        <sz val="10"/>
        <rFont val="宋体"/>
        <family val="3"/>
        <charset val="134"/>
      </rPr>
      <t>说明：</t>
    </r>
    <r>
      <rPr>
        <sz val="10"/>
        <color rgb="FF0000FF"/>
        <rFont val="宋体"/>
        <family val="3"/>
        <charset val="134"/>
      </rPr>
      <t>如存在企业持有但不能由母公司或集团内其他子公司使用的大额现金和现金等价物的，披露其金额。</t>
    </r>
  </si>
  <si>
    <r>
      <rPr>
        <b/>
        <sz val="12"/>
        <rFont val="宋体"/>
        <family val="3"/>
        <charset val="134"/>
      </rPr>
      <t>股份支付</t>
    </r>
  </si>
  <si>
    <r>
      <rPr>
        <b/>
        <sz val="10"/>
        <rFont val="Arial Narrow"/>
        <family val="2"/>
      </rPr>
      <t>1</t>
    </r>
    <r>
      <rPr>
        <b/>
        <sz val="10"/>
        <rFont val="宋体"/>
        <family val="3"/>
        <charset val="134"/>
      </rPr>
      <t>、计划概述：</t>
    </r>
  </si>
  <si>
    <r>
      <rPr>
        <b/>
        <sz val="10"/>
        <rFont val="宋体"/>
        <family val="3"/>
        <charset val="134"/>
      </rPr>
      <t>详情如下：</t>
    </r>
  </si>
  <si>
    <r>
      <rPr>
        <b/>
        <sz val="10"/>
        <rFont val="宋体"/>
        <family val="3"/>
        <charset val="134"/>
      </rPr>
      <t>授与日</t>
    </r>
  </si>
  <si>
    <r>
      <rPr>
        <b/>
        <sz val="10"/>
        <rFont val="宋体"/>
        <family val="3"/>
        <charset val="134"/>
      </rPr>
      <t>本期授出</t>
    </r>
  </si>
  <si>
    <r>
      <rPr>
        <b/>
        <sz val="10"/>
        <rFont val="宋体"/>
        <family val="3"/>
        <charset val="134"/>
      </rPr>
      <t>本期行权</t>
    </r>
  </si>
  <si>
    <r>
      <rPr>
        <b/>
        <sz val="10"/>
        <rFont val="宋体"/>
        <family val="3"/>
        <charset val="134"/>
      </rPr>
      <t>本期失效</t>
    </r>
  </si>
  <si>
    <r>
      <rPr>
        <b/>
        <sz val="10"/>
        <rFont val="宋体"/>
        <family val="3"/>
        <charset val="134"/>
      </rPr>
      <t>本期注销</t>
    </r>
  </si>
  <si>
    <r>
      <rPr>
        <b/>
        <sz val="10"/>
        <rFont val="宋体"/>
        <family val="3"/>
        <charset val="134"/>
      </rPr>
      <t>年末余额</t>
    </r>
  </si>
  <si>
    <r>
      <rPr>
        <b/>
        <sz val="10"/>
        <rFont val="宋体"/>
        <family val="3"/>
        <charset val="134"/>
      </rPr>
      <t>行权期限</t>
    </r>
  </si>
  <si>
    <r>
      <rPr>
        <b/>
        <sz val="10"/>
        <rFont val="宋体"/>
        <family val="3"/>
        <charset val="134"/>
      </rPr>
      <t>每股行权价</t>
    </r>
  </si>
  <si>
    <r>
      <rPr>
        <b/>
        <sz val="10"/>
        <rFont val="宋体"/>
        <family val="3"/>
        <charset val="134"/>
      </rPr>
      <t>资本公积</t>
    </r>
    <r>
      <rPr>
        <b/>
        <sz val="10"/>
        <rFont val="Arial Narrow"/>
        <family val="2"/>
      </rPr>
      <t>-</t>
    </r>
    <r>
      <rPr>
        <b/>
        <sz val="10"/>
        <rFont val="宋体"/>
        <family val="3"/>
        <charset val="134"/>
      </rPr>
      <t>购股权准备余额</t>
    </r>
  </si>
  <si>
    <r>
      <rPr>
        <sz val="10"/>
        <color indexed="12"/>
        <rFont val="Arial Narrow"/>
        <family val="2"/>
      </rPr>
      <t>(</t>
    </r>
    <r>
      <rPr>
        <sz val="10"/>
        <color indexed="12"/>
        <rFont val="宋体"/>
        <family val="3"/>
        <charset val="134"/>
      </rPr>
      <t>有多种计划的情况，照此披露</t>
    </r>
    <r>
      <rPr>
        <sz val="10"/>
        <color indexed="12"/>
        <rFont val="Arial Narrow"/>
        <family val="2"/>
      </rPr>
      <t>)</t>
    </r>
  </si>
  <si>
    <r>
      <rPr>
        <sz val="10"/>
        <color indexed="12"/>
        <rFont val="Arial Narrow"/>
        <family val="2"/>
      </rPr>
      <t>2</t>
    </r>
    <r>
      <rPr>
        <sz val="10"/>
        <color indexed="12"/>
        <rFont val="宋体"/>
        <family val="3"/>
        <charset val="134"/>
      </rPr>
      <t>、以权益结算的股份支付的，应披露授予日权益工具公允价值的确定方法；以现金结算的股份支付的，应披露公司承担的、以股份或其他权益工具为基础计算确定的负债的公允价值确定方法。</t>
    </r>
  </si>
  <si>
    <r>
      <rPr>
        <sz val="10"/>
        <color indexed="12"/>
        <rFont val="Arial Narrow"/>
        <family val="2"/>
      </rPr>
      <t>3</t>
    </r>
    <r>
      <rPr>
        <sz val="10"/>
        <color indexed="12"/>
        <rFont val="宋体"/>
        <family val="3"/>
        <charset val="134"/>
      </rPr>
      <t>、公司对股份支付进行修改的，应披露修改原因、主要修改条款：</t>
    </r>
  </si>
  <si>
    <r>
      <rPr>
        <b/>
        <sz val="12"/>
        <rFont val="宋体"/>
        <family val="3"/>
        <charset val="134"/>
      </rPr>
      <t>或有事项</t>
    </r>
  </si>
  <si>
    <r>
      <rPr>
        <b/>
        <sz val="10"/>
        <rFont val="宋体"/>
        <family val="3"/>
        <charset val="134"/>
      </rPr>
      <t>或有事项描述</t>
    </r>
  </si>
  <si>
    <r>
      <rPr>
        <b/>
        <sz val="10"/>
        <rFont val="宋体"/>
        <family val="3"/>
        <charset val="134"/>
      </rPr>
      <t>预计对财务报表的影响</t>
    </r>
  </si>
  <si>
    <r>
      <rPr>
        <sz val="10"/>
        <rFont val="Arial Narrow"/>
        <family val="2"/>
      </rPr>
      <t>1</t>
    </r>
    <r>
      <rPr>
        <sz val="10"/>
        <rFont val="宋体"/>
        <family val="3"/>
        <charset val="134"/>
      </rPr>
      <t>、</t>
    </r>
  </si>
  <si>
    <r>
      <rPr>
        <sz val="10"/>
        <rFont val="Arial Narrow"/>
        <family val="2"/>
      </rPr>
      <t>2</t>
    </r>
    <r>
      <rPr>
        <sz val="10"/>
        <rFont val="宋体"/>
        <family val="3"/>
        <charset val="134"/>
      </rPr>
      <t>、</t>
    </r>
  </si>
  <si>
    <r>
      <rPr>
        <sz val="10"/>
        <rFont val="Arial Narrow"/>
        <family val="2"/>
      </rPr>
      <t>3</t>
    </r>
    <r>
      <rPr>
        <sz val="10"/>
        <rFont val="宋体"/>
        <family val="3"/>
        <charset val="134"/>
      </rPr>
      <t>、</t>
    </r>
  </si>
  <si>
    <r>
      <rPr>
        <sz val="10"/>
        <color indexed="12"/>
        <rFont val="宋体"/>
        <family val="3"/>
        <charset val="134"/>
      </rPr>
      <t>或有负债应按未决诉讼或仲裁形成的或有负债、对外提供担保形成的或有负债、其他或有负债（不包括极小可能导致经济利益流出公司的或有负债）等分项披露该事项形成的原因、预计产生的财务影响（如无法预计，应说明理由）、获得补偿的可能性。</t>
    </r>
  </si>
  <si>
    <r>
      <rPr>
        <b/>
        <sz val="12"/>
        <rFont val="宋体"/>
        <family val="3"/>
        <charset val="134"/>
      </rPr>
      <t>承诺事项</t>
    </r>
  </si>
  <si>
    <r>
      <rPr>
        <sz val="10"/>
        <color indexed="12"/>
        <rFont val="宋体"/>
        <family val="3"/>
        <charset val="134"/>
      </rPr>
      <t>对于资产负债表日存在的重大承诺事项，应在财务报表附注中按已签订的尚未履行或尚未完全履行的对外投资合同及有关财务支出、已签订的正在或准备履行的大额发包合同、已签订的正在或准备履行的租赁合同及财务影响、已签订的正在或准备履行的并购协议、已签订的正在或准备履行的重组计划、其他重大财务承诺等分项说明其存在的原因和金额。</t>
    </r>
  </si>
  <si>
    <r>
      <rPr>
        <b/>
        <sz val="12"/>
        <rFont val="宋体"/>
        <family val="3"/>
        <charset val="134"/>
      </rPr>
      <t>资产负债表日后事项</t>
    </r>
  </si>
  <si>
    <r>
      <rPr>
        <b/>
        <sz val="10"/>
        <rFont val="宋体"/>
        <family val="3"/>
        <charset val="134"/>
      </rPr>
      <t>资产负债表日后事项事项描述</t>
    </r>
  </si>
  <si>
    <t xml:space="preserve">无法估计影响数的原因
</t>
  </si>
  <si>
    <t>股票和债券的发行</t>
  </si>
  <si>
    <t>重要的对外投资</t>
  </si>
  <si>
    <t>重要的债务重组</t>
  </si>
  <si>
    <t>自然灾害</t>
  </si>
  <si>
    <t>外汇汇率重要变动</t>
  </si>
  <si>
    <t>如果非流动资产或处置组在资产负债表日至财务报告批准报出日之间满足持有待售类别划分条件的，应当作为资产负债表日后非调整事项进行会计处理，并在“附注十三-资产负债表日后事项”中披露持有待售的非流动资产或处置组的出售费用和主要类别，以及每个类别的账面价值和公允价值；持有待售的非流动资产或处置组的出售原因、方式和时间安排；列报持有待售的非流动资产或处置组的分部。</t>
  </si>
  <si>
    <r>
      <rPr>
        <b/>
        <sz val="12"/>
        <rFont val="宋体"/>
        <family val="3"/>
        <charset val="134"/>
      </rPr>
      <t>其他重要事项</t>
    </r>
  </si>
  <si>
    <r>
      <rPr>
        <b/>
        <sz val="10"/>
        <rFont val="宋体"/>
        <family val="3"/>
        <charset val="134"/>
      </rPr>
      <t>其他重要事项描述</t>
    </r>
  </si>
  <si>
    <r>
      <rPr>
        <sz val="10"/>
        <color indexed="12"/>
        <rFont val="宋体"/>
        <family val="3"/>
        <charset val="134"/>
      </rPr>
      <t>报告期内发生资产置换、转让及出售行为的公司，应专项披露资产置换的详细情况，包括资产账面价值、转让金额、转让原因以及对公司财务状况、经营成果的影响等。
其他对投资者决策有影响的重要事项，应分项说明。</t>
    </r>
  </si>
  <si>
    <r>
      <rPr>
        <sz val="10"/>
        <rFont val="Arial Narrow"/>
        <family val="2"/>
      </rPr>
      <t>1</t>
    </r>
    <r>
      <rPr>
        <sz val="10"/>
        <rFont val="宋体"/>
        <family val="3"/>
        <charset val="134"/>
      </rPr>
      <t>、企业合并</t>
    </r>
  </si>
  <si>
    <r>
      <rPr>
        <sz val="10"/>
        <rFont val="宋体"/>
        <family val="3"/>
        <charset val="134"/>
      </rPr>
      <t>（</t>
    </r>
    <r>
      <rPr>
        <sz val="10"/>
        <rFont val="Arial Narrow"/>
        <family val="2"/>
      </rPr>
      <t>1</t>
    </r>
    <r>
      <rPr>
        <sz val="10"/>
        <rFont val="宋体"/>
        <family val="3"/>
        <charset val="134"/>
      </rPr>
      <t>）同一控制下企业合并</t>
    </r>
  </si>
  <si>
    <r>
      <rPr>
        <sz val="10"/>
        <color indexed="10"/>
        <rFont val="Arial Narrow"/>
        <family val="2"/>
      </rPr>
      <t>[20XX</t>
    </r>
    <r>
      <rPr>
        <sz val="10"/>
        <color indexed="10"/>
        <rFont val="宋体"/>
        <family val="3"/>
        <charset val="134"/>
      </rPr>
      <t>年</t>
    </r>
    <r>
      <rPr>
        <sz val="10"/>
        <color indexed="10"/>
        <rFont val="Arial Narrow"/>
        <family val="2"/>
      </rPr>
      <t>[X]</t>
    </r>
    <r>
      <rPr>
        <sz val="10"/>
        <color indexed="10"/>
        <rFont val="宋体"/>
        <family val="3"/>
        <charset val="134"/>
      </rPr>
      <t>月，本公司以现金</t>
    </r>
    <r>
      <rPr>
        <sz val="10"/>
        <color indexed="10"/>
        <rFont val="Arial Narrow"/>
        <family val="2"/>
      </rPr>
      <t>[X]</t>
    </r>
    <r>
      <rPr>
        <sz val="10"/>
        <color indexed="10"/>
        <rFont val="宋体"/>
        <family val="3"/>
        <charset val="134"/>
      </rPr>
      <t>万元吸收合并了</t>
    </r>
    <r>
      <rPr>
        <sz val="10"/>
        <color indexed="10"/>
        <rFont val="Arial Narrow"/>
        <family val="2"/>
      </rPr>
      <t>[X</t>
    </r>
    <r>
      <rPr>
        <sz val="10"/>
        <color indexed="10"/>
        <rFont val="宋体"/>
        <family val="3"/>
        <charset val="134"/>
      </rPr>
      <t>公司</t>
    </r>
    <r>
      <rPr>
        <sz val="10"/>
        <color indexed="10"/>
        <rFont val="Arial Narrow"/>
        <family val="2"/>
      </rPr>
      <t>]</t>
    </r>
    <r>
      <rPr>
        <sz val="10"/>
        <color indexed="10"/>
        <rFont val="宋体"/>
        <family val="3"/>
        <charset val="134"/>
      </rPr>
      <t>，</t>
    </r>
    <r>
      <rPr>
        <sz val="10"/>
        <color indexed="10"/>
        <rFont val="Arial Narrow"/>
        <family val="2"/>
      </rPr>
      <t>[X</t>
    </r>
    <r>
      <rPr>
        <sz val="10"/>
        <color indexed="10"/>
        <rFont val="宋体"/>
        <family val="3"/>
        <charset val="134"/>
      </rPr>
      <t>公司</t>
    </r>
    <r>
      <rPr>
        <sz val="10"/>
        <color indexed="10"/>
        <rFont val="Arial Narrow"/>
        <family val="2"/>
      </rPr>
      <t>]</t>
    </r>
    <r>
      <rPr>
        <sz val="10"/>
        <color indexed="10"/>
        <rFont val="宋体"/>
        <family val="3"/>
        <charset val="134"/>
      </rPr>
      <t>系本公司的母公司</t>
    </r>
    <r>
      <rPr>
        <sz val="10"/>
        <color indexed="10"/>
        <rFont val="Arial Narrow"/>
        <family val="2"/>
      </rPr>
      <t>——[S</t>
    </r>
    <r>
      <rPr>
        <sz val="10"/>
        <color indexed="10"/>
        <rFont val="宋体"/>
        <family val="3"/>
        <charset val="134"/>
      </rPr>
      <t>公司</t>
    </r>
    <r>
      <rPr>
        <sz val="10"/>
        <color indexed="10"/>
        <rFont val="Arial Narrow"/>
        <family val="2"/>
      </rPr>
      <t>]</t>
    </r>
    <r>
      <rPr>
        <sz val="10"/>
        <color indexed="10"/>
        <rFont val="宋体"/>
        <family val="3"/>
        <charset val="134"/>
      </rPr>
      <t>的子公司，由于合并前后合并双方均受</t>
    </r>
    <r>
      <rPr>
        <sz val="10"/>
        <color indexed="10"/>
        <rFont val="Arial Narrow"/>
        <family val="2"/>
      </rPr>
      <t>[S</t>
    </r>
    <r>
      <rPr>
        <sz val="10"/>
        <color indexed="10"/>
        <rFont val="宋体"/>
        <family val="3"/>
        <charset val="134"/>
      </rPr>
      <t>公司</t>
    </r>
    <r>
      <rPr>
        <sz val="10"/>
        <color indexed="10"/>
        <rFont val="Arial Narrow"/>
        <family val="2"/>
      </rPr>
      <t>]</t>
    </r>
    <r>
      <rPr>
        <sz val="10"/>
        <color indexed="10"/>
        <rFont val="宋体"/>
        <family val="3"/>
        <charset val="134"/>
      </rPr>
      <t>控制且该控制并非暂时性，故本合并属同一控制下的企业合并，合并日确定为</t>
    </r>
    <r>
      <rPr>
        <sz val="10"/>
        <color indexed="10"/>
        <rFont val="Arial Narrow"/>
        <family val="2"/>
      </rPr>
      <t>[X</t>
    </r>
    <r>
      <rPr>
        <sz val="10"/>
        <color indexed="10"/>
        <rFont val="宋体"/>
        <family val="3"/>
        <charset val="134"/>
      </rPr>
      <t>月</t>
    </r>
    <r>
      <rPr>
        <sz val="10"/>
        <color indexed="10"/>
        <rFont val="Arial Narrow"/>
        <family val="2"/>
      </rPr>
      <t>XX</t>
    </r>
    <r>
      <rPr>
        <sz val="10"/>
        <color indexed="10"/>
        <rFont val="宋体"/>
        <family val="3"/>
        <charset val="134"/>
      </rPr>
      <t>日</t>
    </r>
    <r>
      <rPr>
        <sz val="10"/>
        <color indexed="10"/>
        <rFont val="Arial Narrow"/>
        <family val="2"/>
      </rPr>
      <t>]</t>
    </r>
    <r>
      <rPr>
        <sz val="10"/>
        <color indexed="10"/>
        <rFont val="宋体"/>
        <family val="3"/>
        <charset val="134"/>
      </rPr>
      <t>。</t>
    </r>
    <r>
      <rPr>
        <sz val="10"/>
        <color indexed="10"/>
        <rFont val="Arial Narrow"/>
        <family val="2"/>
      </rPr>
      <t>(</t>
    </r>
    <r>
      <rPr>
        <sz val="10"/>
        <color indexed="10"/>
        <rFont val="宋体"/>
        <family val="3"/>
        <charset val="134"/>
      </rPr>
      <t>披露确定合并日的依据。</t>
    </r>
    <r>
      <rPr>
        <sz val="10"/>
        <color indexed="10"/>
        <rFont val="Arial Narrow"/>
        <family val="2"/>
      </rPr>
      <t>)</t>
    </r>
    <r>
      <rPr>
        <sz val="10"/>
        <color indexed="10"/>
        <rFont val="宋体"/>
        <family val="3"/>
        <charset val="134"/>
      </rPr>
      <t>本公司与</t>
    </r>
    <r>
      <rPr>
        <sz val="10"/>
        <color indexed="10"/>
        <rFont val="Arial Narrow"/>
        <family val="2"/>
      </rPr>
      <t>[X</t>
    </r>
    <r>
      <rPr>
        <sz val="10"/>
        <color indexed="10"/>
        <rFont val="宋体"/>
        <family val="3"/>
        <charset val="134"/>
      </rPr>
      <t>公司</t>
    </r>
    <r>
      <rPr>
        <sz val="10"/>
        <color indexed="10"/>
        <rFont val="Arial Narrow"/>
        <family val="2"/>
      </rPr>
      <t>]</t>
    </r>
    <r>
      <rPr>
        <sz val="10"/>
        <color indexed="10"/>
        <rFont val="宋体"/>
        <family val="3"/>
        <charset val="134"/>
      </rPr>
      <t>的吸收合并中取得的资产及负债，均按照合并日在被合并方的账面价值计量。</t>
    </r>
    <r>
      <rPr>
        <sz val="10"/>
        <color indexed="12"/>
        <rFont val="Arial Narrow"/>
        <family val="2"/>
      </rPr>
      <t>(</t>
    </r>
    <r>
      <rPr>
        <sz val="10"/>
        <color indexed="12"/>
        <rFont val="宋体"/>
        <family val="3"/>
        <charset val="134"/>
      </rPr>
      <t>描述合并的具体情况。</t>
    </r>
    <r>
      <rPr>
        <sz val="10"/>
        <color indexed="12"/>
        <rFont val="Arial Narrow"/>
        <family val="2"/>
      </rPr>
      <t>)</t>
    </r>
    <r>
      <rPr>
        <sz val="10"/>
        <color indexed="10"/>
        <rFont val="Arial Narrow"/>
        <family val="2"/>
      </rPr>
      <t>]</t>
    </r>
  </si>
  <si>
    <r>
      <rPr>
        <sz val="10"/>
        <color indexed="12"/>
        <rFont val="Arial Narrow"/>
        <family val="2"/>
      </rPr>
      <t>[X</t>
    </r>
    <r>
      <rPr>
        <sz val="10"/>
        <color indexed="12"/>
        <rFont val="宋体"/>
        <family val="3"/>
        <charset val="134"/>
      </rPr>
      <t>公司</t>
    </r>
    <r>
      <rPr>
        <sz val="10"/>
        <color indexed="12"/>
        <rFont val="Arial Narrow"/>
        <family val="2"/>
      </rPr>
      <t>]</t>
    </r>
    <r>
      <rPr>
        <sz val="10"/>
        <color indexed="12"/>
        <rFont val="宋体"/>
        <family val="3"/>
        <charset val="134"/>
      </rPr>
      <t>在合并日、上一会计期间资产负债表日资产及负债的账面价值如下：</t>
    </r>
  </si>
  <si>
    <r>
      <rPr>
        <b/>
        <sz val="10"/>
        <color indexed="12"/>
        <rFont val="宋体"/>
        <family val="3"/>
        <charset val="134"/>
      </rPr>
      <t>合并日</t>
    </r>
  </si>
  <si>
    <r>
      <rPr>
        <b/>
        <sz val="10"/>
        <color indexed="12"/>
        <rFont val="Arial Narrow"/>
        <family val="2"/>
      </rPr>
      <t>XX</t>
    </r>
    <r>
      <rPr>
        <b/>
        <sz val="10"/>
        <color indexed="12"/>
        <rFont val="宋体"/>
        <family val="3"/>
        <charset val="134"/>
      </rPr>
      <t>年</t>
    </r>
    <r>
      <rPr>
        <b/>
        <sz val="10"/>
        <color indexed="12"/>
        <rFont val="Arial Narrow"/>
        <family val="2"/>
      </rPr>
      <t>X</t>
    </r>
    <r>
      <rPr>
        <b/>
        <sz val="10"/>
        <color indexed="12"/>
        <rFont val="宋体"/>
        <family val="3"/>
        <charset val="134"/>
      </rPr>
      <t>月</t>
    </r>
    <r>
      <rPr>
        <b/>
        <sz val="10"/>
        <color indexed="12"/>
        <rFont val="Arial Narrow"/>
        <family val="2"/>
      </rPr>
      <t>X</t>
    </r>
    <r>
      <rPr>
        <b/>
        <sz val="10"/>
        <color indexed="12"/>
        <rFont val="宋体"/>
        <family val="3"/>
        <charset val="134"/>
      </rPr>
      <t>日</t>
    </r>
  </si>
  <si>
    <r>
      <rPr>
        <sz val="10"/>
        <rFont val="宋体"/>
        <family val="3"/>
        <charset val="134"/>
      </rPr>
      <t>长期投资</t>
    </r>
  </si>
  <si>
    <r>
      <rPr>
        <sz val="10"/>
        <rFont val="宋体"/>
        <family val="3"/>
        <charset val="134"/>
      </rPr>
      <t>无形资产及其他资产</t>
    </r>
  </si>
  <si>
    <r>
      <rPr>
        <sz val="10"/>
        <rFont val="宋体"/>
        <family val="3"/>
        <charset val="134"/>
      </rPr>
      <t>减：流动负债</t>
    </r>
  </si>
  <si>
    <r>
      <rPr>
        <sz val="10"/>
        <rFont val="宋体"/>
        <family val="3"/>
        <charset val="134"/>
      </rPr>
      <t>长期负债</t>
    </r>
  </si>
  <si>
    <r>
      <rPr>
        <sz val="10"/>
        <rFont val="宋体"/>
        <family val="3"/>
        <charset val="134"/>
      </rPr>
      <t>取得净资产</t>
    </r>
  </si>
  <si>
    <r>
      <rPr>
        <sz val="10"/>
        <rFont val="宋体"/>
        <family val="3"/>
        <charset val="134"/>
      </rPr>
      <t>合并差额（计入权益）</t>
    </r>
  </si>
  <si>
    <r>
      <rPr>
        <sz val="10"/>
        <rFont val="宋体"/>
        <family val="3"/>
        <charset val="134"/>
      </rPr>
      <t>合并成本</t>
    </r>
  </si>
  <si>
    <r>
      <rPr>
        <sz val="10"/>
        <rFont val="Arial Narrow"/>
        <family val="2"/>
      </rPr>
      <t>[X</t>
    </r>
    <r>
      <rPr>
        <sz val="10"/>
        <rFont val="宋体"/>
        <family val="3"/>
        <charset val="134"/>
      </rPr>
      <t>公司</t>
    </r>
    <r>
      <rPr>
        <sz val="10"/>
        <rFont val="Arial Narrow"/>
        <family val="2"/>
      </rPr>
      <t>]</t>
    </r>
    <r>
      <rPr>
        <sz val="10"/>
        <rFont val="宋体"/>
        <family val="3"/>
        <charset val="134"/>
      </rPr>
      <t>自年初至合并日的经营成果和现金流量列示如下：</t>
    </r>
  </si>
  <si>
    <t xml:space="preserve">    </t>
  </si>
  <si>
    <r>
      <rPr>
        <b/>
        <sz val="10"/>
        <color indexed="12"/>
        <rFont val="Arial Narrow"/>
        <family val="2"/>
      </rPr>
      <t>20XX</t>
    </r>
    <r>
      <rPr>
        <b/>
        <sz val="10"/>
        <color indexed="12"/>
        <rFont val="宋体"/>
        <family val="3"/>
        <charset val="134"/>
      </rPr>
      <t>年</t>
    </r>
    <r>
      <rPr>
        <b/>
        <sz val="10"/>
        <color indexed="12"/>
        <rFont val="Arial Narrow"/>
        <family val="2"/>
      </rPr>
      <t>1</t>
    </r>
    <r>
      <rPr>
        <b/>
        <sz val="10"/>
        <color indexed="12"/>
        <rFont val="宋体"/>
        <family val="3"/>
        <charset val="134"/>
      </rPr>
      <t>月</t>
    </r>
    <r>
      <rPr>
        <b/>
        <sz val="10"/>
        <color indexed="12"/>
        <rFont val="Arial Narrow"/>
        <family val="2"/>
      </rPr>
      <t>1</t>
    </r>
    <r>
      <rPr>
        <b/>
        <sz val="10"/>
        <color indexed="12"/>
        <rFont val="宋体"/>
        <family val="3"/>
        <charset val="134"/>
      </rPr>
      <t>日至</t>
    </r>
    <r>
      <rPr>
        <b/>
        <sz val="10"/>
        <color indexed="12"/>
        <rFont val="Arial Narrow"/>
        <family val="2"/>
      </rPr>
      <t>X</t>
    </r>
    <r>
      <rPr>
        <b/>
        <sz val="10"/>
        <color indexed="12"/>
        <rFont val="宋体"/>
        <family val="3"/>
        <charset val="134"/>
      </rPr>
      <t>月</t>
    </r>
    <r>
      <rPr>
        <b/>
        <sz val="10"/>
        <color indexed="12"/>
        <rFont val="Arial Narrow"/>
        <family val="2"/>
      </rPr>
      <t>X</t>
    </r>
    <r>
      <rPr>
        <b/>
        <sz val="10"/>
        <color indexed="12"/>
        <rFont val="宋体"/>
        <family val="3"/>
        <charset val="134"/>
      </rPr>
      <t>日期间</t>
    </r>
  </si>
  <si>
    <r>
      <rPr>
        <sz val="10"/>
        <rFont val="宋体"/>
        <family val="3"/>
        <charset val="134"/>
      </rPr>
      <t>现金流量净额</t>
    </r>
  </si>
  <si>
    <r>
      <rPr>
        <sz val="10"/>
        <rFont val="Arial Narrow"/>
        <family val="2"/>
      </rPr>
      <t xml:space="preserve"> </t>
    </r>
    <r>
      <rPr>
        <sz val="10"/>
        <rFont val="宋体"/>
        <family val="3"/>
        <charset val="134"/>
      </rPr>
      <t>取得上述子公司的现金流量净额分析如下：</t>
    </r>
  </si>
  <si>
    <r>
      <rPr>
        <sz val="10"/>
        <rFont val="宋体"/>
        <family val="3"/>
        <charset val="134"/>
      </rPr>
      <t>取得子公司的价格</t>
    </r>
  </si>
  <si>
    <r>
      <rPr>
        <sz val="10"/>
        <rFont val="宋体"/>
        <family val="3"/>
        <charset val="134"/>
      </rPr>
      <t>取得子公司支付的现金</t>
    </r>
  </si>
  <si>
    <r>
      <rPr>
        <sz val="10"/>
        <rFont val="宋体"/>
        <family val="3"/>
        <charset val="134"/>
      </rPr>
      <t>减：子公司持有的现金</t>
    </r>
  </si>
  <si>
    <r>
      <rPr>
        <sz val="10"/>
        <rFont val="宋体"/>
        <family val="3"/>
        <charset val="134"/>
      </rPr>
      <t>取得子公司支付的现金流量净额</t>
    </r>
  </si>
  <si>
    <r>
      <rPr>
        <sz val="10"/>
        <rFont val="Arial Narrow"/>
        <family val="2"/>
      </rPr>
      <t>[(</t>
    </r>
    <r>
      <rPr>
        <sz val="10"/>
        <color indexed="12"/>
        <rFont val="宋体"/>
        <family val="3"/>
        <charset val="134"/>
      </rPr>
      <t>企业合并发生当期的期末，合并方应当披露与同一控制下企业合并有关的下列信息：</t>
    </r>
    <r>
      <rPr>
        <sz val="10"/>
        <color indexed="12"/>
        <rFont val="Arial Narrow"/>
        <family val="2"/>
      </rPr>
      <t>(1)</t>
    </r>
    <r>
      <rPr>
        <sz val="10"/>
        <color indexed="12"/>
        <rFont val="宋体"/>
        <family val="3"/>
        <charset val="134"/>
      </rPr>
      <t>以支付现金、转让非现金资产以及承担债务作为合并对价的，所支付对价在合并日的账面价值；以发行权益性证券作为合并对价的，合并中发行权益性证券的数量及定价原则，以及参与合并各方交换有表决权股份的比例。</t>
    </r>
    <r>
      <rPr>
        <sz val="10"/>
        <color indexed="12"/>
        <rFont val="Arial Narrow"/>
        <family val="2"/>
      </rPr>
      <t>(2)</t>
    </r>
    <r>
      <rPr>
        <sz val="10"/>
        <color indexed="12"/>
        <rFont val="宋体"/>
        <family val="3"/>
        <charset val="134"/>
      </rPr>
      <t>合并合同或协议约定将承担被合并方或有负债的情况。</t>
    </r>
    <r>
      <rPr>
        <sz val="10"/>
        <color indexed="12"/>
        <rFont val="Arial Narrow"/>
        <family val="2"/>
      </rPr>
      <t>(3)</t>
    </r>
    <r>
      <rPr>
        <sz val="10"/>
        <color indexed="12"/>
        <rFont val="宋体"/>
        <family val="3"/>
        <charset val="134"/>
      </rPr>
      <t>被合并方采用的会计政策与合并方不一致所作调整情况的说明。</t>
    </r>
    <r>
      <rPr>
        <sz val="10"/>
        <color indexed="12"/>
        <rFont val="Arial Narrow"/>
        <family val="2"/>
      </rPr>
      <t>(4)</t>
    </r>
    <r>
      <rPr>
        <sz val="10"/>
        <color indexed="12"/>
        <rFont val="宋体"/>
        <family val="3"/>
        <charset val="134"/>
      </rPr>
      <t>合并后已处置或准备处置被合并方资产、负债的账面价值、处置价格等。</t>
    </r>
    <r>
      <rPr>
        <sz val="10"/>
        <color indexed="12"/>
        <rFont val="Arial Narrow"/>
        <family val="2"/>
      </rPr>
      <t>)]</t>
    </r>
  </si>
  <si>
    <r>
      <rPr>
        <sz val="10"/>
        <rFont val="Arial Narrow"/>
        <family val="2"/>
      </rPr>
      <t>[</t>
    </r>
    <r>
      <rPr>
        <sz val="10"/>
        <color indexed="12"/>
        <rFont val="宋体"/>
        <family val="3"/>
        <charset val="134"/>
      </rPr>
      <t>对同一子公司股权在连续两个会计年度买入再卖出或卖出再买入的，应披露相关的会计处理。</t>
    </r>
    <r>
      <rPr>
        <sz val="10"/>
        <color indexed="12"/>
        <rFont val="Arial Narrow"/>
        <family val="2"/>
      </rPr>
      <t>)]</t>
    </r>
  </si>
  <si>
    <r>
      <rPr>
        <sz val="10"/>
        <rFont val="宋体"/>
        <family val="3"/>
        <charset val="134"/>
      </rPr>
      <t>（</t>
    </r>
    <r>
      <rPr>
        <sz val="10"/>
        <rFont val="Arial Narrow"/>
        <family val="2"/>
      </rPr>
      <t>2</t>
    </r>
    <r>
      <rPr>
        <sz val="10"/>
        <rFont val="宋体"/>
        <family val="3"/>
        <charset val="134"/>
      </rPr>
      <t>）非同一控制下企业合并</t>
    </r>
  </si>
  <si>
    <r>
      <rPr>
        <sz val="10"/>
        <rFont val="Arial Narrow"/>
        <family val="2"/>
      </rPr>
      <t>[</t>
    </r>
    <r>
      <rPr>
        <sz val="10"/>
        <color indexed="12"/>
        <rFont val="宋体"/>
        <family val="3"/>
        <charset val="134"/>
      </rPr>
      <t>本年内，本公司取得了</t>
    </r>
    <r>
      <rPr>
        <sz val="10"/>
        <color indexed="12"/>
        <rFont val="Arial Narrow"/>
        <family val="2"/>
      </rPr>
      <t>[B</t>
    </r>
    <r>
      <rPr>
        <sz val="10"/>
        <color indexed="12"/>
        <rFont val="宋体"/>
        <family val="3"/>
        <charset val="134"/>
      </rPr>
      <t>公司</t>
    </r>
    <r>
      <rPr>
        <sz val="10"/>
        <color indexed="12"/>
        <rFont val="Arial Narrow"/>
        <family val="2"/>
      </rPr>
      <t>][90%]</t>
    </r>
    <r>
      <rPr>
        <sz val="10"/>
        <color indexed="12"/>
        <rFont val="宋体"/>
        <family val="3"/>
        <charset val="134"/>
      </rPr>
      <t>股权，合并成本为现金</t>
    </r>
    <r>
      <rPr>
        <sz val="10"/>
        <color indexed="12"/>
        <rFont val="Arial Narrow"/>
        <family val="2"/>
      </rPr>
      <t>[   ]</t>
    </r>
    <r>
      <rPr>
        <sz val="10"/>
        <color indexed="12"/>
        <rFont val="宋体"/>
        <family val="3"/>
        <charset val="134"/>
      </rPr>
      <t>元及</t>
    </r>
    <r>
      <rPr>
        <sz val="10"/>
        <color indexed="12"/>
        <rFont val="Arial Narrow"/>
        <family val="2"/>
      </rPr>
      <t>[</t>
    </r>
    <r>
      <rPr>
        <sz val="10"/>
        <color indexed="12"/>
        <rFont val="宋体"/>
        <family val="3"/>
        <charset val="134"/>
      </rPr>
      <t>其他资产</t>
    </r>
    <r>
      <rPr>
        <sz val="10"/>
        <color indexed="12"/>
        <rFont val="Arial Narrow"/>
        <family val="2"/>
      </rPr>
      <t>][</t>
    </r>
    <r>
      <rPr>
        <sz val="10"/>
        <color indexed="12"/>
        <rFont val="宋体"/>
        <family val="3"/>
        <charset val="134"/>
      </rPr>
      <t>账面价值</t>
    </r>
    <r>
      <rPr>
        <sz val="10"/>
        <color indexed="12"/>
        <rFont val="Arial Narrow"/>
        <family val="2"/>
      </rPr>
      <t>[  ]</t>
    </r>
    <r>
      <rPr>
        <sz val="10"/>
        <color indexed="12"/>
        <rFont val="宋体"/>
        <family val="3"/>
        <charset val="134"/>
      </rPr>
      <t>元，根据评估确定合并成本的公允价值</t>
    </r>
    <r>
      <rPr>
        <sz val="10"/>
        <color indexed="12"/>
        <rFont val="Arial Narrow"/>
        <family val="2"/>
      </rPr>
      <t>[  ]</t>
    </r>
    <r>
      <rPr>
        <sz val="10"/>
        <color indexed="12"/>
        <rFont val="宋体"/>
        <family val="3"/>
        <charset val="134"/>
      </rPr>
      <t>元</t>
    </r>
    <r>
      <rPr>
        <sz val="10"/>
        <color indexed="12"/>
        <rFont val="Arial Narrow"/>
        <family val="2"/>
      </rPr>
      <t>]</t>
    </r>
    <r>
      <rPr>
        <sz val="10"/>
        <color indexed="12"/>
        <rFont val="宋体"/>
        <family val="3"/>
        <charset val="134"/>
      </rPr>
      <t>，购买日确定为</t>
    </r>
    <r>
      <rPr>
        <sz val="10"/>
        <color indexed="12"/>
        <rFont val="Arial Narrow"/>
        <family val="2"/>
      </rPr>
      <t>8</t>
    </r>
    <r>
      <rPr>
        <sz val="10"/>
        <color indexed="12"/>
        <rFont val="宋体"/>
        <family val="3"/>
        <charset val="134"/>
      </rPr>
      <t>月</t>
    </r>
    <r>
      <rPr>
        <sz val="10"/>
        <color indexed="12"/>
        <rFont val="Arial Narrow"/>
        <family val="2"/>
      </rPr>
      <t>31</t>
    </r>
    <r>
      <rPr>
        <sz val="10"/>
        <color indexed="12"/>
        <rFont val="宋体"/>
        <family val="3"/>
        <charset val="134"/>
      </rPr>
      <t>日。</t>
    </r>
    <r>
      <rPr>
        <sz val="10"/>
        <color indexed="12"/>
        <rFont val="Arial Narrow"/>
        <family val="2"/>
      </rPr>
      <t>(</t>
    </r>
    <r>
      <rPr>
        <sz val="10"/>
        <color indexed="12"/>
        <rFont val="宋体"/>
        <family val="3"/>
        <charset val="134"/>
      </rPr>
      <t>披露确定购买日的依据。</t>
    </r>
    <r>
      <rPr>
        <sz val="10"/>
        <color indexed="12"/>
        <rFont val="Arial Narrow"/>
        <family val="2"/>
      </rPr>
      <t>)(</t>
    </r>
    <r>
      <rPr>
        <sz val="10"/>
        <color indexed="12"/>
        <rFont val="宋体"/>
        <family val="3"/>
        <charset val="134"/>
      </rPr>
      <t>描述合并的具体情况。</t>
    </r>
    <r>
      <rPr>
        <sz val="10"/>
        <color indexed="12"/>
        <rFont val="Arial Narrow"/>
        <family val="2"/>
      </rPr>
      <t>)]</t>
    </r>
  </si>
  <si>
    <r>
      <rPr>
        <sz val="10"/>
        <rFont val="Arial Narrow"/>
        <family val="2"/>
      </rPr>
      <t>[B</t>
    </r>
    <r>
      <rPr>
        <sz val="10"/>
        <rFont val="宋体"/>
        <family val="3"/>
        <charset val="134"/>
      </rPr>
      <t>公司</t>
    </r>
    <r>
      <rPr>
        <sz val="10"/>
        <rFont val="Arial Narrow"/>
        <family val="2"/>
      </rPr>
      <t>]</t>
    </r>
    <r>
      <rPr>
        <sz val="10"/>
        <rFont val="宋体"/>
        <family val="3"/>
        <charset val="134"/>
      </rPr>
      <t>的可辨认资产和负债</t>
    </r>
    <r>
      <rPr>
        <sz val="10"/>
        <rFont val="Arial Narrow"/>
        <family val="2"/>
      </rPr>
      <t>[</t>
    </r>
    <r>
      <rPr>
        <sz val="10"/>
        <rFont val="宋体"/>
        <family val="3"/>
        <charset val="134"/>
      </rPr>
      <t>及或有负债</t>
    </r>
    <r>
      <rPr>
        <sz val="10"/>
        <rFont val="Arial Narrow"/>
        <family val="2"/>
      </rPr>
      <t>]</t>
    </r>
    <r>
      <rPr>
        <sz val="10"/>
        <rFont val="宋体"/>
        <family val="3"/>
        <charset val="134"/>
      </rPr>
      <t>于购买日的公允价值、账面价值如下：</t>
    </r>
  </si>
  <si>
    <r>
      <rPr>
        <b/>
        <sz val="10"/>
        <rFont val="宋体"/>
        <family val="3"/>
        <charset val="134"/>
      </rPr>
      <t>购买日公允价值</t>
    </r>
  </si>
  <si>
    <r>
      <rPr>
        <b/>
        <sz val="10"/>
        <rFont val="宋体"/>
        <family val="3"/>
        <charset val="134"/>
      </rPr>
      <t>购买日账面价值</t>
    </r>
  </si>
  <si>
    <r>
      <rPr>
        <sz val="10"/>
        <rFont val="宋体"/>
        <family val="3"/>
        <charset val="134"/>
      </rPr>
      <t>购买取得净资产</t>
    </r>
  </si>
  <si>
    <r>
      <rPr>
        <sz val="10"/>
        <rFont val="宋体"/>
        <family val="3"/>
        <charset val="134"/>
      </rPr>
      <t>购买产生的商誉</t>
    </r>
    <r>
      <rPr>
        <sz val="10"/>
        <color indexed="12"/>
        <rFont val="Arial Narrow"/>
        <family val="2"/>
      </rPr>
      <t>/[</t>
    </r>
    <r>
      <rPr>
        <sz val="10"/>
        <color indexed="12"/>
        <rFont val="宋体"/>
        <family val="3"/>
        <charset val="134"/>
      </rPr>
      <t>超出合并成本计入当期损益部分</t>
    </r>
    <r>
      <rPr>
        <sz val="10"/>
        <color indexed="12"/>
        <rFont val="Arial Narrow"/>
        <family val="2"/>
      </rPr>
      <t>]</t>
    </r>
  </si>
  <si>
    <r>
      <rPr>
        <sz val="10"/>
        <rFont val="Arial Narrow"/>
        <family val="2"/>
      </rPr>
      <t>[B</t>
    </r>
    <r>
      <rPr>
        <sz val="10"/>
        <rFont val="宋体"/>
        <family val="3"/>
        <charset val="134"/>
      </rPr>
      <t>公司</t>
    </r>
    <r>
      <rPr>
        <sz val="10"/>
        <rFont val="Arial Narrow"/>
        <family val="2"/>
      </rPr>
      <t>]</t>
    </r>
    <r>
      <rPr>
        <sz val="10"/>
        <rFont val="宋体"/>
        <family val="3"/>
        <charset val="134"/>
      </rPr>
      <t>自购买日起至本年末的经营成果和现金流量列示如下：</t>
    </r>
  </si>
  <si>
    <r>
      <rPr>
        <b/>
        <sz val="10"/>
        <color indexed="12"/>
        <rFont val="Arial Narrow"/>
        <family val="2"/>
      </rPr>
      <t>20XX</t>
    </r>
    <r>
      <rPr>
        <b/>
        <sz val="10"/>
        <color indexed="12"/>
        <rFont val="宋体"/>
        <family val="3"/>
        <charset val="134"/>
      </rPr>
      <t>年</t>
    </r>
    <r>
      <rPr>
        <b/>
        <sz val="10"/>
        <color indexed="12"/>
        <rFont val="Arial Narrow"/>
        <family val="2"/>
      </rPr>
      <t>X</t>
    </r>
    <r>
      <rPr>
        <b/>
        <sz val="10"/>
        <color indexed="12"/>
        <rFont val="宋体"/>
        <family val="3"/>
        <charset val="134"/>
      </rPr>
      <t>月</t>
    </r>
    <r>
      <rPr>
        <b/>
        <sz val="10"/>
        <color indexed="12"/>
        <rFont val="Arial Narrow"/>
        <family val="2"/>
      </rPr>
      <t>X</t>
    </r>
    <r>
      <rPr>
        <b/>
        <sz val="10"/>
        <color indexed="12"/>
        <rFont val="宋体"/>
        <family val="3"/>
        <charset val="134"/>
      </rPr>
      <t>日至</t>
    </r>
    <r>
      <rPr>
        <b/>
        <sz val="10"/>
        <color indexed="12"/>
        <rFont val="Arial Narrow"/>
        <family val="2"/>
      </rPr>
      <t>12</t>
    </r>
    <r>
      <rPr>
        <b/>
        <sz val="10"/>
        <color indexed="12"/>
        <rFont val="宋体"/>
        <family val="3"/>
        <charset val="134"/>
      </rPr>
      <t>月</t>
    </r>
    <r>
      <rPr>
        <b/>
        <sz val="10"/>
        <color indexed="12"/>
        <rFont val="Arial Narrow"/>
        <family val="2"/>
      </rPr>
      <t>31</t>
    </r>
    <r>
      <rPr>
        <b/>
        <sz val="10"/>
        <color indexed="12"/>
        <rFont val="宋体"/>
        <family val="3"/>
        <charset val="134"/>
      </rPr>
      <t>日期间</t>
    </r>
  </si>
  <si>
    <r>
      <rPr>
        <sz val="10"/>
        <rFont val="Arial Narrow"/>
        <family val="2"/>
      </rPr>
      <t>[(</t>
    </r>
    <r>
      <rPr>
        <sz val="10"/>
        <color indexed="12"/>
        <rFont val="宋体"/>
        <family val="3"/>
        <charset val="134"/>
      </rPr>
      <t>企业合并发生当期的期末，购买方应当披露与非同一控制下企业合并有关的下列信息：</t>
    </r>
    <r>
      <rPr>
        <sz val="10"/>
        <color indexed="12"/>
        <rFont val="Arial Narrow"/>
        <family val="2"/>
      </rPr>
      <t>(1)</t>
    </r>
    <r>
      <rPr>
        <sz val="10"/>
        <color indexed="12"/>
        <rFont val="宋体"/>
        <family val="3"/>
        <charset val="134"/>
      </rPr>
      <t>合并成本的构成及其账面价值、公允价值及公允价值的确定方法。</t>
    </r>
    <r>
      <rPr>
        <sz val="10"/>
        <color indexed="12"/>
        <rFont val="Arial Narrow"/>
        <family val="2"/>
      </rPr>
      <t>(2)</t>
    </r>
    <r>
      <rPr>
        <sz val="10"/>
        <color indexed="12"/>
        <rFont val="宋体"/>
        <family val="3"/>
        <charset val="134"/>
      </rPr>
      <t>合同或协议约定将承担被购买方或有负债的情况。</t>
    </r>
    <r>
      <rPr>
        <sz val="10"/>
        <color indexed="12"/>
        <rFont val="Arial Narrow"/>
        <family val="2"/>
      </rPr>
      <t>(3)</t>
    </r>
    <r>
      <rPr>
        <sz val="10"/>
        <color indexed="12"/>
        <rFont val="宋体"/>
        <family val="3"/>
        <charset val="134"/>
      </rPr>
      <t>合并后已处置或准备处置被购买方资产、负债的账面价值、处置价格等。</t>
    </r>
    <r>
      <rPr>
        <sz val="10"/>
        <color indexed="12"/>
        <rFont val="Arial Narrow"/>
        <family val="2"/>
      </rPr>
      <t>)]</t>
    </r>
  </si>
  <si>
    <r>
      <rPr>
        <sz val="10"/>
        <rFont val="宋体"/>
        <family val="3"/>
        <charset val="134"/>
      </rPr>
      <t>取得上述子公司的现金流量净额分析如下：</t>
    </r>
  </si>
  <si>
    <r>
      <rPr>
        <sz val="10"/>
        <rFont val="Arial Narrow"/>
        <family val="2"/>
      </rPr>
      <t>2</t>
    </r>
    <r>
      <rPr>
        <sz val="10"/>
        <rFont val="宋体"/>
        <family val="3"/>
        <charset val="134"/>
      </rPr>
      <t>、处置子公司</t>
    </r>
  </si>
  <si>
    <r>
      <rPr>
        <sz val="10"/>
        <rFont val="宋体"/>
        <family val="3"/>
        <charset val="134"/>
      </rPr>
      <t>（</t>
    </r>
    <r>
      <rPr>
        <sz val="10"/>
        <rFont val="Arial Narrow"/>
        <family val="2"/>
      </rPr>
      <t>1</t>
    </r>
    <r>
      <rPr>
        <sz val="10"/>
        <rFont val="宋体"/>
        <family val="3"/>
        <charset val="134"/>
      </rPr>
      <t>）本年不再纳入合并范围的原子公司</t>
    </r>
  </si>
  <si>
    <r>
      <rPr>
        <b/>
        <sz val="10"/>
        <rFont val="宋体"/>
        <family val="3"/>
        <charset val="134"/>
      </rPr>
      <t>本公司投资额</t>
    </r>
  </si>
  <si>
    <r>
      <rPr>
        <b/>
        <sz val="10"/>
        <rFont val="宋体"/>
        <family val="3"/>
        <charset val="134"/>
      </rPr>
      <t>本公司合计的持股比例</t>
    </r>
    <r>
      <rPr>
        <b/>
        <sz val="10"/>
        <rFont val="Arial Narrow"/>
        <family val="2"/>
      </rPr>
      <t>%</t>
    </r>
  </si>
  <si>
    <r>
      <rPr>
        <b/>
        <sz val="10"/>
        <rFont val="宋体"/>
        <family val="3"/>
        <charset val="134"/>
      </rPr>
      <t>本公司合计的表决权比例</t>
    </r>
    <r>
      <rPr>
        <b/>
        <sz val="10"/>
        <rFont val="Arial Narrow"/>
        <family val="2"/>
      </rPr>
      <t>%</t>
    </r>
  </si>
  <si>
    <r>
      <rPr>
        <b/>
        <sz val="10"/>
        <rFont val="宋体"/>
        <family val="3"/>
        <charset val="134"/>
      </rPr>
      <t>不再成为子公司原因</t>
    </r>
  </si>
  <si>
    <r>
      <rPr>
        <sz val="10"/>
        <color indexed="12"/>
        <rFont val="宋体"/>
        <family val="3"/>
        <charset val="134"/>
      </rPr>
      <t>〔注</t>
    </r>
    <r>
      <rPr>
        <sz val="10"/>
        <color indexed="12"/>
        <rFont val="Arial Narrow"/>
        <family val="2"/>
      </rPr>
      <t>X</t>
    </r>
    <r>
      <rPr>
        <sz val="10"/>
        <color indexed="12"/>
        <rFont val="宋体"/>
        <family val="3"/>
        <charset val="134"/>
      </rPr>
      <t>〕</t>
    </r>
  </si>
  <si>
    <r>
      <rPr>
        <sz val="10"/>
        <rFont val="宋体"/>
        <family val="3"/>
        <charset val="134"/>
      </rPr>
      <t>注</t>
    </r>
    <r>
      <rPr>
        <sz val="10"/>
        <color indexed="12"/>
        <rFont val="Arial Narrow"/>
        <family val="2"/>
      </rPr>
      <t>1</t>
    </r>
    <r>
      <rPr>
        <sz val="10"/>
        <color indexed="12"/>
        <rFont val="宋体"/>
        <family val="3"/>
        <charset val="134"/>
      </rPr>
      <t>、本公司所属</t>
    </r>
    <r>
      <rPr>
        <sz val="10"/>
        <color indexed="12"/>
        <rFont val="Arial Narrow"/>
        <family val="2"/>
      </rPr>
      <t>XX</t>
    </r>
    <r>
      <rPr>
        <sz val="10"/>
        <color indexed="12"/>
        <rFont val="宋体"/>
        <family val="3"/>
        <charset val="134"/>
      </rPr>
      <t>有限公司与</t>
    </r>
    <r>
      <rPr>
        <sz val="10"/>
        <color indexed="12"/>
        <rFont val="Arial Narrow"/>
        <family val="2"/>
      </rPr>
      <t>ZZ</t>
    </r>
    <r>
      <rPr>
        <sz val="10"/>
        <color indexed="12"/>
        <rFont val="宋体"/>
        <family val="3"/>
        <charset val="134"/>
      </rPr>
      <t>有限公司于</t>
    </r>
    <r>
      <rPr>
        <sz val="10"/>
        <color indexed="12"/>
        <rFont val="Arial Narrow"/>
        <family val="2"/>
      </rPr>
      <t>[20X9</t>
    </r>
    <r>
      <rPr>
        <sz val="10"/>
        <color indexed="12"/>
        <rFont val="宋体"/>
        <family val="3"/>
        <charset val="134"/>
      </rPr>
      <t>年</t>
    </r>
    <r>
      <rPr>
        <sz val="10"/>
        <color indexed="12"/>
        <rFont val="Arial Narrow"/>
        <family val="2"/>
      </rPr>
      <t>6</t>
    </r>
    <r>
      <rPr>
        <sz val="10"/>
        <color indexed="12"/>
        <rFont val="宋体"/>
        <family val="3"/>
        <charset val="134"/>
      </rPr>
      <t>月</t>
    </r>
    <r>
      <rPr>
        <sz val="10"/>
        <color indexed="12"/>
        <rFont val="Arial Narrow"/>
        <family val="2"/>
      </rPr>
      <t>30</t>
    </r>
    <r>
      <rPr>
        <sz val="10"/>
        <color indexed="12"/>
        <rFont val="宋体"/>
        <family val="3"/>
        <charset val="134"/>
      </rPr>
      <t>日</t>
    </r>
    <r>
      <rPr>
        <sz val="10"/>
        <color indexed="12"/>
        <rFont val="Arial Narrow"/>
        <family val="2"/>
      </rPr>
      <t>]</t>
    </r>
    <r>
      <rPr>
        <sz val="10"/>
        <color indexed="12"/>
        <rFont val="宋体"/>
        <family val="3"/>
        <charset val="134"/>
      </rPr>
      <t>签订股权转让协议，以</t>
    </r>
    <r>
      <rPr>
        <sz val="10"/>
        <color indexed="12"/>
        <rFont val="Arial Narrow"/>
        <family val="2"/>
      </rPr>
      <t xml:space="preserve"> []</t>
    </r>
    <r>
      <rPr>
        <sz val="10"/>
        <color indexed="12"/>
        <rFont val="宋体"/>
        <family val="3"/>
        <charset val="134"/>
      </rPr>
      <t>元出售其所持有</t>
    </r>
    <r>
      <rPr>
        <sz val="10"/>
        <color indexed="12"/>
        <rFont val="Arial Narrow"/>
        <family val="2"/>
      </rPr>
      <t>D</t>
    </r>
    <r>
      <rPr>
        <sz val="10"/>
        <color indexed="12"/>
        <rFont val="宋体"/>
        <family val="3"/>
        <charset val="134"/>
      </rPr>
      <t>公司的</t>
    </r>
    <r>
      <rPr>
        <sz val="10"/>
        <color indexed="12"/>
        <rFont val="Arial Narrow"/>
        <family val="2"/>
      </rPr>
      <t>XX%</t>
    </r>
    <r>
      <rPr>
        <sz val="10"/>
        <color indexed="12"/>
        <rFont val="宋体"/>
        <family val="3"/>
        <charset val="134"/>
      </rPr>
      <t>股权，处置日为</t>
    </r>
    <r>
      <rPr>
        <sz val="10"/>
        <color indexed="12"/>
        <rFont val="Arial Narrow"/>
        <family val="2"/>
      </rPr>
      <t>20XX</t>
    </r>
    <r>
      <rPr>
        <sz val="10"/>
        <color indexed="12"/>
        <rFont val="宋体"/>
        <family val="3"/>
        <charset val="134"/>
      </rPr>
      <t>年</t>
    </r>
    <r>
      <rPr>
        <sz val="10"/>
        <color indexed="12"/>
        <rFont val="Arial Narrow"/>
        <family val="2"/>
      </rPr>
      <t>X</t>
    </r>
    <r>
      <rPr>
        <sz val="10"/>
        <color indexed="12"/>
        <rFont val="宋体"/>
        <family val="3"/>
        <charset val="134"/>
      </rPr>
      <t>月</t>
    </r>
    <r>
      <rPr>
        <sz val="10"/>
        <color indexed="12"/>
        <rFont val="Arial Narrow"/>
        <family val="2"/>
      </rPr>
      <t>1</t>
    </r>
    <r>
      <rPr>
        <sz val="10"/>
        <color indexed="12"/>
        <rFont val="宋体"/>
        <family val="3"/>
        <charset val="134"/>
      </rPr>
      <t>日。故自</t>
    </r>
    <r>
      <rPr>
        <sz val="10"/>
        <color indexed="12"/>
        <rFont val="Arial Narrow"/>
        <family val="2"/>
      </rPr>
      <t>20XX</t>
    </r>
    <r>
      <rPr>
        <sz val="10"/>
        <color indexed="12"/>
        <rFont val="宋体"/>
        <family val="3"/>
        <charset val="134"/>
      </rPr>
      <t>年</t>
    </r>
    <r>
      <rPr>
        <sz val="10"/>
        <color indexed="12"/>
        <rFont val="Arial Narrow"/>
        <family val="2"/>
      </rPr>
      <t>X</t>
    </r>
    <r>
      <rPr>
        <sz val="10"/>
        <color indexed="12"/>
        <rFont val="宋体"/>
        <family val="3"/>
        <charset val="134"/>
      </rPr>
      <t>月</t>
    </r>
    <r>
      <rPr>
        <sz val="10"/>
        <color indexed="12"/>
        <rFont val="Arial Narrow"/>
        <family val="2"/>
      </rPr>
      <t>1</t>
    </r>
    <r>
      <rPr>
        <sz val="10"/>
        <color indexed="12"/>
        <rFont val="宋体"/>
        <family val="3"/>
        <charset val="134"/>
      </rPr>
      <t>日起，</t>
    </r>
    <r>
      <rPr>
        <sz val="10"/>
        <color indexed="12"/>
        <rFont val="Arial Narrow"/>
        <family val="2"/>
      </rPr>
      <t xml:space="preserve"> </t>
    </r>
    <r>
      <rPr>
        <sz val="10"/>
        <color indexed="12"/>
        <rFont val="宋体"/>
        <family val="3"/>
        <charset val="134"/>
      </rPr>
      <t>本公司不再将</t>
    </r>
    <r>
      <rPr>
        <sz val="10"/>
        <color indexed="12"/>
        <rFont val="Arial Narrow"/>
        <family val="2"/>
      </rPr>
      <t>D</t>
    </r>
    <r>
      <rPr>
        <sz val="10"/>
        <color indexed="12"/>
        <rFont val="宋体"/>
        <family val="3"/>
        <charset val="134"/>
      </rPr>
      <t>公司纳入合并范围。</t>
    </r>
  </si>
  <si>
    <r>
      <rPr>
        <sz val="10"/>
        <rFont val="宋体"/>
        <family val="3"/>
        <charset val="134"/>
      </rPr>
      <t>（</t>
    </r>
    <r>
      <rPr>
        <sz val="10"/>
        <rFont val="Arial Narrow"/>
        <family val="2"/>
      </rPr>
      <t>2</t>
    </r>
    <r>
      <rPr>
        <sz val="10"/>
        <rFont val="宋体"/>
        <family val="3"/>
        <charset val="134"/>
      </rPr>
      <t>）本期出售的子公司出售日、上年末的财务状况列示如下：</t>
    </r>
  </si>
  <si>
    <r>
      <rPr>
        <b/>
        <sz val="10"/>
        <color indexed="10"/>
        <rFont val="宋体"/>
        <family val="3"/>
        <charset val="134"/>
      </rPr>
      <t>（</t>
    </r>
    <r>
      <rPr>
        <b/>
        <sz val="10"/>
        <color indexed="10"/>
        <rFont val="Arial Narrow"/>
        <family val="2"/>
      </rPr>
      <t>D</t>
    </r>
    <r>
      <rPr>
        <b/>
        <sz val="10"/>
        <color indexed="10"/>
        <rFont val="宋体"/>
        <family val="3"/>
        <charset val="134"/>
      </rPr>
      <t>公司）</t>
    </r>
  </si>
  <si>
    <r>
      <rPr>
        <b/>
        <sz val="10"/>
        <color indexed="10"/>
        <rFont val="宋体"/>
        <family val="3"/>
        <charset val="134"/>
      </rPr>
      <t>（</t>
    </r>
    <r>
      <rPr>
        <b/>
        <sz val="10"/>
        <color indexed="10"/>
        <rFont val="Arial Narrow"/>
        <family val="2"/>
      </rPr>
      <t>E</t>
    </r>
    <r>
      <rPr>
        <b/>
        <sz val="10"/>
        <color indexed="10"/>
        <rFont val="宋体"/>
        <family val="3"/>
        <charset val="134"/>
      </rPr>
      <t>公司）</t>
    </r>
  </si>
  <si>
    <r>
      <rPr>
        <b/>
        <sz val="10"/>
        <color indexed="10"/>
        <rFont val="宋体"/>
        <family val="3"/>
        <charset val="134"/>
      </rPr>
      <t>（</t>
    </r>
    <r>
      <rPr>
        <b/>
        <sz val="10"/>
        <color indexed="10"/>
        <rFont val="Arial Narrow"/>
        <family val="2"/>
      </rPr>
      <t>F</t>
    </r>
    <r>
      <rPr>
        <b/>
        <sz val="10"/>
        <color indexed="10"/>
        <rFont val="宋体"/>
        <family val="3"/>
        <charset val="134"/>
      </rPr>
      <t>公司）</t>
    </r>
  </si>
  <si>
    <r>
      <rPr>
        <b/>
        <sz val="10"/>
        <rFont val="宋体"/>
        <family val="3"/>
        <charset val="134"/>
      </rPr>
      <t>出售日</t>
    </r>
  </si>
  <si>
    <t>2008.12.31</t>
  </si>
  <si>
    <r>
      <rPr>
        <sz val="10"/>
        <rFont val="宋体"/>
        <family val="3"/>
        <charset val="134"/>
      </rPr>
      <t>处置损益</t>
    </r>
  </si>
  <si>
    <r>
      <rPr>
        <sz val="10"/>
        <rFont val="宋体"/>
        <family val="3"/>
        <charset val="134"/>
      </rPr>
      <t>处置对价</t>
    </r>
  </si>
  <si>
    <r>
      <rPr>
        <sz val="10"/>
        <rFont val="宋体"/>
        <family val="3"/>
        <charset val="134"/>
      </rPr>
      <t>（</t>
    </r>
    <r>
      <rPr>
        <sz val="10"/>
        <rFont val="Arial Narrow"/>
        <family val="2"/>
      </rPr>
      <t>3</t>
    </r>
    <r>
      <rPr>
        <sz val="10"/>
        <rFont val="宋体"/>
        <family val="3"/>
        <charset val="134"/>
      </rPr>
      <t>）本期出售的子公司年初至出售日、上年度的经营成果列示如下：</t>
    </r>
  </si>
  <si>
    <r>
      <rPr>
        <b/>
        <sz val="10"/>
        <rFont val="Arial Narrow"/>
        <family val="2"/>
      </rPr>
      <t>20X9.01.01-</t>
    </r>
    <r>
      <rPr>
        <b/>
        <sz val="10"/>
        <rFont val="宋体"/>
        <family val="3"/>
        <charset val="134"/>
      </rPr>
      <t>出售日</t>
    </r>
  </si>
  <si>
    <r>
      <rPr>
        <b/>
        <sz val="10"/>
        <rFont val="Arial Narrow"/>
        <family val="2"/>
      </rPr>
      <t>20X8</t>
    </r>
    <r>
      <rPr>
        <b/>
        <sz val="10"/>
        <rFont val="宋体"/>
        <family val="3"/>
        <charset val="134"/>
      </rPr>
      <t>年度</t>
    </r>
  </si>
  <si>
    <r>
      <rPr>
        <sz val="10"/>
        <rFont val="宋体"/>
        <family val="3"/>
        <charset val="134"/>
      </rPr>
      <t>营务利润</t>
    </r>
  </si>
  <si>
    <r>
      <rPr>
        <sz val="10"/>
        <rFont val="宋体"/>
        <family val="3"/>
        <charset val="134"/>
      </rPr>
      <t>（</t>
    </r>
    <r>
      <rPr>
        <sz val="10"/>
        <rFont val="Arial Narrow"/>
        <family val="2"/>
      </rPr>
      <t>4</t>
    </r>
    <r>
      <rPr>
        <sz val="10"/>
        <rFont val="宋体"/>
        <family val="3"/>
        <charset val="134"/>
      </rPr>
      <t>）处置上述子公司的产生现金流量的净额分析如下：</t>
    </r>
  </si>
  <si>
    <r>
      <rPr>
        <sz val="10"/>
        <rFont val="宋体"/>
        <family val="3"/>
        <charset val="134"/>
      </rPr>
      <t>处置子公司的价格</t>
    </r>
  </si>
  <si>
    <r>
      <rPr>
        <sz val="10"/>
        <rFont val="宋体"/>
        <family val="3"/>
        <charset val="134"/>
      </rPr>
      <t>处置子公司收到的现金</t>
    </r>
  </si>
  <si>
    <r>
      <rPr>
        <sz val="10"/>
        <rFont val="宋体"/>
        <family val="3"/>
        <charset val="134"/>
      </rPr>
      <t>处置子公司收到的现金流量净额</t>
    </r>
  </si>
  <si>
    <r>
      <rPr>
        <sz val="10"/>
        <rFont val="Arial Narrow"/>
        <family val="2"/>
      </rPr>
      <t>3</t>
    </r>
    <r>
      <rPr>
        <sz val="10"/>
        <rFont val="宋体"/>
        <family val="3"/>
        <charset val="134"/>
      </rPr>
      <t>、终止经营</t>
    </r>
  </si>
  <si>
    <r>
      <rPr>
        <b/>
        <sz val="10"/>
        <rFont val="Arial Narrow"/>
        <family val="2"/>
      </rPr>
      <t>项目</t>
    </r>
    <r>
      <rPr>
        <b/>
        <sz val="12"/>
        <rFont val="Arial Narrow"/>
        <family val="2"/>
      </rPr>
      <t xml:space="preserve">  </t>
    </r>
  </si>
  <si>
    <r>
      <rPr>
        <b/>
        <sz val="10"/>
        <rFont val="Arial Narrow"/>
        <family val="2"/>
      </rPr>
      <t xml:space="preserve">  </t>
    </r>
    <r>
      <rPr>
        <b/>
        <sz val="12"/>
        <rFont val="仿宋_GB2312"/>
        <family val="3"/>
        <charset val="134"/>
      </rPr>
      <t>本期发生额</t>
    </r>
    <r>
      <rPr>
        <b/>
        <sz val="12"/>
        <rFont val="Arial Narrow"/>
        <family val="2"/>
      </rPr>
      <t xml:space="preserve">  </t>
    </r>
  </si>
  <si>
    <r>
      <rPr>
        <b/>
        <sz val="10"/>
        <rFont val="Arial Narrow"/>
        <family val="2"/>
      </rPr>
      <t xml:space="preserve"> </t>
    </r>
    <r>
      <rPr>
        <b/>
        <sz val="10"/>
        <rFont val="仿宋_GB2312"/>
        <family val="3"/>
        <charset val="134"/>
      </rPr>
      <t>本期发生额</t>
    </r>
    <r>
      <rPr>
        <b/>
        <sz val="10"/>
        <rFont val="Arial Narrow"/>
        <family val="2"/>
      </rPr>
      <t xml:space="preserve"> </t>
    </r>
  </si>
  <si>
    <r>
      <rPr>
        <b/>
        <sz val="10"/>
        <rFont val="Arial Narrow"/>
        <family val="2"/>
      </rPr>
      <t xml:space="preserve"> </t>
    </r>
    <r>
      <rPr>
        <b/>
        <sz val="10"/>
        <rFont val="仿宋_GB2312"/>
        <family val="3"/>
        <charset val="134"/>
      </rPr>
      <t>上期发生额</t>
    </r>
    <r>
      <rPr>
        <b/>
        <sz val="10"/>
        <rFont val="Arial Narrow"/>
        <family val="2"/>
      </rPr>
      <t xml:space="preserve"> </t>
    </r>
  </si>
  <si>
    <r>
      <rPr>
        <sz val="10"/>
        <rFont val="宋体"/>
        <family val="3"/>
        <charset val="134"/>
      </rPr>
      <t>终止经营收入</t>
    </r>
    <r>
      <rPr>
        <sz val="12"/>
        <rFont val="Arial Narrow"/>
        <family val="2"/>
      </rPr>
      <t xml:space="preserve"> </t>
    </r>
    <r>
      <rPr>
        <sz val="12"/>
        <rFont val="仿宋_GB2312"/>
        <family val="3"/>
        <charset val="134"/>
      </rPr>
      <t>（</t>
    </r>
    <r>
      <rPr>
        <sz val="12"/>
        <rFont val="Arial Narrow"/>
        <family val="2"/>
      </rPr>
      <t>A</t>
    </r>
    <r>
      <rPr>
        <sz val="12"/>
        <rFont val="仿宋_GB2312"/>
        <family val="3"/>
        <charset val="134"/>
      </rPr>
      <t>）</t>
    </r>
    <r>
      <rPr>
        <sz val="12"/>
        <rFont val="Arial Narrow"/>
        <family val="2"/>
      </rPr>
      <t xml:space="preserve"> </t>
    </r>
  </si>
  <si>
    <t xml:space="preserve"> 减：终止经营费用（B）</t>
  </si>
  <si>
    <r>
      <rPr>
        <sz val="10"/>
        <rFont val="Arial Narrow"/>
        <family val="2"/>
      </rPr>
      <t>终止经营利润总额（</t>
    </r>
    <r>
      <rPr>
        <sz val="12"/>
        <rFont val="Arial Narrow"/>
        <family val="2"/>
      </rPr>
      <t>C</t>
    </r>
    <r>
      <rPr>
        <sz val="12"/>
        <rFont val="仿宋_GB2312"/>
        <family val="3"/>
        <charset val="134"/>
      </rPr>
      <t>）</t>
    </r>
    <r>
      <rPr>
        <sz val="12"/>
        <rFont val="Arial Narrow"/>
        <family val="2"/>
      </rPr>
      <t xml:space="preserve">  </t>
    </r>
  </si>
  <si>
    <t xml:space="preserve"> 减：终止经营所得税费用（D）  </t>
  </si>
  <si>
    <r>
      <rPr>
        <sz val="10"/>
        <rFont val="Arial Narrow"/>
        <family val="2"/>
      </rPr>
      <t>经营活动净利润（</t>
    </r>
    <r>
      <rPr>
        <sz val="12"/>
        <rFont val="Arial Narrow"/>
        <family val="2"/>
      </rPr>
      <t>E=C-D</t>
    </r>
    <r>
      <rPr>
        <sz val="12"/>
        <rFont val="仿宋_GB2312"/>
        <family val="3"/>
        <charset val="134"/>
      </rPr>
      <t>）</t>
    </r>
    <r>
      <rPr>
        <sz val="12"/>
        <rFont val="Arial Narrow"/>
        <family val="2"/>
      </rPr>
      <t xml:space="preserve">  </t>
    </r>
  </si>
  <si>
    <r>
      <rPr>
        <sz val="10"/>
        <rFont val="Arial Narrow"/>
        <family val="2"/>
      </rPr>
      <t>资产减值损失</t>
    </r>
    <r>
      <rPr>
        <sz val="12"/>
        <rFont val="Arial Narrow"/>
        <family val="2"/>
      </rPr>
      <t>/</t>
    </r>
    <r>
      <rPr>
        <sz val="12"/>
        <rFont val="仿宋_GB2312"/>
        <family val="3"/>
        <charset val="134"/>
      </rPr>
      <t>（转回）（</t>
    </r>
    <r>
      <rPr>
        <sz val="12"/>
        <rFont val="Arial Narrow"/>
        <family val="2"/>
      </rPr>
      <t>F</t>
    </r>
    <r>
      <rPr>
        <sz val="12"/>
        <rFont val="仿宋_GB2312"/>
        <family val="3"/>
        <charset val="134"/>
      </rPr>
      <t>）</t>
    </r>
  </si>
  <si>
    <r>
      <rPr>
        <sz val="10"/>
        <rFont val="Arial Narrow"/>
        <family val="2"/>
      </rPr>
      <t>处置收益总额（</t>
    </r>
    <r>
      <rPr>
        <sz val="12"/>
        <rFont val="Arial Narrow"/>
        <family val="2"/>
      </rPr>
      <t>G</t>
    </r>
    <r>
      <rPr>
        <sz val="12"/>
        <rFont val="仿宋_GB2312"/>
        <family val="3"/>
        <charset val="134"/>
      </rPr>
      <t>）</t>
    </r>
  </si>
  <si>
    <r>
      <rPr>
        <sz val="10"/>
        <rFont val="Arial Narrow"/>
        <family val="2"/>
      </rPr>
      <t>处置相关所得税费用（</t>
    </r>
    <r>
      <rPr>
        <sz val="12"/>
        <rFont val="Arial Narrow"/>
        <family val="2"/>
      </rPr>
      <t>H</t>
    </r>
    <r>
      <rPr>
        <sz val="12"/>
        <rFont val="仿宋_GB2312"/>
        <family val="3"/>
        <charset val="134"/>
      </rPr>
      <t>）</t>
    </r>
  </si>
  <si>
    <r>
      <rPr>
        <sz val="10"/>
        <rFont val="Arial Narrow"/>
        <family val="2"/>
      </rPr>
      <t>处置净利润（</t>
    </r>
    <r>
      <rPr>
        <sz val="12"/>
        <rFont val="Arial Narrow"/>
        <family val="2"/>
      </rPr>
      <t>I=G-H</t>
    </r>
    <r>
      <rPr>
        <sz val="12"/>
        <rFont val="仿宋_GB2312"/>
        <family val="3"/>
        <charset val="134"/>
      </rPr>
      <t>）</t>
    </r>
  </si>
  <si>
    <r>
      <rPr>
        <sz val="10"/>
        <rFont val="Arial Narrow"/>
        <family val="2"/>
      </rPr>
      <t>终止经营净利润（</t>
    </r>
    <r>
      <rPr>
        <sz val="12"/>
        <rFont val="Arial Narrow"/>
        <family val="2"/>
      </rPr>
      <t>J=E+F+I</t>
    </r>
    <r>
      <rPr>
        <sz val="12"/>
        <rFont val="仿宋_GB2312"/>
        <family val="3"/>
        <charset val="134"/>
      </rPr>
      <t>）</t>
    </r>
  </si>
  <si>
    <t>其中：归属于母公司股东的终止经营利润</t>
  </si>
  <si>
    <t xml:space="preserve">      归属于少数股东的终止经营利润</t>
  </si>
  <si>
    <t>经营活动现金流量净额</t>
  </si>
  <si>
    <t>投资活动现金流量净额</t>
  </si>
  <si>
    <t>筹资活动现金流量净额</t>
  </si>
  <si>
    <t>如果因出售对子公司的投资等原因导致丧失对子公司控制权，且该子公司符合终止经营定义的，应在合并利润表中列报相关终止经营损益，并需披露上述信息。</t>
  </si>
  <si>
    <t>如果对终止经营处置损益进行调整，需披露调整的性质和金额。</t>
  </si>
  <si>
    <t>不符合终止经营定义的持有待售的非流动资产或处置组，其减值损失和转回金额及处置损益应当作为持续经营损益列报；非流动资产或处置组不再继续划分为持有待售类别或非流动资产从持有待售的处置组中移除的，非流动资产或处置组的账面价值调整金额应当在当期利润表中作为持续经营损益列报；终止经营的减值损失和转回金额等经营损益、处置损益及其调整金额应当作为终止经营损益列报。</t>
  </si>
  <si>
    <r>
      <rPr>
        <sz val="10"/>
        <rFont val="Arial Narrow"/>
        <family val="2"/>
      </rPr>
      <t>4</t>
    </r>
    <r>
      <rPr>
        <sz val="10"/>
        <rFont val="宋体"/>
        <family val="3"/>
        <charset val="134"/>
      </rPr>
      <t>、政府补助</t>
    </r>
  </si>
  <si>
    <t xml:space="preserve">【因政府补助涉及递延收益、其他收益、营业外收支、成本费用、固定资产等多个报表项目，在此统一披露政府补助的有关信息。
在附注中分别公司本期取得与资产相关、与收益相关的政府补助，逐项披露其种类以及对应的期初额、期末额。】
</t>
  </si>
  <si>
    <t>（1）计入递延收益的政府补助，后续采用总额法计量</t>
  </si>
  <si>
    <t>补助项目</t>
  </si>
  <si>
    <t>种类</t>
  </si>
  <si>
    <t>期初余额</t>
  </si>
  <si>
    <t>本期新增补助金额</t>
  </si>
  <si>
    <t>本期结转计入损益的金额</t>
  </si>
  <si>
    <t>其他变动</t>
  </si>
  <si>
    <t>本期结转计入损益的列报项目</t>
  </si>
  <si>
    <r>
      <rPr>
        <b/>
        <sz val="10"/>
        <rFont val="宋体"/>
        <family val="3"/>
        <charset val="134"/>
      </rPr>
      <t>与资产相关</t>
    </r>
    <r>
      <rPr>
        <b/>
        <sz val="10"/>
        <rFont val="Arial Narrow"/>
        <family val="2"/>
      </rPr>
      <t>/</t>
    </r>
    <r>
      <rPr>
        <b/>
        <sz val="10"/>
        <rFont val="仿宋_GB2312"/>
        <family val="3"/>
        <charset val="134"/>
      </rPr>
      <t>与收益相关</t>
    </r>
  </si>
  <si>
    <t>科技项目经费</t>
  </si>
  <si>
    <t>财政拨款</t>
  </si>
  <si>
    <t>营业外收入</t>
  </si>
  <si>
    <t>信息披露解释性公告第2号规定：公司应当遵循重要性原则，对涉及政府补助的负债项目，在财务报表附注的相关项目下，逐项披露相关期初余额、本期新增补助金额、本期计入营业外收入金额、本期转入资本公积金额以及期末余额。对于相关文件未明确规定补助对象的政府补助项目，公司还应单独说明其划分依据。</t>
  </si>
  <si>
    <r>
      <rPr>
        <sz val="10"/>
        <rFont val="宋体"/>
        <family val="3"/>
        <charset val="134"/>
      </rPr>
      <t>（</t>
    </r>
    <r>
      <rPr>
        <sz val="10"/>
        <rFont val="Arial Narrow"/>
        <family val="2"/>
      </rPr>
      <t>2</t>
    </r>
    <r>
      <rPr>
        <sz val="10"/>
        <rFont val="宋体"/>
        <family val="3"/>
        <charset val="134"/>
      </rPr>
      <t>）计入递延收益的政府补助，后续采用净额法计量</t>
    </r>
  </si>
  <si>
    <t>管理费用</t>
  </si>
  <si>
    <r>
      <rPr>
        <sz val="10"/>
        <rFont val="宋体"/>
        <family val="3"/>
        <charset val="134"/>
      </rPr>
      <t>（</t>
    </r>
    <r>
      <rPr>
        <sz val="10"/>
        <rFont val="Arial Narrow"/>
        <family val="2"/>
      </rPr>
      <t>3</t>
    </r>
    <r>
      <rPr>
        <sz val="10"/>
        <rFont val="宋体"/>
        <family val="3"/>
        <charset val="134"/>
      </rPr>
      <t>）采用总额法计入当期损益的政府补助情况</t>
    </r>
  </si>
  <si>
    <t>本期计入损益的金额</t>
  </si>
  <si>
    <r>
      <rPr>
        <sz val="10"/>
        <rFont val="宋体"/>
        <family val="3"/>
        <charset val="134"/>
      </rPr>
      <t>（</t>
    </r>
    <r>
      <rPr>
        <sz val="10"/>
        <rFont val="Arial Narrow"/>
        <family val="2"/>
      </rPr>
      <t>4</t>
    </r>
    <r>
      <rPr>
        <sz val="10"/>
        <rFont val="宋体"/>
        <family val="3"/>
        <charset val="134"/>
      </rPr>
      <t>）采用净额法计入冲减相关成本的政府补助情况</t>
    </r>
  </si>
  <si>
    <t>本期冲减相关成本的金额</t>
  </si>
  <si>
    <t>本期冲减相关成本的列报项目</t>
  </si>
  <si>
    <r>
      <rPr>
        <b/>
        <sz val="12"/>
        <rFont val="宋体"/>
        <family val="3"/>
        <charset val="134"/>
      </rPr>
      <t>非经常性损益</t>
    </r>
  </si>
  <si>
    <r>
      <rPr>
        <b/>
        <sz val="10"/>
        <rFont val="宋体"/>
        <family val="3"/>
        <charset val="134"/>
      </rPr>
      <t>项目及其金额如下</t>
    </r>
    <r>
      <rPr>
        <b/>
        <sz val="10"/>
        <color indexed="12"/>
        <rFont val="宋体"/>
        <family val="3"/>
        <charset val="134"/>
      </rPr>
      <t>（损失</t>
    </r>
    <r>
      <rPr>
        <b/>
        <sz val="10"/>
        <color indexed="12"/>
        <rFont val="Arial Narrow"/>
        <family val="2"/>
      </rPr>
      <t>"-"</t>
    </r>
    <r>
      <rPr>
        <b/>
        <sz val="10"/>
        <color indexed="12"/>
        <rFont val="宋体"/>
        <family val="3"/>
        <charset val="134"/>
      </rPr>
      <t>）</t>
    </r>
  </si>
  <si>
    <r>
      <rPr>
        <sz val="10"/>
        <rFont val="宋体"/>
        <family val="3"/>
        <charset val="134"/>
      </rPr>
      <t>非流动性资产处置损益</t>
    </r>
  </si>
  <si>
    <r>
      <rPr>
        <sz val="10"/>
        <color indexed="8"/>
        <rFont val="宋体"/>
        <family val="3"/>
        <charset val="134"/>
      </rPr>
      <t>越权审批，或无正式批准文件，或偶发性的税收返还、减免</t>
    </r>
  </si>
  <si>
    <r>
      <rPr>
        <sz val="10"/>
        <color indexed="8"/>
        <rFont val="宋体"/>
        <family val="3"/>
        <charset val="134"/>
      </rPr>
      <t>政府补助</t>
    </r>
  </si>
  <si>
    <r>
      <rPr>
        <sz val="10"/>
        <color indexed="8"/>
        <rFont val="宋体"/>
        <family val="3"/>
        <charset val="134"/>
      </rPr>
      <t>对非金融企业收取的资金占用费</t>
    </r>
  </si>
  <si>
    <r>
      <rPr>
        <sz val="10"/>
        <color indexed="8"/>
        <rFont val="宋体"/>
        <family val="3"/>
        <charset val="134"/>
      </rPr>
      <t>取得子公司、联营企业及合营企业的投资成本小于取得投资时应享有被投资单位可辨认净资产公允价值产生的收益</t>
    </r>
  </si>
  <si>
    <r>
      <rPr>
        <sz val="10"/>
        <color indexed="8"/>
        <rFont val="宋体"/>
        <family val="3"/>
        <charset val="134"/>
      </rPr>
      <t>非货币性资产交换损益</t>
    </r>
  </si>
  <si>
    <r>
      <rPr>
        <sz val="10"/>
        <color indexed="8"/>
        <rFont val="宋体"/>
        <family val="3"/>
        <charset val="134"/>
      </rPr>
      <t>委托他人投资或管理资产的损益</t>
    </r>
  </si>
  <si>
    <r>
      <rPr>
        <sz val="10"/>
        <color indexed="8"/>
        <rFont val="宋体"/>
        <family val="3"/>
        <charset val="134"/>
      </rPr>
      <t>因不可抗力因素，如遭受自然灾害而计提的各项资产减值准备</t>
    </r>
  </si>
  <si>
    <r>
      <rPr>
        <sz val="10"/>
        <rFont val="宋体"/>
        <family val="3"/>
        <charset val="134"/>
      </rPr>
      <t>债务重组损益</t>
    </r>
  </si>
  <si>
    <r>
      <rPr>
        <sz val="10"/>
        <color indexed="8"/>
        <rFont val="宋体"/>
        <family val="3"/>
        <charset val="134"/>
      </rPr>
      <t>企业重组费用</t>
    </r>
  </si>
  <si>
    <r>
      <rPr>
        <sz val="10"/>
        <rFont val="宋体"/>
        <family val="3"/>
        <charset val="134"/>
      </rPr>
      <t>交易价格显失公允的交易产生的超过公允价值部分的损益</t>
    </r>
  </si>
  <si>
    <r>
      <rPr>
        <sz val="10"/>
        <rFont val="宋体"/>
        <family val="3"/>
        <charset val="134"/>
      </rPr>
      <t>同一控制下企业合并产生的子公司期初至合并日的当期净损益</t>
    </r>
  </si>
  <si>
    <r>
      <rPr>
        <sz val="10"/>
        <rFont val="宋体"/>
        <family val="3"/>
        <charset val="134"/>
      </rPr>
      <t>与公司正常经营业务无关的或有事项产生的损益</t>
    </r>
  </si>
  <si>
    <r>
      <rPr>
        <sz val="10"/>
        <rFont val="宋体"/>
        <family val="3"/>
        <charset val="134"/>
      </rPr>
      <t>除同公司正常经营业务相关的有效套期保值业务外，持有交易性金融资产、交易性金融负债产生的公允价值变动损益</t>
    </r>
  </si>
  <si>
    <r>
      <rPr>
        <sz val="10"/>
        <rFont val="宋体"/>
        <family val="3"/>
        <charset val="134"/>
      </rPr>
      <t>处置交易性金融资产、交易性金融负债和可供出售金融资产取得的投资收益</t>
    </r>
  </si>
  <si>
    <r>
      <rPr>
        <sz val="10"/>
        <rFont val="宋体"/>
        <family val="3"/>
        <charset val="134"/>
      </rPr>
      <t>单独进行减值测试的应收款项减值准备转回</t>
    </r>
  </si>
  <si>
    <r>
      <rPr>
        <sz val="10"/>
        <rFont val="宋体"/>
        <family val="3"/>
        <charset val="134"/>
      </rPr>
      <t>对外委托贷款取得的损益</t>
    </r>
  </si>
  <si>
    <r>
      <rPr>
        <sz val="10"/>
        <rFont val="宋体"/>
        <family val="3"/>
        <charset val="134"/>
      </rPr>
      <t>采用公允价值模式进行后续计量的投资性房地产公允价值变动产生的损益</t>
    </r>
  </si>
  <si>
    <r>
      <rPr>
        <sz val="10"/>
        <rFont val="宋体"/>
        <family val="3"/>
        <charset val="134"/>
      </rPr>
      <t>根据税收、会计等法律、法规的要求对当期损益进行一次性调整对当期损益的影响</t>
    </r>
  </si>
  <si>
    <r>
      <rPr>
        <sz val="10"/>
        <rFont val="宋体"/>
        <family val="3"/>
        <charset val="134"/>
      </rPr>
      <t>受托经营取得的托管费收入</t>
    </r>
  </si>
  <si>
    <r>
      <rPr>
        <sz val="10"/>
        <rFont val="宋体"/>
        <family val="3"/>
        <charset val="134"/>
      </rPr>
      <t>除上述各项之外的其他营业外收入和支出</t>
    </r>
  </si>
  <si>
    <r>
      <rPr>
        <sz val="10"/>
        <rFont val="宋体"/>
        <family val="3"/>
        <charset val="134"/>
      </rPr>
      <t>其他符合非经常性损益定义的损益项目</t>
    </r>
  </si>
  <si>
    <r>
      <rPr>
        <sz val="10"/>
        <rFont val="宋体"/>
        <family val="3"/>
        <charset val="134"/>
      </rPr>
      <t>非经常性损益总额</t>
    </r>
  </si>
  <si>
    <r>
      <rPr>
        <sz val="10"/>
        <rFont val="宋体"/>
        <family val="3"/>
        <charset val="134"/>
      </rPr>
      <t>减：非经常性损益的所得税影响数</t>
    </r>
  </si>
  <si>
    <r>
      <rPr>
        <sz val="10"/>
        <rFont val="宋体"/>
        <family val="3"/>
        <charset val="134"/>
      </rPr>
      <t>非经常性损益净额</t>
    </r>
  </si>
  <si>
    <r>
      <rPr>
        <sz val="10"/>
        <rFont val="宋体"/>
        <family val="3"/>
        <charset val="134"/>
      </rPr>
      <t>减：归属于少数股东的非经常性损益净影响数</t>
    </r>
  </si>
  <si>
    <r>
      <rPr>
        <sz val="10"/>
        <rFont val="宋体"/>
        <family val="3"/>
        <charset val="134"/>
      </rPr>
      <t>归属于公司普通股股东的非经常性损益</t>
    </r>
  </si>
  <si>
    <r>
      <rPr>
        <sz val="10"/>
        <color indexed="12"/>
        <rFont val="宋体"/>
        <family val="3"/>
        <charset val="134"/>
      </rPr>
      <t>（</t>
    </r>
    <r>
      <rPr>
        <sz val="10"/>
        <color indexed="12"/>
        <rFont val="Arial Narrow"/>
        <family val="2"/>
      </rPr>
      <t>1</t>
    </r>
    <r>
      <rPr>
        <sz val="10"/>
        <color indexed="12"/>
        <rFont val="宋体"/>
        <family val="3"/>
        <charset val="134"/>
      </rPr>
      <t>）（重大非经常性损益项目的说明）</t>
    </r>
  </si>
  <si>
    <r>
      <rPr>
        <sz val="10"/>
        <color indexed="12"/>
        <rFont val="宋体"/>
        <family val="3"/>
        <charset val="134"/>
      </rPr>
      <t>（</t>
    </r>
    <r>
      <rPr>
        <sz val="10"/>
        <color indexed="12"/>
        <rFont val="Arial Narrow"/>
        <family val="2"/>
      </rPr>
      <t>2</t>
    </r>
    <r>
      <rPr>
        <sz val="10"/>
        <color indexed="12"/>
        <rFont val="宋体"/>
        <family val="3"/>
        <charset val="134"/>
      </rPr>
      <t>）（根据自身正常经营业务的性质和特点将</t>
    </r>
    <r>
      <rPr>
        <sz val="10"/>
        <color indexed="12"/>
        <rFont val="Arial Narrow"/>
        <family val="2"/>
      </rPr>
      <t>“</t>
    </r>
    <r>
      <rPr>
        <sz val="10"/>
        <color indexed="12"/>
        <rFont val="宋体"/>
        <family val="3"/>
        <charset val="134"/>
      </rPr>
      <t>证监会公告</t>
    </r>
    <r>
      <rPr>
        <sz val="10"/>
        <color indexed="12"/>
        <rFont val="Arial Narrow"/>
        <family val="2"/>
      </rPr>
      <t>[2008]43</t>
    </r>
    <r>
      <rPr>
        <sz val="10"/>
        <color indexed="12"/>
        <rFont val="宋体"/>
        <family val="3"/>
        <charset val="134"/>
      </rPr>
      <t>号</t>
    </r>
    <r>
      <rPr>
        <sz val="10"/>
        <color indexed="12"/>
        <rFont val="Arial Narrow"/>
        <family val="2"/>
      </rPr>
      <t>”</t>
    </r>
    <r>
      <rPr>
        <sz val="10"/>
        <color indexed="12"/>
        <rFont val="宋体"/>
        <family val="3"/>
        <charset val="134"/>
      </rPr>
      <t>列举的非经常性损益项目界定为经常性损益的项目的说明</t>
    </r>
    <r>
      <rPr>
        <sz val="10"/>
        <color indexed="12"/>
        <rFont val="Arial Narrow"/>
        <family val="2"/>
      </rPr>
      <t>)</t>
    </r>
  </si>
  <si>
    <r>
      <rPr>
        <sz val="10"/>
        <color indexed="12"/>
        <rFont val="宋体"/>
        <family val="3"/>
        <charset val="134"/>
      </rPr>
      <t>（</t>
    </r>
    <r>
      <rPr>
        <sz val="10"/>
        <color indexed="12"/>
        <rFont val="Arial Narrow"/>
        <family val="2"/>
      </rPr>
      <t>3</t>
    </r>
    <r>
      <rPr>
        <sz val="10"/>
        <color indexed="12"/>
        <rFont val="宋体"/>
        <family val="3"/>
        <charset val="134"/>
      </rPr>
      <t>）（其他符合非经常性损益定义的损益项目的说明）</t>
    </r>
  </si>
  <si>
    <t xml:space="preserve">       其中：利息费用</t>
    <phoneticPr fontId="78" type="noConversion"/>
  </si>
  <si>
    <t>利息费用</t>
    <phoneticPr fontId="78" type="noConversion"/>
  </si>
  <si>
    <t>交易性金融资产</t>
  </si>
  <si>
    <t>合同资产</t>
    <phoneticPr fontId="78" type="noConversion"/>
  </si>
  <si>
    <t>债权投资</t>
  </si>
  <si>
    <t>其他债权投资</t>
  </si>
  <si>
    <t>其他权益工具投资</t>
  </si>
  <si>
    <t>其他非流动金融资产</t>
  </si>
  <si>
    <t>交易性金融负债</t>
  </si>
  <si>
    <t>合同负债</t>
  </si>
  <si>
    <t>信用减值损失</t>
  </si>
  <si>
    <t>净敞口套期收益</t>
  </si>
  <si>
    <t>合同资产</t>
  </si>
  <si>
    <t>合同资产</t>
    <phoneticPr fontId="78" type="noConversion"/>
  </si>
  <si>
    <t>债券投资</t>
    <phoneticPr fontId="78" type="noConversion"/>
  </si>
  <si>
    <t>合同负责</t>
    <phoneticPr fontId="78" type="noConversion"/>
  </si>
  <si>
    <t>RP 013</t>
    <phoneticPr fontId="78" type="noConversion"/>
  </si>
  <si>
    <t>RP 014</t>
    <phoneticPr fontId="78" type="noConversion"/>
  </si>
  <si>
    <t>RP 015</t>
    <phoneticPr fontId="78" type="noConversion"/>
  </si>
  <si>
    <r>
      <t xml:space="preserve">       </t>
    </r>
    <r>
      <rPr>
        <sz val="10"/>
        <rFont val="宋体"/>
        <family val="3"/>
        <charset val="134"/>
      </rPr>
      <t>净敞口套期收益（损失以“</t>
    </r>
    <r>
      <rPr>
        <sz val="10"/>
        <rFont val="Arial Narrow"/>
        <family val="2"/>
      </rPr>
      <t>-</t>
    </r>
    <r>
      <rPr>
        <sz val="10"/>
        <rFont val="宋体"/>
        <family val="3"/>
        <charset val="134"/>
      </rPr>
      <t>”号填列）</t>
    </r>
    <phoneticPr fontId="78" type="noConversion"/>
  </si>
  <si>
    <t>3、其他权益工具投资公允价值变动</t>
    <phoneticPr fontId="78" type="noConversion"/>
  </si>
  <si>
    <t>4、企业自身信用风险公允价值变动</t>
    <phoneticPr fontId="78" type="noConversion"/>
  </si>
  <si>
    <r>
      <rPr>
        <sz val="10"/>
        <rFont val="Arial Narrow"/>
        <family val="2"/>
      </rPr>
      <t>5</t>
    </r>
    <r>
      <rPr>
        <sz val="10"/>
        <rFont val="宋体"/>
        <family val="3"/>
        <charset val="134"/>
      </rPr>
      <t>、其他</t>
    </r>
    <r>
      <rPr>
        <strike/>
        <sz val="10"/>
        <color rgb="FFFF0000"/>
        <rFont val="宋体"/>
        <family val="3"/>
        <charset val="134"/>
      </rPr>
      <t>（不适用的删除）</t>
    </r>
    <phoneticPr fontId="78" type="noConversion"/>
  </si>
  <si>
    <r>
      <t>2</t>
    </r>
    <r>
      <rPr>
        <sz val="10"/>
        <rFont val="宋体"/>
        <family val="3"/>
        <charset val="134"/>
      </rPr>
      <t>、其他债权投资公允价值变动</t>
    </r>
    <phoneticPr fontId="78" type="noConversion"/>
  </si>
  <si>
    <r>
      <t>3</t>
    </r>
    <r>
      <rPr>
        <sz val="10"/>
        <rFont val="宋体"/>
        <family val="3"/>
        <charset val="134"/>
      </rPr>
      <t>、可供出售金融资产公允价值变动损益</t>
    </r>
    <r>
      <rPr>
        <strike/>
        <sz val="10"/>
        <color rgb="FFFF0000"/>
        <rFont val="宋体"/>
        <family val="3"/>
        <charset val="134"/>
      </rPr>
      <t>（不适用的删除）</t>
    </r>
    <phoneticPr fontId="78" type="noConversion"/>
  </si>
  <si>
    <r>
      <rPr>
        <sz val="10"/>
        <rFont val="Arial Narrow"/>
        <family val="2"/>
      </rPr>
      <t>5</t>
    </r>
    <r>
      <rPr>
        <sz val="10"/>
        <rFont val="宋体"/>
        <family val="3"/>
        <charset val="134"/>
      </rPr>
      <t>、持有至到期投资重分类为可供出售金融资产损益</t>
    </r>
    <r>
      <rPr>
        <strike/>
        <sz val="10"/>
        <color rgb="FFFF0000"/>
        <rFont val="宋体"/>
        <family val="3"/>
        <charset val="134"/>
      </rPr>
      <t>（不适用的删除）</t>
    </r>
    <phoneticPr fontId="78" type="noConversion"/>
  </si>
  <si>
    <r>
      <rPr>
        <sz val="10"/>
        <rFont val="Arial Narrow"/>
        <family val="2"/>
      </rPr>
      <t>6</t>
    </r>
    <r>
      <rPr>
        <sz val="10"/>
        <rFont val="宋体"/>
        <family val="3"/>
        <charset val="134"/>
      </rPr>
      <t>、其他债权投资信用减值准备</t>
    </r>
    <r>
      <rPr>
        <strike/>
        <sz val="10"/>
        <color rgb="FFFF0000"/>
        <rFont val="宋体"/>
        <family val="3"/>
        <charset val="134"/>
      </rPr>
      <t>（不适用的删除）</t>
    </r>
    <phoneticPr fontId="78" type="noConversion"/>
  </si>
  <si>
    <r>
      <t>4</t>
    </r>
    <r>
      <rPr>
        <sz val="10"/>
        <rFont val="宋体"/>
        <family val="3"/>
        <charset val="134"/>
      </rPr>
      <t>、金融资产重分类计入其他综合收益的金额（不适用的删除）</t>
    </r>
    <phoneticPr fontId="78" type="noConversion"/>
  </si>
  <si>
    <r>
      <t>1</t>
    </r>
    <r>
      <rPr>
        <sz val="10"/>
        <rFont val="宋体"/>
        <family val="3"/>
        <charset val="134"/>
      </rPr>
      <t>、权益法下可转损益的其他综合收益</t>
    </r>
    <r>
      <rPr>
        <strike/>
        <sz val="10"/>
        <color rgb="FFFF0000"/>
        <rFont val="宋体"/>
        <family val="3"/>
        <charset val="134"/>
      </rPr>
      <t>（不适用的删除）</t>
    </r>
    <phoneticPr fontId="78" type="noConversion"/>
  </si>
  <si>
    <r>
      <rPr>
        <sz val="10"/>
        <rFont val="Arial Narrow"/>
        <family val="2"/>
      </rPr>
      <t>8</t>
    </r>
    <r>
      <rPr>
        <sz val="10"/>
        <rFont val="宋体"/>
        <family val="3"/>
        <charset val="134"/>
      </rPr>
      <t>、外币财务报表折算差额</t>
    </r>
    <r>
      <rPr>
        <strike/>
        <sz val="10"/>
        <color rgb="FFFF0000"/>
        <rFont val="宋体"/>
        <family val="3"/>
        <charset val="134"/>
      </rPr>
      <t>（不适用的删除）</t>
    </r>
    <phoneticPr fontId="78" type="noConversion"/>
  </si>
  <si>
    <r>
      <rPr>
        <sz val="10"/>
        <rFont val="Arial Narrow"/>
        <family val="2"/>
      </rPr>
      <t>9</t>
    </r>
    <r>
      <rPr>
        <sz val="10"/>
        <rFont val="宋体"/>
        <family val="3"/>
        <charset val="134"/>
      </rPr>
      <t>、自用房地产或作为存货的房地产转换为以公允价值计量的投资性房地产在转换日公允价值大于账面价值部分</t>
    </r>
    <r>
      <rPr>
        <strike/>
        <sz val="10"/>
        <rFont val="宋体"/>
        <family val="3"/>
        <charset val="134"/>
      </rPr>
      <t>（不适用的删除）</t>
    </r>
    <phoneticPr fontId="78" type="noConversion"/>
  </si>
  <si>
    <r>
      <rPr>
        <sz val="10"/>
        <rFont val="Arial Narrow"/>
        <family val="2"/>
      </rPr>
      <t>10</t>
    </r>
    <r>
      <rPr>
        <sz val="10"/>
        <rFont val="宋体"/>
        <family val="3"/>
        <charset val="134"/>
      </rPr>
      <t>、多次交易分步处置子公司股权构成一揽子交易的，丧失控制权之前各次交易处置价款与对应净资产账面价值份额的差额</t>
    </r>
    <r>
      <rPr>
        <strike/>
        <sz val="10"/>
        <rFont val="宋体"/>
        <family val="3"/>
        <charset val="134"/>
      </rPr>
      <t>（不适用的删除）</t>
    </r>
    <phoneticPr fontId="78" type="noConversion"/>
  </si>
  <si>
    <r>
      <rPr>
        <sz val="10"/>
        <rFont val="Arial Narrow"/>
        <family val="2"/>
      </rPr>
      <t>11</t>
    </r>
    <r>
      <rPr>
        <sz val="10"/>
        <rFont val="宋体"/>
        <family val="3"/>
        <charset val="134"/>
      </rPr>
      <t>、其他</t>
    </r>
    <r>
      <rPr>
        <strike/>
        <sz val="10"/>
        <color rgb="FFFF0000"/>
        <rFont val="宋体"/>
        <family val="3"/>
        <charset val="134"/>
      </rPr>
      <t>（不适用的删除）</t>
    </r>
    <phoneticPr fontId="78" type="noConversion"/>
  </si>
  <si>
    <r>
      <rPr>
        <sz val="10"/>
        <rFont val="Arial Narrow"/>
        <family val="2"/>
      </rPr>
      <t>7</t>
    </r>
    <r>
      <rPr>
        <sz val="10"/>
        <rFont val="宋体"/>
        <family val="3"/>
        <charset val="134"/>
      </rPr>
      <t>、现金流量套期储备</t>
    </r>
    <r>
      <rPr>
        <strike/>
        <sz val="10"/>
        <color rgb="FFFF0000"/>
        <rFont val="宋体"/>
        <family val="3"/>
        <charset val="134"/>
      </rPr>
      <t>（不适用的删除）</t>
    </r>
    <phoneticPr fontId="78" type="noConversion"/>
  </si>
  <si>
    <r>
      <rPr>
        <sz val="10"/>
        <rFont val="宋体"/>
        <family val="3"/>
        <charset val="134"/>
      </rPr>
      <t>说明：根据“关于</t>
    </r>
    <r>
      <rPr>
        <sz val="10"/>
        <rFont val="Arial Narrow"/>
        <family val="2"/>
      </rPr>
      <t>2018</t>
    </r>
    <r>
      <rPr>
        <sz val="10"/>
        <rFont val="宋体"/>
        <family val="3"/>
        <charset val="134"/>
      </rPr>
      <t>年度一般企业财务报表格式有关问题的解读”：企业实际收到的政府补助，无论是与资产相关还是与收益相关，在编制现金流量表时均作为经营活动产生的现金流量列报。</t>
    </r>
    <phoneticPr fontId="78" type="noConversion"/>
  </si>
  <si>
    <r>
      <t>5</t>
    </r>
    <r>
      <rPr>
        <sz val="12"/>
        <rFont val="宋体"/>
        <family val="3"/>
        <charset val="134"/>
      </rPr>
      <t>．其他综合收益结转留存收益</t>
    </r>
  </si>
  <si>
    <r>
      <t xml:space="preserve"> 6</t>
    </r>
    <r>
      <rPr>
        <sz val="12"/>
        <rFont val="宋体"/>
        <family val="3"/>
        <charset val="134"/>
      </rPr>
      <t>．其他</t>
    </r>
    <phoneticPr fontId="78" type="noConversion"/>
  </si>
  <si>
    <r>
      <t>20X7</t>
    </r>
    <r>
      <rPr>
        <b/>
        <sz val="12"/>
        <rFont val="宋体"/>
        <family val="3"/>
        <charset val="134"/>
      </rPr>
      <t>年度</t>
    </r>
    <phoneticPr fontId="78" type="noConversion"/>
  </si>
  <si>
    <t>交易性金融资产</t>
    <phoneticPr fontId="78" type="noConversion"/>
  </si>
  <si>
    <t>债权投资</t>
    <phoneticPr fontId="78" type="noConversion"/>
  </si>
  <si>
    <t xml:space="preserve"> </t>
    <phoneticPr fontId="78" type="noConversion"/>
  </si>
  <si>
    <t>信用减值损失</t>
    <phoneticPr fontId="78" type="noConversion"/>
  </si>
  <si>
    <r>
      <t xml:space="preserve">      </t>
    </r>
    <r>
      <rPr>
        <sz val="10"/>
        <rFont val="宋体"/>
        <family val="3"/>
        <charset val="134"/>
      </rPr>
      <t>债务工具投资</t>
    </r>
    <phoneticPr fontId="78" type="noConversion"/>
  </si>
  <si>
    <t>（1）合同资产</t>
    <phoneticPr fontId="78" type="noConversion"/>
  </si>
  <si>
    <r>
      <rPr>
        <b/>
        <sz val="12"/>
        <rFont val="宋体"/>
        <family val="3"/>
        <charset val="134"/>
      </rPr>
      <t>（</t>
    </r>
    <r>
      <rPr>
        <b/>
        <sz val="12"/>
        <rFont val="Arial Narrow"/>
        <family val="2"/>
      </rPr>
      <t>2</t>
    </r>
    <r>
      <rPr>
        <b/>
        <sz val="12"/>
        <rFont val="宋体"/>
        <family val="3"/>
        <charset val="134"/>
      </rPr>
      <t>）合同资产减值准备</t>
    </r>
    <phoneticPr fontId="78" type="noConversion"/>
  </si>
  <si>
    <t>合同资产减值准备</t>
    <phoneticPr fontId="78" type="noConversion"/>
  </si>
  <si>
    <t>合同资产净值</t>
    <phoneticPr fontId="78" type="noConversion"/>
  </si>
  <si>
    <t>合同资产种类</t>
    <phoneticPr fontId="78" type="noConversion"/>
  </si>
  <si>
    <t>债权投资</t>
    <phoneticPr fontId="78" type="noConversion"/>
  </si>
  <si>
    <r>
      <rPr>
        <sz val="10"/>
        <color rgb="FF000000"/>
        <rFont val="宋体"/>
        <family val="3"/>
        <charset val="134"/>
      </rPr>
      <t>减：</t>
    </r>
    <r>
      <rPr>
        <sz val="10"/>
        <color theme="1"/>
        <rFont val="Arial Narrow"/>
        <family val="2"/>
      </rPr>
      <t>1</t>
    </r>
    <r>
      <rPr>
        <sz val="10"/>
        <color theme="1"/>
        <rFont val="宋体"/>
        <family val="3"/>
        <charset val="134"/>
      </rPr>
      <t>年内到期的债权投资</t>
    </r>
    <phoneticPr fontId="78" type="noConversion"/>
  </si>
  <si>
    <r>
      <rPr>
        <b/>
        <sz val="10"/>
        <rFont val="宋体"/>
        <family val="3"/>
        <charset val="134"/>
      </rPr>
      <t>（</t>
    </r>
    <r>
      <rPr>
        <b/>
        <sz val="10"/>
        <color theme="1"/>
        <rFont val="Arial Narrow"/>
        <family val="2"/>
      </rPr>
      <t>2</t>
    </r>
    <r>
      <rPr>
        <b/>
        <sz val="10"/>
        <color theme="1"/>
        <rFont val="宋体"/>
        <family val="3"/>
        <charset val="134"/>
      </rPr>
      <t>）重要的债权投资</t>
    </r>
    <phoneticPr fontId="78" type="noConversion"/>
  </si>
  <si>
    <t>债权投资项目</t>
    <phoneticPr fontId="78" type="noConversion"/>
  </si>
  <si>
    <t>其他债权投资</t>
    <phoneticPr fontId="78" type="noConversion"/>
  </si>
  <si>
    <r>
      <rPr>
        <b/>
        <sz val="10"/>
        <color rgb="FF0070C0"/>
        <rFont val="宋体"/>
        <family val="3"/>
        <charset val="134"/>
      </rPr>
      <t>（</t>
    </r>
    <r>
      <rPr>
        <b/>
        <sz val="10"/>
        <color theme="1"/>
        <rFont val="Arial Narrow"/>
        <family val="2"/>
      </rPr>
      <t>1</t>
    </r>
    <r>
      <rPr>
        <b/>
        <sz val="10"/>
        <color theme="1"/>
        <rFont val="宋体"/>
        <family val="3"/>
        <charset val="134"/>
      </rPr>
      <t>）其他债权投资情况</t>
    </r>
    <phoneticPr fontId="78" type="noConversion"/>
  </si>
  <si>
    <t>小计</t>
    <phoneticPr fontId="78" type="noConversion"/>
  </si>
  <si>
    <t>合计</t>
    <phoneticPr fontId="78" type="noConversion"/>
  </si>
  <si>
    <t>其他权益工具投资</t>
    <phoneticPr fontId="78" type="noConversion"/>
  </si>
  <si>
    <t>合同负债</t>
    <phoneticPr fontId="78" type="noConversion"/>
  </si>
  <si>
    <t>（注：根据企业具体情况分类。）</t>
    <phoneticPr fontId="78" type="noConversion"/>
  </si>
  <si>
    <t>合同资产</t>
    <phoneticPr fontId="78" type="noConversion"/>
  </si>
  <si>
    <t>账面价值</t>
    <phoneticPr fontId="78" type="noConversion"/>
  </si>
  <si>
    <t>交易性金融负债</t>
    <phoneticPr fontId="78" type="noConversion"/>
  </si>
  <si>
    <t>项目</t>
    <phoneticPr fontId="78" type="noConversion"/>
  </si>
  <si>
    <r>
      <t>1</t>
    </r>
    <r>
      <rPr>
        <sz val="12"/>
        <rFont val="宋体"/>
        <family val="3"/>
        <charset val="134"/>
      </rPr>
      <t>、合同负债</t>
    </r>
    <phoneticPr fontId="78" type="noConversion"/>
  </si>
  <si>
    <r>
      <t>2</t>
    </r>
    <r>
      <rPr>
        <sz val="12"/>
        <rFont val="宋体"/>
        <family val="3"/>
        <charset val="134"/>
      </rPr>
      <t>、包含在合同负债期初账面价值中的收入</t>
    </r>
    <phoneticPr fontId="78" type="noConversion"/>
  </si>
  <si>
    <t>包含在合同负债期初账面价值中的收入金额</t>
    <phoneticPr fontId="78" type="noConversion"/>
  </si>
  <si>
    <t>应付退货款</t>
    <phoneticPr fontId="78" type="noConversion"/>
  </si>
  <si>
    <r>
      <t>按照《企业会计准则第</t>
    </r>
    <r>
      <rPr>
        <sz val="10"/>
        <color rgb="FF0070C0"/>
        <rFont val="Arial Narrow"/>
        <family val="2"/>
      </rPr>
      <t xml:space="preserve"> 14 </t>
    </r>
    <r>
      <rPr>
        <sz val="10"/>
        <color rgb="FF0070C0"/>
        <rFont val="宋体"/>
        <family val="3"/>
        <charset val="134"/>
      </rPr>
      <t>号</t>
    </r>
    <r>
      <rPr>
        <sz val="10"/>
        <color rgb="FF0070C0"/>
        <rFont val="Arial Narrow"/>
        <family val="2"/>
      </rPr>
      <t>--</t>
    </r>
    <r>
      <rPr>
        <sz val="10"/>
        <color rgb="FF0070C0"/>
        <rFont val="宋体"/>
        <family val="3"/>
        <charset val="134"/>
      </rPr>
      <t>收入》（</t>
    </r>
    <r>
      <rPr>
        <sz val="10"/>
        <color rgb="FF0070C0"/>
        <rFont val="Arial Narrow"/>
        <family val="2"/>
      </rPr>
      <t xml:space="preserve">2017 </t>
    </r>
    <r>
      <rPr>
        <sz val="10"/>
        <color rgb="FF0070C0"/>
        <rFont val="宋体"/>
        <family val="3"/>
        <charset val="134"/>
      </rPr>
      <t>年修订）的相关规定确认为预计负债的应付退货款，应当根据</t>
    </r>
    <r>
      <rPr>
        <sz val="10"/>
        <color rgb="FF0070C0"/>
        <rFont val="Arial Narrow"/>
        <family val="2"/>
      </rPr>
      <t>"</t>
    </r>
    <r>
      <rPr>
        <sz val="10"/>
        <color rgb="FF0070C0"/>
        <rFont val="宋体"/>
        <family val="3"/>
        <charset val="134"/>
      </rPr>
      <t>预计负债</t>
    </r>
    <r>
      <rPr>
        <sz val="10"/>
        <color rgb="FF0070C0"/>
        <rFont val="Arial Narrow"/>
        <family val="2"/>
      </rPr>
      <t>"</t>
    </r>
    <r>
      <rPr>
        <sz val="10"/>
        <color rgb="FF0070C0"/>
        <rFont val="宋体"/>
        <family val="3"/>
        <charset val="134"/>
      </rPr>
      <t>科目下的</t>
    </r>
    <r>
      <rPr>
        <sz val="10"/>
        <color rgb="FF0070C0"/>
        <rFont val="Arial Narrow"/>
        <family val="2"/>
      </rPr>
      <t>"</t>
    </r>
    <r>
      <rPr>
        <sz val="10"/>
        <color rgb="FF0070C0"/>
        <rFont val="宋体"/>
        <family val="3"/>
        <charset val="134"/>
      </rPr>
      <t>应付退货款</t>
    </r>
    <r>
      <rPr>
        <sz val="10"/>
        <color rgb="FF0070C0"/>
        <rFont val="Arial Narrow"/>
        <family val="2"/>
      </rPr>
      <t>"</t>
    </r>
    <r>
      <rPr>
        <sz val="10"/>
        <color rgb="FF0070C0"/>
        <rFont val="宋体"/>
        <family val="3"/>
        <charset val="134"/>
      </rPr>
      <t>明细科目是否在一年或一个正常营业周期内清偿，在</t>
    </r>
    <r>
      <rPr>
        <sz val="10"/>
        <color rgb="FF0070C0"/>
        <rFont val="Arial Narrow"/>
        <family val="2"/>
      </rPr>
      <t>"</t>
    </r>
    <r>
      <rPr>
        <sz val="10"/>
        <color rgb="FF0070C0"/>
        <rFont val="宋体"/>
        <family val="3"/>
        <charset val="134"/>
      </rPr>
      <t>其他流动负债</t>
    </r>
    <r>
      <rPr>
        <sz val="10"/>
        <color rgb="FF0070C0"/>
        <rFont val="Arial Narrow"/>
        <family val="2"/>
      </rPr>
      <t>"</t>
    </r>
    <r>
      <rPr>
        <sz val="10"/>
        <color rgb="FF0070C0"/>
        <rFont val="宋体"/>
        <family val="3"/>
        <charset val="134"/>
      </rPr>
      <t>或</t>
    </r>
    <r>
      <rPr>
        <sz val="10"/>
        <color rgb="FF0070C0"/>
        <rFont val="Arial Narrow"/>
        <family val="2"/>
      </rPr>
      <t>"</t>
    </r>
    <r>
      <rPr>
        <sz val="10"/>
        <color rgb="FF0070C0"/>
        <rFont val="宋体"/>
        <family val="3"/>
        <charset val="134"/>
      </rPr>
      <t>预计负债</t>
    </r>
    <r>
      <rPr>
        <sz val="10"/>
        <color rgb="FF0070C0"/>
        <rFont val="Arial Narrow"/>
        <family val="2"/>
      </rPr>
      <t>"</t>
    </r>
    <r>
      <rPr>
        <sz val="10"/>
        <color rgb="FF0070C0"/>
        <rFont val="宋体"/>
        <family val="3"/>
        <charset val="134"/>
      </rPr>
      <t>项目中填列。</t>
    </r>
  </si>
  <si>
    <t>一年内到期的债权投资</t>
    <phoneticPr fontId="78" type="noConversion"/>
  </si>
  <si>
    <t>合同取得成本</t>
    <phoneticPr fontId="78" type="noConversion"/>
  </si>
  <si>
    <t>应收退货成本</t>
    <phoneticPr fontId="78" type="noConversion"/>
  </si>
  <si>
    <r>
      <t>1</t>
    </r>
    <r>
      <rPr>
        <sz val="11"/>
        <rFont val="宋体"/>
        <family val="3"/>
        <charset val="134"/>
      </rPr>
      <t>、合同取得成本，初始确认时摊销期限超过一年或一个正常营业周期的项目（考虑合同取得成本减值准备影响）；</t>
    </r>
    <r>
      <rPr>
        <sz val="11"/>
        <rFont val="Arial Narrow"/>
        <family val="2"/>
      </rPr>
      <t>2</t>
    </r>
    <r>
      <rPr>
        <sz val="11"/>
        <rFont val="宋体"/>
        <family val="3"/>
        <charset val="134"/>
      </rPr>
      <t>、合同履约成本，初始确认时摊销期限超过一年或一个正常营业周期的项目（考虑合同履约成本减值准备影响）；</t>
    </r>
    <r>
      <rPr>
        <sz val="11"/>
        <rFont val="Arial Narrow"/>
        <family val="2"/>
      </rPr>
      <t>3</t>
    </r>
    <r>
      <rPr>
        <sz val="11"/>
        <rFont val="宋体"/>
        <family val="3"/>
        <charset val="134"/>
      </rPr>
      <t>、附有销售退回条款的销售，确认为资产的应收退货成本，不在一年或一个正常营业周期内出售的项目；</t>
    </r>
    <r>
      <rPr>
        <sz val="11"/>
        <rFont val="Arial Narrow"/>
        <family val="2"/>
      </rPr>
      <t>4</t>
    </r>
    <r>
      <rPr>
        <sz val="11"/>
        <rFont val="宋体"/>
        <family val="3"/>
        <charset val="134"/>
      </rPr>
      <t>、确认的合同资产，不在一年或一个正常营业周期内收回的项目（考虑合同取得成本减值准备影响）。同一合同下的合同资产和合同负债应当以净额列示，其中净额为借方余额的，应当根据其流动性在</t>
    </r>
    <r>
      <rPr>
        <sz val="11"/>
        <rFont val="Arial Narrow"/>
        <family val="2"/>
      </rPr>
      <t>“</t>
    </r>
    <r>
      <rPr>
        <sz val="11"/>
        <rFont val="宋体"/>
        <family val="3"/>
        <charset val="134"/>
      </rPr>
      <t>合同资产</t>
    </r>
    <r>
      <rPr>
        <sz val="11"/>
        <rFont val="Arial Narrow"/>
        <family val="2"/>
      </rPr>
      <t>”</t>
    </r>
    <r>
      <rPr>
        <sz val="11"/>
        <rFont val="宋体"/>
        <family val="3"/>
        <charset val="134"/>
      </rPr>
      <t>或</t>
    </r>
    <r>
      <rPr>
        <sz val="11"/>
        <rFont val="Arial Narrow"/>
        <family val="2"/>
      </rPr>
      <t>“</t>
    </r>
    <r>
      <rPr>
        <sz val="11"/>
        <rFont val="宋体"/>
        <family val="3"/>
        <charset val="134"/>
      </rPr>
      <t>其他非流动资产</t>
    </r>
    <r>
      <rPr>
        <sz val="11"/>
        <rFont val="Arial Narrow"/>
        <family val="2"/>
      </rPr>
      <t>”</t>
    </r>
    <r>
      <rPr>
        <sz val="11"/>
        <rFont val="宋体"/>
        <family val="3"/>
        <charset val="134"/>
      </rPr>
      <t>项目中填列。</t>
    </r>
  </si>
  <si>
    <t>合同履约成本</t>
  </si>
  <si>
    <t>应收退货成本</t>
    <phoneticPr fontId="78" type="noConversion"/>
  </si>
  <si>
    <t>合同资产</t>
    <phoneticPr fontId="78" type="noConversion"/>
  </si>
  <si>
    <t>应付退货款</t>
    <phoneticPr fontId="78" type="noConversion"/>
  </si>
  <si>
    <r>
      <t>按照《企业会计准则第</t>
    </r>
    <r>
      <rPr>
        <sz val="12"/>
        <rFont val="Arial Narrow"/>
        <family val="2"/>
      </rPr>
      <t xml:space="preserve"> 14 </t>
    </r>
    <r>
      <rPr>
        <sz val="12"/>
        <rFont val="宋体"/>
        <family val="3"/>
        <charset val="134"/>
      </rPr>
      <t>号</t>
    </r>
    <r>
      <rPr>
        <sz val="12"/>
        <rFont val="Arial Narrow"/>
        <family val="2"/>
      </rPr>
      <t>--</t>
    </r>
    <r>
      <rPr>
        <sz val="12"/>
        <rFont val="宋体"/>
        <family val="3"/>
        <charset val="134"/>
      </rPr>
      <t>收入》（</t>
    </r>
    <r>
      <rPr>
        <sz val="12"/>
        <rFont val="Arial Narrow"/>
        <family val="2"/>
      </rPr>
      <t xml:space="preserve">2017 </t>
    </r>
    <r>
      <rPr>
        <sz val="12"/>
        <rFont val="宋体"/>
        <family val="3"/>
        <charset val="134"/>
      </rPr>
      <t>年修订）的相关规定确认为预计负债的应付退货款，应当根据</t>
    </r>
    <r>
      <rPr>
        <sz val="12"/>
        <rFont val="Arial Narrow"/>
        <family val="2"/>
      </rPr>
      <t>"</t>
    </r>
    <r>
      <rPr>
        <sz val="12"/>
        <rFont val="宋体"/>
        <family val="3"/>
        <charset val="134"/>
      </rPr>
      <t>预计负债</t>
    </r>
    <r>
      <rPr>
        <sz val="12"/>
        <rFont val="Arial Narrow"/>
        <family val="2"/>
      </rPr>
      <t>"</t>
    </r>
    <r>
      <rPr>
        <sz val="12"/>
        <rFont val="宋体"/>
        <family val="3"/>
        <charset val="134"/>
      </rPr>
      <t>科目下的</t>
    </r>
    <r>
      <rPr>
        <sz val="12"/>
        <rFont val="Arial Narrow"/>
        <family val="2"/>
      </rPr>
      <t>"</t>
    </r>
    <r>
      <rPr>
        <sz val="12"/>
        <rFont val="宋体"/>
        <family val="3"/>
        <charset val="134"/>
      </rPr>
      <t>应付退货款</t>
    </r>
    <r>
      <rPr>
        <sz val="12"/>
        <rFont val="Arial Narrow"/>
        <family val="2"/>
      </rPr>
      <t>"</t>
    </r>
    <r>
      <rPr>
        <sz val="12"/>
        <rFont val="宋体"/>
        <family val="3"/>
        <charset val="134"/>
      </rPr>
      <t>明细科目是否在一年或一个正常营业周期内清偿，在</t>
    </r>
    <r>
      <rPr>
        <sz val="12"/>
        <rFont val="Arial Narrow"/>
        <family val="2"/>
      </rPr>
      <t>"</t>
    </r>
    <r>
      <rPr>
        <sz val="12"/>
        <rFont val="宋体"/>
        <family val="3"/>
        <charset val="134"/>
      </rPr>
      <t>其他流动负债</t>
    </r>
    <r>
      <rPr>
        <sz val="12"/>
        <rFont val="Arial Narrow"/>
        <family val="2"/>
      </rPr>
      <t>"</t>
    </r>
    <r>
      <rPr>
        <sz val="12"/>
        <rFont val="宋体"/>
        <family val="3"/>
        <charset val="134"/>
      </rPr>
      <t>或</t>
    </r>
    <r>
      <rPr>
        <sz val="12"/>
        <rFont val="Arial Narrow"/>
        <family val="2"/>
      </rPr>
      <t>"</t>
    </r>
    <r>
      <rPr>
        <sz val="12"/>
        <rFont val="宋体"/>
        <family val="3"/>
        <charset val="134"/>
      </rPr>
      <t>预计负债</t>
    </r>
    <r>
      <rPr>
        <sz val="12"/>
        <rFont val="Arial Narrow"/>
        <family val="2"/>
      </rPr>
      <t>"</t>
    </r>
    <r>
      <rPr>
        <sz val="12"/>
        <rFont val="宋体"/>
        <family val="3"/>
        <charset val="134"/>
      </rPr>
      <t>项目中填列。</t>
    </r>
  </si>
  <si>
    <r>
      <t>其他债权投资行项目，反映资产负债表日企业分类为以公允价值计量且其变动计入其他综合收益的长期债权投资的期末账面价值。该项目应根据</t>
    </r>
    <r>
      <rPr>
        <sz val="11"/>
        <rFont val="Arial Narrow"/>
        <family val="2"/>
      </rPr>
      <t>"</t>
    </r>
    <r>
      <rPr>
        <sz val="11"/>
        <rFont val="宋体"/>
        <family val="3"/>
        <charset val="134"/>
      </rPr>
      <t>其他债权投资</t>
    </r>
    <r>
      <rPr>
        <sz val="11"/>
        <rFont val="Arial Narrow"/>
        <family val="2"/>
      </rPr>
      <t>"</t>
    </r>
    <r>
      <rPr>
        <sz val="11"/>
        <rFont val="宋体"/>
        <family val="3"/>
        <charset val="134"/>
      </rPr>
      <t>科目的相关明细科目期末余额分析填列。自资产负债表日起一年内到期的长期债权投资的期末账面价值，在</t>
    </r>
    <r>
      <rPr>
        <sz val="11"/>
        <rFont val="Arial Narrow"/>
        <family val="2"/>
      </rPr>
      <t>"</t>
    </r>
    <r>
      <rPr>
        <sz val="11"/>
        <rFont val="宋体"/>
        <family val="3"/>
        <charset val="134"/>
      </rPr>
      <t>一年内到期的非流动资产</t>
    </r>
    <r>
      <rPr>
        <sz val="11"/>
        <rFont val="Arial Narrow"/>
        <family val="2"/>
      </rPr>
      <t>"</t>
    </r>
    <r>
      <rPr>
        <sz val="11"/>
        <rFont val="宋体"/>
        <family val="3"/>
        <charset val="134"/>
      </rPr>
      <t>行项目反映。</t>
    </r>
  </si>
  <si>
    <t>A6-1</t>
  </si>
  <si>
    <t>转回或转销</t>
    <phoneticPr fontId="78" type="noConversion"/>
  </si>
  <si>
    <r>
      <rPr>
        <b/>
        <sz val="10"/>
        <rFont val="宋体"/>
        <family val="3"/>
        <charset val="134"/>
      </rPr>
      <t>（</t>
    </r>
    <r>
      <rPr>
        <b/>
        <sz val="10"/>
        <rFont val="Arial Narrow"/>
        <family val="2"/>
      </rPr>
      <t>1</t>
    </r>
    <r>
      <rPr>
        <b/>
        <sz val="10"/>
        <rFont val="宋体"/>
        <family val="3"/>
        <charset val="134"/>
      </rPr>
      <t>）债权投资情况</t>
    </r>
    <phoneticPr fontId="78" type="noConversion"/>
  </si>
  <si>
    <t>其他权益工具投资</t>
    <phoneticPr fontId="78" type="noConversion"/>
  </si>
  <si>
    <t>其他非流动金融资产</t>
    <phoneticPr fontId="78" type="noConversion"/>
  </si>
  <si>
    <r>
      <rPr>
        <sz val="10"/>
        <color theme="1"/>
        <rFont val="宋体"/>
        <family val="3"/>
        <charset val="134"/>
      </rPr>
      <t>说明：</t>
    </r>
    <r>
      <rPr>
        <sz val="10"/>
        <color rgb="FF0000FF"/>
        <rFont val="宋体"/>
        <family val="3"/>
        <charset val="134"/>
      </rPr>
      <t>（交易性金融负债的账面价值以及公允价值及其变动的相关情况，如涉及数量变化以及单位数量公允价值变动情况。）</t>
    </r>
    <phoneticPr fontId="78" type="noConversion"/>
  </si>
  <si>
    <t>（存在套期工具的，应对套期工具及相关套期交易作出说明。）</t>
    <phoneticPr fontId="78" type="noConversion"/>
  </si>
  <si>
    <t>合同负债</t>
    <phoneticPr fontId="78" type="noConversion"/>
  </si>
  <si>
    <t>应收票据</t>
    <phoneticPr fontId="78" type="noConversion"/>
  </si>
  <si>
    <t>应收账款</t>
    <phoneticPr fontId="78" type="noConversion"/>
  </si>
  <si>
    <t>一年内到期的非流动资产</t>
    <phoneticPr fontId="78" type="noConversion"/>
  </si>
  <si>
    <t>油气资产</t>
    <phoneticPr fontId="78" type="noConversion"/>
  </si>
  <si>
    <t>使用权资产</t>
    <phoneticPr fontId="78" type="noConversion"/>
  </si>
  <si>
    <t>应收款项融资</t>
    <phoneticPr fontId="78" type="noConversion"/>
  </si>
  <si>
    <t>应付票据</t>
    <phoneticPr fontId="78" type="noConversion"/>
  </si>
  <si>
    <t>应付账款</t>
    <phoneticPr fontId="78" type="noConversion"/>
  </si>
  <si>
    <t>持有待售资产和持有待售负债</t>
    <phoneticPr fontId="78" type="noConversion"/>
  </si>
  <si>
    <t>披露信息</t>
    <phoneticPr fontId="78" type="noConversion"/>
  </si>
  <si>
    <t>披露信息</t>
    <phoneticPr fontId="78" type="noConversion"/>
  </si>
  <si>
    <t>租赁负债</t>
    <phoneticPr fontId="78" type="noConversion"/>
  </si>
  <si>
    <t>净敞口套期收益</t>
    <phoneticPr fontId="78" type="noConversion"/>
  </si>
  <si>
    <t>公允价值变动收益</t>
    <phoneticPr fontId="78" type="noConversion"/>
  </si>
  <si>
    <t>公允价值变动收益</t>
    <phoneticPr fontId="78" type="noConversion"/>
  </si>
  <si>
    <t>RP 017</t>
    <phoneticPr fontId="78" type="noConversion"/>
  </si>
  <si>
    <t>RP 018</t>
    <phoneticPr fontId="78" type="noConversion"/>
  </si>
  <si>
    <t>RP 019</t>
    <phoneticPr fontId="78" type="noConversion"/>
  </si>
  <si>
    <t>RP 020</t>
    <phoneticPr fontId="78" type="noConversion"/>
  </si>
  <si>
    <t>RP 020-1</t>
    <phoneticPr fontId="78" type="noConversion"/>
  </si>
  <si>
    <t>RP 020-2</t>
    <phoneticPr fontId="78" type="noConversion"/>
  </si>
  <si>
    <t>RP 020-3</t>
    <phoneticPr fontId="78" type="noConversion"/>
  </si>
  <si>
    <t>RP 021</t>
    <phoneticPr fontId="78" type="noConversion"/>
  </si>
  <si>
    <t>RP 022</t>
    <phoneticPr fontId="78" type="noConversion"/>
  </si>
  <si>
    <t>RP 023</t>
    <phoneticPr fontId="78" type="noConversion"/>
  </si>
  <si>
    <t>RP 024</t>
    <phoneticPr fontId="78" type="noConversion"/>
  </si>
  <si>
    <t>RP 025</t>
    <phoneticPr fontId="78" type="noConversion"/>
  </si>
  <si>
    <t>RP 026</t>
    <phoneticPr fontId="78" type="noConversion"/>
  </si>
  <si>
    <t>RP 028</t>
    <phoneticPr fontId="78" type="noConversion"/>
  </si>
  <si>
    <t>RP 029</t>
    <phoneticPr fontId="78" type="noConversion"/>
  </si>
  <si>
    <t>RP 030</t>
    <phoneticPr fontId="78" type="noConversion"/>
  </si>
  <si>
    <t>RP 031</t>
    <phoneticPr fontId="78" type="noConversion"/>
  </si>
  <si>
    <t>RP 032</t>
    <phoneticPr fontId="78" type="noConversion"/>
  </si>
  <si>
    <t>RP 033</t>
    <phoneticPr fontId="78" type="noConversion"/>
  </si>
  <si>
    <t>RP 034</t>
    <phoneticPr fontId="78" type="noConversion"/>
  </si>
  <si>
    <t>RP 035</t>
    <phoneticPr fontId="78" type="noConversion"/>
  </si>
  <si>
    <t>RP 036</t>
    <phoneticPr fontId="78" type="noConversion"/>
  </si>
  <si>
    <t>RP 036-1</t>
    <phoneticPr fontId="78" type="noConversion"/>
  </si>
  <si>
    <t>RP 036-2</t>
    <phoneticPr fontId="78" type="noConversion"/>
  </si>
  <si>
    <t>RP 037</t>
    <phoneticPr fontId="78" type="noConversion"/>
  </si>
  <si>
    <t>RP 037-1</t>
    <phoneticPr fontId="78" type="noConversion"/>
  </si>
  <si>
    <t>RP 037-2</t>
    <phoneticPr fontId="78" type="noConversion"/>
  </si>
  <si>
    <t>RP 038</t>
    <phoneticPr fontId="78" type="noConversion"/>
  </si>
  <si>
    <t>RP 039</t>
    <phoneticPr fontId="78" type="noConversion"/>
  </si>
  <si>
    <t>RP 040</t>
    <phoneticPr fontId="78" type="noConversion"/>
  </si>
  <si>
    <t>RP 041</t>
    <phoneticPr fontId="78" type="noConversion"/>
  </si>
  <si>
    <t>RP 042</t>
    <phoneticPr fontId="78" type="noConversion"/>
  </si>
  <si>
    <t>RP 043</t>
    <phoneticPr fontId="78" type="noConversion"/>
  </si>
  <si>
    <t>RP 044</t>
    <phoneticPr fontId="78" type="noConversion"/>
  </si>
  <si>
    <t>RP 045</t>
    <phoneticPr fontId="78" type="noConversion"/>
  </si>
  <si>
    <t>RP 046</t>
    <phoneticPr fontId="78" type="noConversion"/>
  </si>
  <si>
    <t>RP 047</t>
    <phoneticPr fontId="78" type="noConversion"/>
  </si>
  <si>
    <t>RP 048</t>
    <phoneticPr fontId="78" type="noConversion"/>
  </si>
  <si>
    <t>RP 049</t>
    <phoneticPr fontId="78" type="noConversion"/>
  </si>
  <si>
    <t>RP 050</t>
    <phoneticPr fontId="78" type="noConversion"/>
  </si>
  <si>
    <t>RP 051</t>
    <phoneticPr fontId="78" type="noConversion"/>
  </si>
  <si>
    <t>RP 052</t>
    <phoneticPr fontId="78" type="noConversion"/>
  </si>
  <si>
    <t>RP 053</t>
    <phoneticPr fontId="78" type="noConversion"/>
  </si>
  <si>
    <t>RP 054</t>
    <phoneticPr fontId="78" type="noConversion"/>
  </si>
  <si>
    <t>RP 055</t>
    <phoneticPr fontId="78" type="noConversion"/>
  </si>
  <si>
    <t>RP 056</t>
    <phoneticPr fontId="78" type="noConversion"/>
  </si>
  <si>
    <t>RP 057</t>
    <phoneticPr fontId="78" type="noConversion"/>
  </si>
  <si>
    <t>RP 058</t>
    <phoneticPr fontId="78" type="noConversion"/>
  </si>
  <si>
    <t>RP 059</t>
    <phoneticPr fontId="78" type="noConversion"/>
  </si>
  <si>
    <t>RP 059-1</t>
    <phoneticPr fontId="78" type="noConversion"/>
  </si>
  <si>
    <t>RP 059-2</t>
    <phoneticPr fontId="78" type="noConversion"/>
  </si>
  <si>
    <t>RP 059-3</t>
    <phoneticPr fontId="78" type="noConversion"/>
  </si>
  <si>
    <t>RP 060</t>
    <phoneticPr fontId="78" type="noConversion"/>
  </si>
  <si>
    <t>RP 061</t>
    <phoneticPr fontId="78" type="noConversion"/>
  </si>
  <si>
    <t>RP 062</t>
    <phoneticPr fontId="78" type="noConversion"/>
  </si>
  <si>
    <t>RP 063</t>
    <phoneticPr fontId="78" type="noConversion"/>
  </si>
  <si>
    <t>RP 064</t>
    <phoneticPr fontId="78" type="noConversion"/>
  </si>
  <si>
    <t>RP 065</t>
    <phoneticPr fontId="78" type="noConversion"/>
  </si>
  <si>
    <t>RP 065-1</t>
    <phoneticPr fontId="78" type="noConversion"/>
  </si>
  <si>
    <t>RP 065-2</t>
    <phoneticPr fontId="78" type="noConversion"/>
  </si>
  <si>
    <t>RP 066</t>
    <phoneticPr fontId="78" type="noConversion"/>
  </si>
  <si>
    <t>RP 067</t>
    <phoneticPr fontId="78" type="noConversion"/>
  </si>
  <si>
    <t>RP 068</t>
    <phoneticPr fontId="78" type="noConversion"/>
  </si>
  <si>
    <t>RP 069</t>
    <phoneticPr fontId="78" type="noConversion"/>
  </si>
  <si>
    <t>RP 070</t>
    <phoneticPr fontId="78" type="noConversion"/>
  </si>
  <si>
    <t>RP 071</t>
    <phoneticPr fontId="78" type="noConversion"/>
  </si>
  <si>
    <t>RP 072</t>
    <phoneticPr fontId="78" type="noConversion"/>
  </si>
  <si>
    <t>RP 073</t>
    <phoneticPr fontId="78" type="noConversion"/>
  </si>
  <si>
    <t>RP 074</t>
    <phoneticPr fontId="78" type="noConversion"/>
  </si>
  <si>
    <t>RP 075</t>
    <phoneticPr fontId="78" type="noConversion"/>
  </si>
  <si>
    <t>RP 076</t>
    <phoneticPr fontId="78" type="noConversion"/>
  </si>
  <si>
    <t>RP 077</t>
    <phoneticPr fontId="78" type="noConversion"/>
  </si>
  <si>
    <t>RP 078</t>
    <phoneticPr fontId="78" type="noConversion"/>
  </si>
  <si>
    <t>RP 079</t>
    <phoneticPr fontId="78" type="noConversion"/>
  </si>
  <si>
    <t>RP 080</t>
    <phoneticPr fontId="78" type="noConversion"/>
  </si>
  <si>
    <t>RP 081</t>
    <phoneticPr fontId="78" type="noConversion"/>
  </si>
  <si>
    <t>RP 082</t>
    <phoneticPr fontId="78" type="noConversion"/>
  </si>
  <si>
    <t>RP 083</t>
    <phoneticPr fontId="78" type="noConversion"/>
  </si>
  <si>
    <t>RP 084</t>
    <phoneticPr fontId="78" type="noConversion"/>
  </si>
  <si>
    <t>RP 085</t>
    <phoneticPr fontId="78" type="noConversion"/>
  </si>
  <si>
    <t>RP 086</t>
    <phoneticPr fontId="78" type="noConversion"/>
  </si>
  <si>
    <t>RP 087</t>
    <phoneticPr fontId="78" type="noConversion"/>
  </si>
  <si>
    <t>RP 088</t>
    <phoneticPr fontId="78" type="noConversion"/>
  </si>
  <si>
    <t>RP 089</t>
    <phoneticPr fontId="78" type="noConversion"/>
  </si>
  <si>
    <t>RP 090</t>
    <phoneticPr fontId="78" type="noConversion"/>
  </si>
  <si>
    <t>RP 091</t>
    <phoneticPr fontId="78" type="noConversion"/>
  </si>
  <si>
    <t>RP 092</t>
    <phoneticPr fontId="78" type="noConversion"/>
  </si>
  <si>
    <t>RP 093</t>
    <phoneticPr fontId="78" type="noConversion"/>
  </si>
  <si>
    <t>RP 094</t>
    <phoneticPr fontId="78" type="noConversion"/>
  </si>
  <si>
    <t>RP 095</t>
    <phoneticPr fontId="78" type="noConversion"/>
  </si>
  <si>
    <t>RP 096</t>
    <phoneticPr fontId="78" type="noConversion"/>
  </si>
  <si>
    <t>RP 097</t>
    <phoneticPr fontId="78" type="noConversion"/>
  </si>
  <si>
    <t>RP 098</t>
    <phoneticPr fontId="78" type="noConversion"/>
  </si>
  <si>
    <t>20X8.12.31</t>
    <phoneticPr fontId="78" type="noConversion"/>
  </si>
  <si>
    <t>使用权资产</t>
    <phoneticPr fontId="78" type="noConversion"/>
  </si>
  <si>
    <t>20X9.12.31</t>
    <phoneticPr fontId="78" type="noConversion"/>
  </si>
  <si>
    <t>20X8.12.31</t>
    <phoneticPr fontId="78" type="noConversion"/>
  </si>
  <si>
    <t>20X9.12.31</t>
    <phoneticPr fontId="78" type="noConversion"/>
  </si>
  <si>
    <t>应付账款</t>
    <phoneticPr fontId="78" type="noConversion"/>
  </si>
  <si>
    <t>租赁负债</t>
    <phoneticPr fontId="78" type="noConversion"/>
  </si>
  <si>
    <t>实收资本（或股本）</t>
  </si>
  <si>
    <t>所有者权益（或股东权益）：</t>
    <phoneticPr fontId="78" type="noConversion"/>
  </si>
  <si>
    <t>所有者权益（或股东权益）合计</t>
  </si>
  <si>
    <t>负债和所有者权益（或股东权益）总计</t>
  </si>
  <si>
    <r>
      <t>20X9</t>
    </r>
    <r>
      <rPr>
        <b/>
        <sz val="10"/>
        <rFont val="宋体"/>
        <family val="3"/>
        <charset val="134"/>
      </rPr>
      <t>年度</t>
    </r>
    <phoneticPr fontId="78" type="noConversion"/>
  </si>
  <si>
    <r>
      <t>20X8</t>
    </r>
    <r>
      <rPr>
        <b/>
        <sz val="10"/>
        <rFont val="宋体"/>
        <family val="3"/>
        <charset val="134"/>
      </rPr>
      <t>年度</t>
    </r>
    <phoneticPr fontId="78" type="noConversion"/>
  </si>
  <si>
    <t xml:space="preserve">   资产处置收益(损失以“-”号填列）</t>
    <phoneticPr fontId="78" type="noConversion"/>
  </si>
  <si>
    <t>　　       以摊余成本计量的金融资产终止确认收益（损失以“-”号填列）</t>
    <phoneticPr fontId="78" type="noConversion"/>
  </si>
  <si>
    <r>
      <t xml:space="preserve">       </t>
    </r>
    <r>
      <rPr>
        <sz val="10"/>
        <rFont val="宋体"/>
        <family val="3"/>
        <charset val="134"/>
      </rPr>
      <t>公允价值变动收益</t>
    </r>
    <r>
      <rPr>
        <sz val="10"/>
        <rFont val="Arial Narrow"/>
        <family val="2"/>
      </rPr>
      <t>(</t>
    </r>
    <r>
      <rPr>
        <sz val="10"/>
        <rFont val="宋体"/>
        <family val="3"/>
        <charset val="134"/>
      </rPr>
      <t>损失以</t>
    </r>
    <r>
      <rPr>
        <sz val="10"/>
        <rFont val="Arial Narrow"/>
        <family val="2"/>
      </rPr>
      <t>“-”</t>
    </r>
    <r>
      <rPr>
        <sz val="10"/>
        <rFont val="宋体"/>
        <family val="3"/>
        <charset val="134"/>
      </rPr>
      <t>号填列）</t>
    </r>
    <phoneticPr fontId="78" type="noConversion"/>
  </si>
  <si>
    <r>
      <t xml:space="preserve">       </t>
    </r>
    <r>
      <rPr>
        <sz val="10"/>
        <rFont val="宋体"/>
        <family val="3"/>
        <charset val="134"/>
      </rPr>
      <t>资产减值损失</t>
    </r>
    <r>
      <rPr>
        <sz val="10"/>
        <rFont val="Arial Narrow"/>
        <family val="2"/>
      </rPr>
      <t>(</t>
    </r>
    <r>
      <rPr>
        <sz val="10"/>
        <rFont val="宋体"/>
        <family val="3"/>
        <charset val="134"/>
      </rPr>
      <t>损失以</t>
    </r>
    <r>
      <rPr>
        <sz val="10"/>
        <rFont val="Arial Narrow"/>
        <family val="2"/>
      </rPr>
      <t>“-”</t>
    </r>
    <r>
      <rPr>
        <sz val="10"/>
        <rFont val="宋体"/>
        <family val="3"/>
        <charset val="134"/>
      </rPr>
      <t>号填列）</t>
    </r>
    <phoneticPr fontId="78" type="noConversion"/>
  </si>
  <si>
    <r>
      <t xml:space="preserve">       </t>
    </r>
    <r>
      <rPr>
        <sz val="10"/>
        <rFont val="宋体"/>
        <family val="3"/>
        <charset val="134"/>
      </rPr>
      <t>信用减值损失</t>
    </r>
    <r>
      <rPr>
        <sz val="10"/>
        <rFont val="Arial Narrow"/>
        <family val="2"/>
      </rPr>
      <t>(</t>
    </r>
    <r>
      <rPr>
        <sz val="10"/>
        <rFont val="宋体"/>
        <family val="3"/>
        <charset val="134"/>
      </rPr>
      <t>损失以</t>
    </r>
    <r>
      <rPr>
        <sz val="10"/>
        <rFont val="Arial Narrow"/>
        <family val="2"/>
      </rPr>
      <t>“-”</t>
    </r>
    <r>
      <rPr>
        <sz val="10"/>
        <rFont val="宋体"/>
        <family val="3"/>
        <charset val="134"/>
      </rPr>
      <t>号填列）</t>
    </r>
    <phoneticPr fontId="78" type="noConversion"/>
  </si>
  <si>
    <r>
      <rPr>
        <b/>
        <sz val="10"/>
        <rFont val="宋体"/>
        <family val="3"/>
        <charset val="134"/>
      </rPr>
      <t>二、营业利润</t>
    </r>
    <r>
      <rPr>
        <b/>
        <sz val="10"/>
        <rFont val="Arial Narrow"/>
        <family val="2"/>
      </rPr>
      <t>(</t>
    </r>
    <r>
      <rPr>
        <b/>
        <sz val="10"/>
        <rFont val="宋体"/>
        <family val="3"/>
        <charset val="134"/>
      </rPr>
      <t>亏损以</t>
    </r>
    <r>
      <rPr>
        <b/>
        <sz val="10"/>
        <rFont val="Arial Narrow"/>
        <family val="2"/>
      </rPr>
      <t>“-”</t>
    </r>
    <r>
      <rPr>
        <b/>
        <sz val="10"/>
        <rFont val="宋体"/>
        <family val="3"/>
        <charset val="134"/>
      </rPr>
      <t>号填列）</t>
    </r>
    <phoneticPr fontId="78" type="noConversion"/>
  </si>
  <si>
    <r>
      <rPr>
        <b/>
        <sz val="10"/>
        <rFont val="宋体"/>
        <family val="3"/>
        <charset val="134"/>
      </rPr>
      <t>三、利润总额</t>
    </r>
    <r>
      <rPr>
        <b/>
        <sz val="10"/>
        <rFont val="Arial Narrow"/>
        <family val="2"/>
      </rPr>
      <t>(</t>
    </r>
    <r>
      <rPr>
        <b/>
        <sz val="10"/>
        <rFont val="宋体"/>
        <family val="3"/>
        <charset val="134"/>
      </rPr>
      <t>亏损总额以</t>
    </r>
    <r>
      <rPr>
        <b/>
        <sz val="10"/>
        <rFont val="Arial Narrow"/>
        <family val="2"/>
      </rPr>
      <t>“-”</t>
    </r>
    <r>
      <rPr>
        <b/>
        <sz val="10"/>
        <rFont val="宋体"/>
        <family val="3"/>
        <charset val="134"/>
      </rPr>
      <t>号填列）</t>
    </r>
    <phoneticPr fontId="78" type="noConversion"/>
  </si>
  <si>
    <r>
      <rPr>
        <b/>
        <sz val="10"/>
        <rFont val="宋体"/>
        <family val="3"/>
        <charset val="134"/>
      </rPr>
      <t>四、净利润</t>
    </r>
    <r>
      <rPr>
        <b/>
        <sz val="10"/>
        <rFont val="Arial Narrow"/>
        <family val="2"/>
      </rPr>
      <t>(</t>
    </r>
    <r>
      <rPr>
        <b/>
        <sz val="10"/>
        <rFont val="宋体"/>
        <family val="3"/>
        <charset val="134"/>
      </rPr>
      <t>净亏损以</t>
    </r>
    <r>
      <rPr>
        <b/>
        <sz val="10"/>
        <rFont val="Arial Narrow"/>
        <family val="2"/>
      </rPr>
      <t>“-”</t>
    </r>
    <r>
      <rPr>
        <b/>
        <sz val="10"/>
        <rFont val="宋体"/>
        <family val="3"/>
        <charset val="134"/>
      </rPr>
      <t>号填列）</t>
    </r>
    <phoneticPr fontId="78" type="noConversion"/>
  </si>
  <si>
    <r>
      <t xml:space="preserve">      </t>
    </r>
    <r>
      <rPr>
        <sz val="12"/>
        <rFont val="宋体"/>
        <family val="3"/>
        <charset val="134"/>
      </rPr>
      <t>同一控制下企业合并</t>
    </r>
    <phoneticPr fontId="78" type="noConversion"/>
  </si>
  <si>
    <t>交易性金融资产</t>
    <phoneticPr fontId="78" type="noConversion"/>
  </si>
  <si>
    <r>
      <rPr>
        <sz val="10"/>
        <rFont val="宋体"/>
        <family val="3"/>
        <charset val="134"/>
      </rPr>
      <t>流动资产</t>
    </r>
    <r>
      <rPr>
        <sz val="10"/>
        <rFont val="Arial Narrow"/>
        <family val="2"/>
      </rPr>
      <t>:</t>
    </r>
    <phoneticPr fontId="78" type="noConversion"/>
  </si>
  <si>
    <t>应收票据净值</t>
    <phoneticPr fontId="78" type="noConversion"/>
  </si>
  <si>
    <t>应收票据</t>
    <phoneticPr fontId="78" type="noConversion"/>
  </si>
  <si>
    <t>应收票据坏账准备</t>
    <phoneticPr fontId="78" type="noConversion"/>
  </si>
  <si>
    <t>应收账款</t>
    <phoneticPr fontId="78" type="noConversion"/>
  </si>
  <si>
    <t>应收账款坏账准备</t>
    <phoneticPr fontId="78" type="noConversion"/>
  </si>
  <si>
    <t>应收款项融资</t>
    <phoneticPr fontId="78" type="noConversion"/>
  </si>
  <si>
    <t>其他应收款坏账准备</t>
    <phoneticPr fontId="78" type="noConversion"/>
  </si>
  <si>
    <t>应收采购款坏账准备</t>
  </si>
  <si>
    <t>非流动资产:</t>
    <phoneticPr fontId="78" type="noConversion"/>
  </si>
  <si>
    <t>其他债权投资</t>
    <phoneticPr fontId="78" type="noConversion"/>
  </si>
  <si>
    <t>使用权资产</t>
    <phoneticPr fontId="78" type="noConversion"/>
  </si>
  <si>
    <r>
      <rPr>
        <sz val="10"/>
        <color rgb="FFFF0000"/>
        <rFont val="宋体"/>
        <family val="3"/>
        <charset val="134"/>
      </rPr>
      <t>无形资产净值</t>
    </r>
  </si>
  <si>
    <t>应付账款</t>
    <phoneticPr fontId="78" type="noConversion"/>
  </si>
  <si>
    <t>应付票据</t>
    <phoneticPr fontId="78" type="noConversion"/>
  </si>
  <si>
    <t>租赁负债</t>
    <phoneticPr fontId="78" type="noConversion"/>
  </si>
  <si>
    <t>所有者权益（或股东权益）：</t>
  </si>
  <si>
    <t>专项储备</t>
    <phoneticPr fontId="78" type="noConversion"/>
  </si>
  <si>
    <t xml:space="preserve">   公允价值变动收益(损失以“-”号填列）</t>
    <phoneticPr fontId="78" type="noConversion"/>
  </si>
  <si>
    <t xml:space="preserve">   净敞口套期收益（损失以"-"号填列）</t>
    <phoneticPr fontId="78" type="noConversion"/>
  </si>
  <si>
    <t xml:space="preserve">   信用减值损失(损失以“-”号填列）</t>
    <phoneticPr fontId="78" type="noConversion"/>
  </si>
  <si>
    <t xml:space="preserve">   资产减值损失(损失以“-”号填列）</t>
    <phoneticPr fontId="78" type="noConversion"/>
  </si>
  <si>
    <t xml:space="preserve">   投资收益(损失以“-”号填列）</t>
    <phoneticPr fontId="78" type="noConversion"/>
  </si>
  <si>
    <t xml:space="preserve">          以摊余成本计量的金融资产终止确认收益（损失以“-”号填列）</t>
    <phoneticPr fontId="78" type="noConversion"/>
  </si>
  <si>
    <r>
      <t xml:space="preserve">        </t>
    </r>
    <r>
      <rPr>
        <sz val="10"/>
        <rFont val="宋体"/>
        <family val="3"/>
        <charset val="134"/>
      </rPr>
      <t>资产处置收益</t>
    </r>
    <r>
      <rPr>
        <sz val="10"/>
        <rFont val="Arial Narrow"/>
        <family val="2"/>
      </rPr>
      <t>(</t>
    </r>
    <r>
      <rPr>
        <sz val="10"/>
        <rFont val="宋体"/>
        <family val="3"/>
        <charset val="134"/>
      </rPr>
      <t>损失以</t>
    </r>
    <r>
      <rPr>
        <sz val="10"/>
        <rFont val="Arial Narrow"/>
        <family val="2"/>
      </rPr>
      <t>“-”</t>
    </r>
    <r>
      <rPr>
        <sz val="10"/>
        <rFont val="宋体"/>
        <family val="3"/>
        <charset val="134"/>
      </rPr>
      <t>号填列）</t>
    </r>
    <phoneticPr fontId="78" type="noConversion"/>
  </si>
  <si>
    <r>
      <rPr>
        <sz val="10"/>
        <rFont val="宋体"/>
        <family val="3"/>
        <charset val="134"/>
      </rPr>
      <t>二、营业利润</t>
    </r>
    <r>
      <rPr>
        <sz val="10"/>
        <rFont val="Arial Narrow"/>
        <family val="2"/>
      </rPr>
      <t>(</t>
    </r>
    <r>
      <rPr>
        <sz val="10"/>
        <rFont val="宋体"/>
        <family val="3"/>
        <charset val="134"/>
      </rPr>
      <t>亏损以</t>
    </r>
    <r>
      <rPr>
        <sz val="10"/>
        <rFont val="Arial Narrow"/>
        <family val="2"/>
      </rPr>
      <t>“-”</t>
    </r>
    <r>
      <rPr>
        <sz val="10"/>
        <rFont val="宋体"/>
        <family val="3"/>
        <charset val="134"/>
      </rPr>
      <t>号填列）</t>
    </r>
    <phoneticPr fontId="78" type="noConversion"/>
  </si>
  <si>
    <r>
      <rPr>
        <sz val="10"/>
        <rFont val="宋体"/>
        <family val="3"/>
        <charset val="134"/>
      </rPr>
      <t>三、利润总额</t>
    </r>
    <r>
      <rPr>
        <sz val="10"/>
        <rFont val="Arial Narrow"/>
        <family val="2"/>
      </rPr>
      <t>(</t>
    </r>
    <r>
      <rPr>
        <sz val="10"/>
        <rFont val="宋体"/>
        <family val="3"/>
        <charset val="134"/>
      </rPr>
      <t>亏损总额以</t>
    </r>
    <r>
      <rPr>
        <sz val="10"/>
        <rFont val="Arial Narrow"/>
        <family val="2"/>
      </rPr>
      <t>“-”</t>
    </r>
    <r>
      <rPr>
        <sz val="10"/>
        <rFont val="宋体"/>
        <family val="3"/>
        <charset val="134"/>
      </rPr>
      <t>号填列）</t>
    </r>
    <phoneticPr fontId="78" type="noConversion"/>
  </si>
  <si>
    <r>
      <rPr>
        <sz val="10"/>
        <rFont val="宋体"/>
        <family val="3"/>
        <charset val="134"/>
      </rPr>
      <t>四、净利润</t>
    </r>
    <r>
      <rPr>
        <sz val="10"/>
        <rFont val="Arial Narrow"/>
        <family val="2"/>
      </rPr>
      <t>(</t>
    </r>
    <r>
      <rPr>
        <sz val="10"/>
        <rFont val="宋体"/>
        <family val="3"/>
        <charset val="134"/>
      </rPr>
      <t>净损失以</t>
    </r>
    <r>
      <rPr>
        <sz val="10"/>
        <rFont val="Arial Narrow"/>
        <family val="2"/>
      </rPr>
      <t>“-”</t>
    </r>
    <r>
      <rPr>
        <sz val="10"/>
        <rFont val="宋体"/>
        <family val="3"/>
        <charset val="134"/>
      </rPr>
      <t>号填列）</t>
    </r>
    <phoneticPr fontId="78" type="noConversion"/>
  </si>
  <si>
    <r>
      <t>20X9</t>
    </r>
    <r>
      <rPr>
        <b/>
        <sz val="12"/>
        <rFont val="宋体"/>
        <family val="3"/>
        <charset val="134"/>
      </rPr>
      <t>年度</t>
    </r>
    <phoneticPr fontId="78" type="noConversion"/>
  </si>
  <si>
    <t>RP 016</t>
    <phoneticPr fontId="78" type="noConversion"/>
  </si>
  <si>
    <t>油气资产</t>
    <phoneticPr fontId="78" type="noConversion"/>
  </si>
  <si>
    <t>RP 027</t>
    <phoneticPr fontId="7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</si>
</sst>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6">
    <numFmt numFmtId="41" formatCode="_ * #,##0_ ;_ * \-#,##0_ ;_ * &quot;-&quot;_ ;_ @_ "/>
    <numFmt numFmtId="44" formatCode="_ &quot;¥&quot;* #,##0.00_ ;_ &quot;¥&quot;* \-#,##0.00_ ;_ &quot;¥&quot;* &quot;-&quot;??_ ;_ @_ "/>
    <numFmt numFmtId="43" formatCode="_ * #,##0.00_ ;_ * \-#,##0.00_ ;_ * &quot;-&quot;??_ ;_ @_ "/>
    <numFmt numFmtId="176" formatCode="_(* #,##0.00_);_(* \(#,##0.00\);_(* &quot;-&quot;_);_(@_)"/>
    <numFmt numFmtId="177" formatCode="_(&quot;$&quot;* #,##0.00_);_(&quot;$&quot;* \(#,##0.00\);_(&quot;$&quot;* &quot;-&quot;??_);_(@_)"/>
    <numFmt numFmtId="178" formatCode="_-* #,##0.00_-;\-* #,##0.00_-;_-* &quot;-&quot;??_-;_-@_-"/>
    <numFmt numFmtId="179" formatCode="_-&quot;$&quot;* #,##0.00_-;\-&quot;$&quot;* #,##0.00_-;_-&quot;$&quot;* &quot;-&quot;??_-;_-@_-"/>
    <numFmt numFmtId="18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81" formatCode="&quot;\&quot;#,##0;&quot;\&quot;&quot;\&quot;\-#,##0"/>
    <numFmt numFmtId="182" formatCode="_(* #,##0.00_);_(* \(#,##0.00\);_(* &quot;-&quot;??_);_(@_)"/>
    <numFmt numFmtId="183" formatCode="_ * #,##0.0000_ ;_ * \-#,##0.0000_ ;_ * &quot;-&quot;??_ ;_ @_ "/>
    <numFmt numFmtId="184" formatCode="0.00_ "/>
    <numFmt numFmtId="185" formatCode="&quot;\&quot;#,##0.00;[Red]&quot;\&quot;&quot;\&quot;\-#,##0.00"/>
    <numFmt numFmtId="186" formatCode="&quot;$&quot;#,##0_);\(&quot;$&quot;#,##0\)"/>
    <numFmt numFmtId="187" formatCode="#,##0.00000000_ "/>
    <numFmt numFmtId="188" formatCode="#,##0.000_ "/>
    <numFmt numFmtId="189" formatCode="&quot;\&quot;#,##0;[Red]&quot;\&quot;&quot;\&quot;\-#,##0"/>
    <numFmt numFmtId="190" formatCode="_(* #,##0_);_(* \(#,##0\);_(* &quot;-&quot;_);_(@_)"/>
    <numFmt numFmtId="191" formatCode="_-&quot;$&quot;* #,##0_-;\-&quot;$&quot;* #,##0_-;_-&quot;$&quot;* &quot;-&quot;_-;_-@_-"/>
    <numFmt numFmtId="192" formatCode="#,##0.00_-"/>
    <numFmt numFmtId="193" formatCode="#,##0.00_);\(#,##0.00\)"/>
    <numFmt numFmtId="194" formatCode="0.000%"/>
    <numFmt numFmtId="195" formatCode="_-* #,##0_-;\-* #,##0_-;_-* &quot;-&quot;_-;_-@_-"/>
    <numFmt numFmtId="196" formatCode="#,##0;\-#,##0;&quot;-&quot;"/>
    <numFmt numFmtId="197" formatCode="000\-0000"/>
    <numFmt numFmtId="198" formatCode="#,##0.00_ "/>
  </numFmts>
  <fonts count="140">
    <font>
      <sz val="12"/>
      <name val="Times New Roman"/>
      <charset val="134"/>
    </font>
    <font>
      <sz val="12"/>
      <name val="Arial Narrow"/>
      <family val="2"/>
    </font>
    <font>
      <sz val="11"/>
      <name val="Arial Narrow"/>
      <family val="2"/>
    </font>
    <font>
      <sz val="10"/>
      <name val="Arial Narrow"/>
      <family val="2"/>
    </font>
    <font>
      <sz val="10"/>
      <color indexed="12"/>
      <name val="Arial Narrow"/>
      <family val="2"/>
    </font>
    <font>
      <b/>
      <sz val="12"/>
      <name val="Arial Narrow"/>
      <family val="2"/>
    </font>
    <font>
      <u/>
      <sz val="11"/>
      <color indexed="12"/>
      <name val="Arial Narrow"/>
      <family val="2"/>
    </font>
    <font>
      <b/>
      <sz val="10"/>
      <name val="Arial Narrow"/>
      <family val="2"/>
    </font>
    <font>
      <sz val="10"/>
      <color indexed="8"/>
      <name val="Arial Narrow"/>
      <family val="2"/>
    </font>
    <font>
      <b/>
      <u/>
      <sz val="12"/>
      <color indexed="12"/>
      <name val="Arial Narrow"/>
      <family val="2"/>
    </font>
    <font>
      <sz val="10"/>
      <color indexed="10"/>
      <name val="Arial Narrow"/>
      <family val="2"/>
    </font>
    <font>
      <b/>
      <sz val="10"/>
      <color indexed="12"/>
      <name val="Arial Narrow"/>
      <family val="2"/>
    </font>
    <font>
      <b/>
      <sz val="10"/>
      <color indexed="10"/>
      <name val="Arial Narrow"/>
      <family val="2"/>
    </font>
    <font>
      <sz val="10"/>
      <name val="宋体"/>
      <family val="3"/>
      <charset val="134"/>
    </font>
    <font>
      <sz val="10"/>
      <color rgb="FF3333FF"/>
      <name val="Arial Narrow"/>
      <family val="2"/>
    </font>
    <font>
      <sz val="10"/>
      <name val="宋体"/>
      <family val="3"/>
      <charset val="134"/>
      <scheme val="minor"/>
    </font>
    <font>
      <sz val="10"/>
      <color rgb="FFFF0000"/>
      <name val="宋体"/>
      <family val="3"/>
      <charset val="134"/>
      <scheme val="minor"/>
    </font>
    <font>
      <b/>
      <sz val="10"/>
      <name val="宋体"/>
      <family val="3"/>
      <charset val="134"/>
      <scheme val="minor"/>
    </font>
    <font>
      <sz val="10"/>
      <color rgb="FF3333FF"/>
      <name val="宋体"/>
      <family val="3"/>
      <charset val="134"/>
    </font>
    <font>
      <b/>
      <sz val="10"/>
      <name val="宋体"/>
      <family val="3"/>
      <charset val="134"/>
    </font>
    <font>
      <u/>
      <sz val="9"/>
      <color indexed="12"/>
      <name val="Arial Narrow"/>
      <family val="2"/>
    </font>
    <font>
      <sz val="10"/>
      <color indexed="12"/>
      <name val="宋体"/>
      <family val="3"/>
      <charset val="134"/>
    </font>
    <font>
      <b/>
      <sz val="10"/>
      <color rgb="FF000000"/>
      <name val="Arial Narrow"/>
      <family val="2"/>
    </font>
    <font>
      <sz val="10"/>
      <color rgb="FF000000"/>
      <name val="Arial Narrow"/>
      <family val="2"/>
    </font>
    <font>
      <sz val="12"/>
      <color indexed="10"/>
      <name val="Arial Narrow"/>
      <family val="2"/>
    </font>
    <font>
      <sz val="11"/>
      <color indexed="10"/>
      <name val="Arial Narrow"/>
      <family val="2"/>
    </font>
    <font>
      <sz val="10"/>
      <color rgb="FF0000FF"/>
      <name val="Arial Narrow"/>
      <family val="2"/>
    </font>
    <font>
      <b/>
      <sz val="12"/>
      <name val="宋体"/>
      <family val="3"/>
      <charset val="134"/>
    </font>
    <font>
      <sz val="10"/>
      <color rgb="FF0000FF"/>
      <name val="宋体"/>
      <family val="3"/>
      <charset val="134"/>
    </font>
    <font>
      <b/>
      <sz val="11"/>
      <name val="Arial Narrow"/>
      <family val="2"/>
    </font>
    <font>
      <b/>
      <u/>
      <sz val="11"/>
      <color indexed="12"/>
      <name val="Arial Narrow"/>
      <family val="2"/>
    </font>
    <font>
      <sz val="11"/>
      <color indexed="8"/>
      <name val="Arial Narrow"/>
      <family val="2"/>
    </font>
    <font>
      <b/>
      <sz val="12"/>
      <color rgb="FF000000"/>
      <name val="Arial Narrow"/>
      <family val="2"/>
    </font>
    <font>
      <b/>
      <sz val="10"/>
      <color indexed="8"/>
      <name val="Arial Narrow"/>
      <family val="2"/>
    </font>
    <font>
      <sz val="10"/>
      <color rgb="FF0070C0"/>
      <name val="Arial Narrow"/>
      <family val="2"/>
    </font>
    <font>
      <sz val="10"/>
      <color theme="1"/>
      <name val="Arial Narrow"/>
      <family val="2"/>
    </font>
    <font>
      <b/>
      <sz val="10"/>
      <color theme="1"/>
      <name val="Arial Narrow"/>
      <family val="2"/>
    </font>
    <font>
      <b/>
      <sz val="10"/>
      <color rgb="FF0070C0"/>
      <name val="Arial Narrow"/>
      <family val="2"/>
    </font>
    <font>
      <sz val="10"/>
      <color rgb="FFFF0000"/>
      <name val="Arial Narrow"/>
      <family val="2"/>
    </font>
    <font>
      <b/>
      <sz val="12"/>
      <color indexed="10"/>
      <name val="Arial Narrow"/>
      <family val="2"/>
    </font>
    <font>
      <sz val="10"/>
      <color rgb="FF000000"/>
      <name val="宋体"/>
      <family val="3"/>
      <charset val="134"/>
    </font>
    <font>
      <b/>
      <sz val="12"/>
      <color indexed="8"/>
      <name val="Arial Narrow"/>
      <family val="2"/>
    </font>
    <font>
      <sz val="11"/>
      <color rgb="FF0000FF"/>
      <name val="Arial Narrow"/>
      <family val="2"/>
    </font>
    <font>
      <sz val="11"/>
      <color theme="1"/>
      <name val="Arial Narrow"/>
      <family val="2"/>
    </font>
    <font>
      <b/>
      <sz val="10"/>
      <color rgb="FF0000FF"/>
      <name val="Arial Narrow"/>
      <family val="2"/>
    </font>
    <font>
      <sz val="11"/>
      <color rgb="FF000000"/>
      <name val="Arial Narrow"/>
      <family val="2"/>
    </font>
    <font>
      <b/>
      <sz val="11"/>
      <color rgb="FF000000"/>
      <name val="Arial Narrow"/>
      <family val="2"/>
    </font>
    <font>
      <sz val="12"/>
      <color rgb="FF0070C0"/>
      <name val="Arial Narrow"/>
      <family val="2"/>
    </font>
    <font>
      <sz val="10"/>
      <color rgb="FFFF00FF"/>
      <name val="Arial Narrow"/>
      <family val="2"/>
    </font>
    <font>
      <b/>
      <sz val="10"/>
      <color theme="1"/>
      <name val="宋体"/>
      <family val="3"/>
      <charset val="134"/>
    </font>
    <font>
      <sz val="10"/>
      <color theme="1"/>
      <name val="宋体"/>
      <family val="3"/>
      <charset val="134"/>
    </font>
    <font>
      <b/>
      <sz val="10"/>
      <color rgb="FFFF0000"/>
      <name val="Arial Narrow"/>
      <family val="2"/>
    </font>
    <font>
      <b/>
      <sz val="11"/>
      <color theme="1"/>
      <name val="Arial Narrow"/>
      <family val="2"/>
    </font>
    <font>
      <b/>
      <sz val="12"/>
      <color theme="1"/>
      <name val="Arial Narrow"/>
      <family val="2"/>
    </font>
    <font>
      <sz val="10"/>
      <color rgb="FF00B0F0"/>
      <name val="Arial Narrow"/>
      <family val="2"/>
    </font>
    <font>
      <u/>
      <sz val="12"/>
      <color indexed="12"/>
      <name val="Arial Narrow"/>
      <family val="2"/>
    </font>
    <font>
      <sz val="10"/>
      <color indexed="8"/>
      <name val="宋体"/>
      <family val="3"/>
      <charset val="134"/>
    </font>
    <font>
      <b/>
      <sz val="16"/>
      <name val="Arial Narrow"/>
      <family val="2"/>
    </font>
    <font>
      <b/>
      <strike/>
      <sz val="12"/>
      <name val="宋体"/>
      <family val="3"/>
      <charset val="134"/>
    </font>
    <font>
      <b/>
      <strike/>
      <sz val="12"/>
      <name val="Arial Narrow"/>
      <family val="2"/>
    </font>
    <font>
      <b/>
      <sz val="12"/>
      <color indexed="12"/>
      <name val="Arial Narrow"/>
      <family val="2"/>
    </font>
    <font>
      <b/>
      <sz val="10"/>
      <color indexed="9"/>
      <name val="Arial Narrow"/>
      <family val="2"/>
    </font>
    <font>
      <b/>
      <sz val="14"/>
      <name val="Arial Narrow"/>
      <family val="2"/>
    </font>
    <font>
      <strike/>
      <sz val="10"/>
      <name val="Arial Narrow"/>
      <family val="2"/>
    </font>
    <font>
      <sz val="10"/>
      <color indexed="9"/>
      <name val="Arial Narrow"/>
      <family val="2"/>
    </font>
    <font>
      <strike/>
      <sz val="10"/>
      <name val="宋体"/>
      <family val="3"/>
      <charset val="134"/>
    </font>
    <font>
      <u/>
      <sz val="10"/>
      <color rgb="FF800080"/>
      <name val="宋体"/>
      <family val="3"/>
      <charset val="134"/>
    </font>
    <font>
      <u/>
      <sz val="10"/>
      <color rgb="FF800080"/>
      <name val="Arial Narrow"/>
      <family val="2"/>
    </font>
    <font>
      <sz val="10"/>
      <color indexed="10"/>
      <name val="宋体"/>
      <family val="3"/>
      <charset val="134"/>
    </font>
    <font>
      <u/>
      <sz val="10"/>
      <color indexed="12"/>
      <name val="Arial Narrow"/>
      <family val="2"/>
    </font>
    <font>
      <sz val="10"/>
      <name val="Helv"/>
      <family val="2"/>
    </font>
    <font>
      <sz val="12"/>
      <name val="바탕체"/>
      <family val="3"/>
    </font>
    <font>
      <b/>
      <sz val="9"/>
      <name val="Times New Roman"/>
      <family val="1"/>
    </font>
    <font>
      <sz val="10"/>
      <name val="Arial"/>
      <family val="2"/>
    </font>
    <font>
      <b/>
      <i/>
      <sz val="10"/>
      <name val="Times New Roman"/>
      <family val="1"/>
    </font>
    <font>
      <sz val="12"/>
      <name val="宋体"/>
      <family val="3"/>
      <charset val="134"/>
    </font>
    <font>
      <u/>
      <sz val="7.5"/>
      <color indexed="36"/>
      <name val="Arial"/>
      <family val="2"/>
    </font>
    <font>
      <u/>
      <sz val="9"/>
      <color indexed="12"/>
      <name val="Times New Roman"/>
      <family val="1"/>
    </font>
    <font>
      <sz val="9"/>
      <name val="Times New Roman"/>
      <family val="1"/>
    </font>
    <font>
      <sz val="11"/>
      <name val="ＭＳ Ｐゴシック"/>
      <family val="2"/>
    </font>
    <font>
      <sz val="10"/>
      <color indexed="8"/>
      <name val="Arial"/>
      <family val="2"/>
    </font>
    <font>
      <sz val="12"/>
      <name val="楷体"/>
      <family val="3"/>
      <charset val="134"/>
    </font>
    <font>
      <sz val="7"/>
      <name val="Helv"/>
      <family val="2"/>
    </font>
    <font>
      <sz val="8"/>
      <name val="Century Schoolbook"/>
      <family val="1"/>
    </font>
    <font>
      <sz val="8"/>
      <color indexed="16"/>
      <name val="Century Schoolbook"/>
      <family val="1"/>
    </font>
    <font>
      <b/>
      <sz val="10"/>
      <name val="MS Sans Serif"/>
      <family val="2"/>
    </font>
    <font>
      <sz val="11"/>
      <name val="明朝"/>
      <family val="2"/>
    </font>
    <font>
      <sz val="8"/>
      <name val="Arial"/>
      <family val="2"/>
    </font>
    <font>
      <sz val="10"/>
      <name val="Geneva"/>
      <family val="2"/>
    </font>
    <font>
      <sz val="7"/>
      <color indexed="10"/>
      <name val="Helv"/>
      <family val="2"/>
    </font>
    <font>
      <b/>
      <sz val="12"/>
      <name val="Arial"/>
      <family val="2"/>
    </font>
    <font>
      <sz val="10"/>
      <name val="Times New Roman"/>
      <family val="1"/>
    </font>
    <font>
      <sz val="11"/>
      <name val="ＭＳ Ｐゴシック"/>
      <family val="2"/>
    </font>
    <font>
      <u/>
      <sz val="7.5"/>
      <color indexed="12"/>
      <name val="Arial"/>
      <family val="2"/>
    </font>
    <font>
      <sz val="11"/>
      <name val="蹈框"/>
      <charset val="134"/>
    </font>
    <font>
      <sz val="10"/>
      <name val="Courier"/>
      <family val="3"/>
    </font>
    <font>
      <sz val="11"/>
      <name val="宋体"/>
      <family val="3"/>
      <charset val="134"/>
    </font>
    <font>
      <b/>
      <sz val="10"/>
      <color indexed="12"/>
      <name val="宋体"/>
      <family val="3"/>
      <charset val="134"/>
    </font>
    <font>
      <b/>
      <sz val="10"/>
      <color indexed="10"/>
      <name val="宋体"/>
      <family val="3"/>
      <charset val="134"/>
    </font>
    <font>
      <b/>
      <sz val="12"/>
      <name val="仿宋_GB2312"/>
      <family val="3"/>
      <charset val="134"/>
    </font>
    <font>
      <b/>
      <sz val="10"/>
      <name val="仿宋_GB2312"/>
      <family val="3"/>
      <charset val="134"/>
    </font>
    <font>
      <sz val="12"/>
      <name val="仿宋_GB2312"/>
      <family val="3"/>
      <charset val="134"/>
    </font>
    <font>
      <b/>
      <sz val="10"/>
      <color rgb="FF000000"/>
      <name val="宋体"/>
      <family val="3"/>
      <charset val="134"/>
    </font>
    <font>
      <b/>
      <sz val="12"/>
      <color rgb="FF000000"/>
      <name val="宋体"/>
      <family val="3"/>
      <charset val="134"/>
    </font>
    <font>
      <b/>
      <sz val="10"/>
      <color indexed="8"/>
      <name val="宋体"/>
      <family val="3"/>
      <charset val="134"/>
    </font>
    <font>
      <sz val="10"/>
      <color rgb="FF0070C0"/>
      <name val="宋体"/>
      <family val="3"/>
      <charset val="134"/>
    </font>
    <font>
      <i/>
      <sz val="10"/>
      <color rgb="FFFF0000"/>
      <name val="Arial Narrow"/>
      <family val="2"/>
    </font>
    <font>
      <i/>
      <sz val="10"/>
      <color rgb="FFFF0000"/>
      <name val="宋体"/>
      <family val="3"/>
      <charset val="134"/>
    </font>
    <font>
      <u/>
      <sz val="10"/>
      <color rgb="FF0000FF"/>
      <name val="宋体"/>
      <family val="3"/>
      <charset val="134"/>
    </font>
    <font>
      <sz val="11"/>
      <color indexed="8"/>
      <name val="宋体"/>
      <family val="3"/>
      <charset val="134"/>
    </font>
    <font>
      <b/>
      <sz val="10"/>
      <color rgb="FF0000FF"/>
      <name val="宋体"/>
      <family val="3"/>
      <charset val="134"/>
    </font>
    <font>
      <sz val="10"/>
      <color rgb="FFFF0000"/>
      <name val="宋体"/>
      <family val="3"/>
      <charset val="134"/>
    </font>
    <font>
      <b/>
      <sz val="10"/>
      <color rgb="FF0070C0"/>
      <name val="宋体"/>
      <family val="3"/>
      <charset val="134"/>
    </font>
    <font>
      <b/>
      <u/>
      <sz val="10"/>
      <color rgb="FF0000FF"/>
      <name val="宋体"/>
      <family val="3"/>
      <charset val="134"/>
    </font>
    <font>
      <b/>
      <sz val="12"/>
      <color indexed="12"/>
      <name val="宋体"/>
      <family val="3"/>
      <charset val="134"/>
    </font>
    <font>
      <b/>
      <sz val="12"/>
      <color rgb="FF0000FF"/>
      <name val="宋体"/>
      <family val="3"/>
      <charset val="134"/>
    </font>
    <font>
      <u/>
      <sz val="10"/>
      <name val="Arial Narrow"/>
      <family val="2"/>
    </font>
    <font>
      <b/>
      <sz val="12"/>
      <color indexed="8"/>
      <name val="宋体"/>
      <family val="3"/>
      <charset val="134"/>
    </font>
    <font>
      <b/>
      <sz val="11"/>
      <name val="宋体"/>
      <family val="3"/>
      <charset val="134"/>
    </font>
    <font>
      <b/>
      <sz val="11"/>
      <color rgb="FF000000"/>
      <name val="宋体"/>
      <family val="3"/>
      <charset val="134"/>
    </font>
    <font>
      <sz val="11"/>
      <color rgb="FF000000"/>
      <name val="宋体"/>
      <family val="3"/>
      <charset val="134"/>
    </font>
    <font>
      <sz val="12"/>
      <color rgb="FF0070C0"/>
      <name val="宋体"/>
      <family val="3"/>
      <charset val="134"/>
    </font>
    <font>
      <sz val="12"/>
      <color rgb="FF0000FF"/>
      <name val="宋体"/>
      <family val="3"/>
      <charset val="134"/>
    </font>
    <font>
      <b/>
      <strike/>
      <sz val="10"/>
      <color rgb="FFFF0000"/>
      <name val="宋体"/>
      <family val="3"/>
      <charset val="134"/>
    </font>
    <font>
      <b/>
      <sz val="10"/>
      <color rgb="FFFF0000"/>
      <name val="宋体"/>
      <family val="3"/>
      <charset val="134"/>
    </font>
    <font>
      <strike/>
      <sz val="10"/>
      <color rgb="FFFF0000"/>
      <name val="宋体"/>
      <family val="3"/>
      <charset val="134"/>
    </font>
    <font>
      <b/>
      <sz val="11"/>
      <color theme="1"/>
      <name val="宋体"/>
      <family val="3"/>
      <charset val="134"/>
    </font>
    <font>
      <b/>
      <sz val="12"/>
      <color theme="1"/>
      <name val="宋体"/>
      <family val="3"/>
      <charset val="134"/>
    </font>
    <font>
      <sz val="11"/>
      <color theme="1"/>
      <name val="宋体"/>
      <family val="3"/>
      <charset val="134"/>
    </font>
    <font>
      <sz val="11"/>
      <color rgb="FF0000FF"/>
      <name val="宋体"/>
      <family val="3"/>
      <charset val="134"/>
    </font>
    <font>
      <sz val="10"/>
      <color rgb="FF00B0F0"/>
      <name val="宋体"/>
      <family val="3"/>
      <charset val="134"/>
    </font>
    <font>
      <b/>
      <sz val="10"/>
      <color theme="1"/>
      <name val="仿宋_GB2312"/>
      <family val="3"/>
      <charset val="134"/>
    </font>
    <font>
      <b/>
      <sz val="16"/>
      <name val="宋体"/>
      <family val="3"/>
      <charset val="134"/>
    </font>
    <font>
      <b/>
      <strike/>
      <sz val="12"/>
      <color rgb="FFFF0000"/>
      <name val="宋体"/>
      <family val="3"/>
      <charset val="134"/>
    </font>
    <font>
      <strike/>
      <sz val="12"/>
      <color rgb="FFFF0000"/>
      <name val="宋体"/>
      <family val="3"/>
      <charset val="134"/>
    </font>
    <font>
      <sz val="12"/>
      <name val="Times New Roman"/>
      <family val="1"/>
    </font>
    <font>
      <b/>
      <sz val="9"/>
      <name val="宋体"/>
      <family val="3"/>
      <charset val="134"/>
    </font>
    <font>
      <sz val="9"/>
      <name val="宋体"/>
      <family val="3"/>
      <charset val="134"/>
    </font>
    <font>
      <sz val="9"/>
      <name val="Tahoma"/>
      <family val="2"/>
    </font>
    <font>
      <sz val="9"/>
      <color indexed="81"/>
      <name val="宋体"/>
      <family val="3"/>
      <charset val="134"/>
    </font>
  </fonts>
  <fills count="13">
    <fill>
      <patternFill patternType="none"/>
    </fill>
    <fill>
      <patternFill patternType="gray125"/>
    </fill>
    <fill>
      <patternFill patternType="solid">
        <fgColor theme="7" tint="0.79989013336588644"/>
        <bgColor indexed="64"/>
      </patternFill>
    </fill>
    <fill>
      <patternFill patternType="solid">
        <fgColor rgb="FFFFFF99"/>
        <bgColor indexed="64"/>
      </patternFill>
    </fill>
    <fill>
      <patternFill patternType="solid">
        <fgColor indexed="53"/>
        <bgColor indexed="64"/>
      </patternFill>
    </fill>
    <fill>
      <patternFill patternType="solid">
        <fgColor theme="7" tint="0.59999389629810485"/>
        <bgColor indexed="64"/>
      </patternFill>
    </fill>
    <fill>
      <patternFill patternType="solid">
        <fgColor theme="0"/>
        <bgColor indexed="64"/>
      </patternFill>
    </fill>
    <fill>
      <patternFill patternType="solid">
        <fgColor indexed="43"/>
        <bgColor indexed="64"/>
      </patternFill>
    </fill>
    <fill>
      <patternFill patternType="solid">
        <fgColor rgb="FFFFC000"/>
        <bgColor indexed="64"/>
      </patternFill>
    </fill>
    <fill>
      <patternFill patternType="solid">
        <fgColor indexed="15"/>
        <bgColor indexed="64"/>
      </patternFill>
    </fill>
    <fill>
      <patternFill patternType="solid">
        <fgColor indexed="9"/>
        <bgColor indexed="64"/>
      </patternFill>
    </fill>
    <fill>
      <patternFill patternType="solid">
        <fgColor indexed="22"/>
        <bgColor indexed="64"/>
      </patternFill>
    </fill>
    <fill>
      <patternFill patternType="solid">
        <fgColor indexed="26"/>
        <bgColor indexed="64"/>
      </patternFill>
    </fill>
  </fills>
  <borders count="32">
    <border>
      <left/>
      <right/>
      <top/>
      <bottom/>
      <diagonal/>
    </border>
    <border>
      <left style="hair">
        <color auto="1"/>
      </left>
      <right style="hair">
        <color auto="1"/>
      </right>
      <top style="hair">
        <color auto="1"/>
      </top>
      <bottom style="hair">
        <color auto="1"/>
      </bottom>
      <diagonal/>
    </border>
    <border>
      <left/>
      <right/>
      <top style="hair">
        <color auto="1"/>
      </top>
      <bottom/>
      <diagonal/>
    </border>
    <border>
      <left/>
      <right/>
      <top/>
      <bottom style="medium">
        <color auto="1"/>
      </bottom>
      <diagonal/>
    </border>
    <border>
      <left style="hair">
        <color auto="1"/>
      </left>
      <right/>
      <top/>
      <bottom/>
      <diagonal/>
    </border>
    <border>
      <left/>
      <right style="hair">
        <color auto="1"/>
      </right>
      <top style="hair">
        <color auto="1"/>
      </top>
      <bottom style="hair">
        <color auto="1"/>
      </bottom>
      <diagonal/>
    </border>
    <border>
      <left style="hair">
        <color auto="1"/>
      </left>
      <right/>
      <top/>
      <bottom style="hair">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style="hair">
        <color auto="1"/>
      </right>
      <top style="hair">
        <color auto="1"/>
      </top>
      <bottom/>
      <diagonal/>
    </border>
    <border>
      <left/>
      <right style="hair">
        <color auto="1"/>
      </right>
      <top/>
      <bottom style="hair">
        <color auto="1"/>
      </bottom>
      <diagonal/>
    </border>
    <border>
      <left/>
      <right style="hair">
        <color auto="1"/>
      </right>
      <top/>
      <bottom/>
      <diagonal/>
    </border>
    <border>
      <left style="hair">
        <color auto="1"/>
      </left>
      <right/>
      <top style="hair">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hair">
        <color auto="1"/>
      </left>
      <right style="hair">
        <color auto="1"/>
      </right>
      <top/>
      <bottom/>
      <diagonal/>
    </border>
    <border>
      <left style="hair">
        <color auto="1"/>
      </left>
      <right style="hair">
        <color auto="1"/>
      </right>
      <top/>
      <bottom style="thin">
        <color auto="1"/>
      </bottom>
      <diagonal/>
    </border>
    <border>
      <left/>
      <right/>
      <top style="medium">
        <color auto="1"/>
      </top>
      <bottom style="medium">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69">
    <xf numFmtId="0" fontId="0" fillId="0" borderId="0"/>
    <xf numFmtId="0" fontId="70" fillId="0" borderId="0"/>
    <xf numFmtId="190" fontId="135" fillId="0" borderId="0" applyFont="0" applyFill="0" applyBorder="0" applyAlignment="0" applyProtection="0"/>
    <xf numFmtId="0" fontId="75" fillId="0" borderId="0"/>
    <xf numFmtId="0" fontId="76" fillId="0" borderId="0" applyNumberFormat="0" applyFill="0" applyBorder="0" applyAlignment="0" applyProtection="0">
      <alignment vertical="top"/>
      <protection locked="0"/>
    </xf>
    <xf numFmtId="182" fontId="135" fillId="0" borderId="0" applyFont="0" applyFill="0" applyBorder="0" applyAlignment="0" applyProtection="0"/>
    <xf numFmtId="0" fontId="77" fillId="0" borderId="0" applyNumberFormat="0" applyFill="0" applyBorder="0" applyAlignment="0" applyProtection="0">
      <alignment vertical="top"/>
      <protection locked="0"/>
    </xf>
    <xf numFmtId="9" fontId="135" fillId="0" borderId="0" applyFont="0" applyFill="0" applyBorder="0" applyAlignment="0" applyProtection="0">
      <alignment vertical="center"/>
    </xf>
    <xf numFmtId="179" fontId="73" fillId="0" borderId="0" applyFont="0" applyFill="0" applyBorder="0" applyAlignment="0" applyProtection="0"/>
    <xf numFmtId="0" fontId="78" fillId="0" borderId="0">
      <alignment horizontal="left"/>
    </xf>
    <xf numFmtId="196" fontId="80" fillId="0" borderId="0" applyFill="0" applyBorder="0" applyAlignment="0"/>
    <xf numFmtId="41" fontId="73" fillId="0" borderId="0" applyFont="0" applyFill="0" applyBorder="0" applyAlignment="0" applyProtection="0"/>
    <xf numFmtId="195" fontId="73" fillId="0" borderId="0" applyFont="0" applyFill="0" applyBorder="0" applyAlignment="0" applyProtection="0"/>
    <xf numFmtId="178" fontId="73" fillId="0" borderId="0" applyFont="0" applyFill="0" applyBorder="0" applyAlignment="0" applyProtection="0"/>
    <xf numFmtId="41" fontId="75" fillId="0" borderId="0" applyFont="0" applyFill="0" applyBorder="0" applyAlignment="0" applyProtection="0"/>
    <xf numFmtId="0" fontId="70" fillId="0" borderId="0"/>
    <xf numFmtId="3" fontId="82" fillId="0" borderId="0"/>
    <xf numFmtId="186" fontId="85" fillId="0" borderId="19" applyAlignment="0" applyProtection="0"/>
    <xf numFmtId="191" fontId="73" fillId="0" borderId="0" applyFont="0" applyFill="0" applyBorder="0" applyAlignment="0" applyProtection="0"/>
    <xf numFmtId="41" fontId="73" fillId="0" borderId="0" applyFont="0" applyFill="0" applyBorder="0" applyAlignment="0" applyProtection="0"/>
    <xf numFmtId="43" fontId="73" fillId="0" borderId="0" applyFont="0" applyFill="0" applyBorder="0" applyAlignment="0" applyProtection="0"/>
    <xf numFmtId="38" fontId="87" fillId="11" borderId="0" applyNumberFormat="0" applyBorder="0" applyAlignment="0" applyProtection="0"/>
    <xf numFmtId="0" fontId="90" fillId="0" borderId="29" applyNumberFormat="0" applyAlignment="0" applyProtection="0">
      <alignment horizontal="left" vertical="center"/>
    </xf>
    <xf numFmtId="0" fontId="90" fillId="0" borderId="30">
      <alignment horizontal="left" vertical="center"/>
    </xf>
    <xf numFmtId="0" fontId="93" fillId="0" borderId="0" applyNumberFormat="0" applyFill="0" applyBorder="0" applyAlignment="0" applyProtection="0">
      <alignment vertical="top"/>
      <protection locked="0"/>
    </xf>
    <xf numFmtId="0" fontId="135" fillId="0" borderId="0"/>
    <xf numFmtId="0" fontId="94" fillId="0" borderId="0"/>
    <xf numFmtId="10" fontId="87" fillId="12" borderId="31" applyNumberFormat="0" applyBorder="0" applyAlignment="0" applyProtection="0"/>
    <xf numFmtId="189" fontId="75" fillId="0" borderId="0" applyFont="0" applyFill="0" applyBorder="0" applyAlignment="0" applyProtection="0"/>
    <xf numFmtId="185" fontId="75" fillId="0" borderId="0" applyFont="0" applyFill="0" applyBorder="0" applyAlignment="0" applyProtection="0"/>
    <xf numFmtId="0" fontId="95" fillId="0" borderId="0"/>
    <xf numFmtId="181" fontId="75" fillId="0" borderId="0"/>
    <xf numFmtId="0" fontId="73" fillId="0" borderId="0"/>
    <xf numFmtId="10" fontId="73" fillId="0" borderId="0" applyFont="0" applyFill="0" applyBorder="0" applyAlignment="0" applyProtection="0"/>
    <xf numFmtId="0" fontId="73" fillId="0" borderId="0"/>
    <xf numFmtId="4" fontId="78" fillId="0" borderId="0">
      <alignment horizontal="right"/>
    </xf>
    <xf numFmtId="3" fontId="89" fillId="0" borderId="0"/>
    <xf numFmtId="4" fontId="84" fillId="0" borderId="0">
      <alignment horizontal="right"/>
    </xf>
    <xf numFmtId="177" fontId="73" fillId="0" borderId="0" applyFont="0" applyFill="0" applyBorder="0" applyAlignment="0" applyProtection="0"/>
    <xf numFmtId="0" fontId="74" fillId="0" borderId="0">
      <alignment horizontal="left"/>
    </xf>
    <xf numFmtId="0" fontId="72" fillId="0" borderId="0">
      <alignment horizontal="center"/>
    </xf>
    <xf numFmtId="0" fontId="75" fillId="0" borderId="0">
      <protection locked="0"/>
    </xf>
    <xf numFmtId="9" fontId="86" fillId="0" borderId="0" applyFont="0" applyFill="0" applyBorder="0" applyAlignment="0" applyProtection="0"/>
    <xf numFmtId="4" fontId="83" fillId="0" borderId="0">
      <alignment horizontal="right"/>
    </xf>
    <xf numFmtId="0" fontId="92" fillId="0" borderId="0"/>
    <xf numFmtId="0" fontId="75" fillId="0" borderId="0">
      <protection locked="0"/>
    </xf>
    <xf numFmtId="0" fontId="135" fillId="0" borderId="0"/>
    <xf numFmtId="0" fontId="75" fillId="0" borderId="0"/>
    <xf numFmtId="0" fontId="75" fillId="0" borderId="0"/>
    <xf numFmtId="0" fontId="81" fillId="0" borderId="0"/>
    <xf numFmtId="0" fontId="75" fillId="0" borderId="0" applyFill="0" applyBorder="0"/>
    <xf numFmtId="0" fontId="135" fillId="0" borderId="0"/>
    <xf numFmtId="188" fontId="75" fillId="0" borderId="0" applyFont="0" applyFill="0" applyBorder="0" applyAlignment="0" applyProtection="0"/>
    <xf numFmtId="4" fontId="88" fillId="0" borderId="0" applyFont="0" applyFill="0" applyBorder="0" applyAlignment="0" applyProtection="0"/>
    <xf numFmtId="187" fontId="75" fillId="0" borderId="0" applyFont="0" applyFill="0" applyBorder="0" applyAlignment="0" applyProtection="0"/>
    <xf numFmtId="194" fontId="75" fillId="0" borderId="0" applyFont="0" applyFill="0" applyBorder="0" applyAlignment="0" applyProtection="0"/>
    <xf numFmtId="184" fontId="75" fillId="0" borderId="0" applyFont="0" applyFill="0" applyBorder="0" applyAlignment="0" applyProtection="0"/>
    <xf numFmtId="0" fontId="91" fillId="0" borderId="0"/>
    <xf numFmtId="0" fontId="135" fillId="0" borderId="0"/>
    <xf numFmtId="41" fontId="91" fillId="0" borderId="0" applyFont="0" applyFill="0" applyBorder="0" applyAlignment="0" applyProtection="0"/>
    <xf numFmtId="43" fontId="91" fillId="0" borderId="0" applyFont="0" applyFill="0" applyBorder="0" applyAlignment="0" applyProtection="0"/>
    <xf numFmtId="43" fontId="75" fillId="0" borderId="0" applyFont="0" applyFill="0" applyBorder="0" applyAlignment="0" applyProtection="0"/>
    <xf numFmtId="180" fontId="88" fillId="0" borderId="0" applyFont="0" applyFill="0" applyBorder="0" applyAlignment="0" applyProtection="0"/>
    <xf numFmtId="0" fontId="135" fillId="0" borderId="0"/>
    <xf numFmtId="38" fontId="79" fillId="0" borderId="0" applyFont="0" applyFill="0" applyBorder="0" applyAlignment="0" applyProtection="0"/>
    <xf numFmtId="40" fontId="79" fillId="0" borderId="0" applyFont="0" applyFill="0" applyBorder="0" applyAlignment="0" applyProtection="0"/>
    <xf numFmtId="0" fontId="79" fillId="0" borderId="0" applyFont="0" applyFill="0" applyBorder="0" applyAlignment="0" applyProtection="0"/>
    <xf numFmtId="0" fontId="79" fillId="0" borderId="0" applyFont="0" applyFill="0" applyBorder="0" applyAlignment="0" applyProtection="0"/>
    <xf numFmtId="0" fontId="71" fillId="0" borderId="0"/>
  </cellStyleXfs>
  <cellXfs count="1154">
    <xf numFmtId="0" fontId="0" fillId="0" borderId="0" xfId="0"/>
    <xf numFmtId="0" fontId="3" fillId="0" borderId="0" xfId="0" applyFont="1" applyFill="1" applyBorder="1" applyAlignment="1">
      <alignment horizontal="center" vertical="center"/>
    </xf>
    <xf numFmtId="0" fontId="2" fillId="2" borderId="0" xfId="0" applyFont="1" applyFill="1" applyBorder="1" applyAlignment="1">
      <alignment horizontal="center" vertical="center"/>
    </xf>
    <xf numFmtId="0" fontId="3" fillId="0" borderId="0" xfId="0" applyFont="1" applyBorder="1" applyAlignment="1">
      <alignment horizontal="center" vertical="center"/>
    </xf>
    <xf numFmtId="0" fontId="4" fillId="0" borderId="0" xfId="0" applyFont="1" applyFill="1" applyBorder="1" applyAlignment="1">
      <alignment horizontal="center" vertical="center"/>
    </xf>
    <xf numFmtId="0" fontId="2" fillId="0" borderId="0" xfId="0" applyFont="1" applyBorder="1" applyAlignment="1">
      <alignment horizontal="center" vertical="center"/>
    </xf>
    <xf numFmtId="0" fontId="5" fillId="2" borderId="0" xfId="44" applyFont="1" applyFill="1" applyBorder="1" applyAlignment="1" applyProtection="1">
      <alignment horizontal="center" vertical="center"/>
    </xf>
    <xf numFmtId="0" fontId="5" fillId="3" borderId="0" xfId="44" applyFont="1" applyFill="1" applyBorder="1" applyAlignment="1" applyProtection="1">
      <alignment horizontal="center" vertical="center"/>
    </xf>
    <xf numFmtId="0" fontId="6" fillId="0" borderId="0" xfId="6" applyFont="1" applyBorder="1" applyAlignment="1" applyProtection="1">
      <alignment horizontal="center" vertical="center"/>
    </xf>
    <xf numFmtId="0" fontId="7" fillId="0" borderId="0" xfId="0" applyFont="1" applyFill="1" applyBorder="1" applyAlignment="1">
      <alignment horizontal="center" vertical="center"/>
    </xf>
    <xf numFmtId="0" fontId="7"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182" fontId="3" fillId="0" borderId="1" xfId="5" applyFont="1" applyBorder="1" applyAlignment="1">
      <alignment horizontal="center" vertical="center" wrapText="1"/>
    </xf>
    <xf numFmtId="0" fontId="8" fillId="0" borderId="1" xfId="0" applyFont="1" applyBorder="1" applyAlignment="1">
      <alignment horizontal="left" vertical="center" wrapText="1"/>
    </xf>
    <xf numFmtId="182" fontId="3" fillId="3" borderId="1" xfId="5" applyFont="1" applyFill="1" applyBorder="1" applyAlignment="1">
      <alignment horizontal="center" vertical="center" wrapText="1"/>
    </xf>
    <xf numFmtId="0" fontId="8" fillId="0" borderId="0" xfId="0" applyFont="1" applyBorder="1" applyAlignment="1">
      <alignment horizontal="left" vertical="center"/>
    </xf>
    <xf numFmtId="0" fontId="5" fillId="0" borderId="0" xfId="0" applyFont="1" applyBorder="1" applyAlignment="1">
      <alignment horizontal="center" vertical="center"/>
    </xf>
    <xf numFmtId="0" fontId="7" fillId="2" borderId="0" xfId="0" applyFont="1" applyFill="1" applyBorder="1" applyAlignment="1">
      <alignment horizontal="center" vertical="center"/>
    </xf>
    <xf numFmtId="0" fontId="1" fillId="0" borderId="0" xfId="0" applyFont="1" applyBorder="1" applyAlignment="1">
      <alignment horizontal="center" vertical="center"/>
    </xf>
    <xf numFmtId="0" fontId="9" fillId="0" borderId="0" xfId="6" applyFont="1" applyBorder="1" applyAlignment="1" applyProtection="1">
      <alignment horizontal="center" vertical="center"/>
    </xf>
    <xf numFmtId="0" fontId="7" fillId="2"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0" xfId="0" applyFont="1" applyBorder="1" applyAlignment="1">
      <alignment horizontal="left" vertical="center"/>
    </xf>
    <xf numFmtId="0" fontId="10" fillId="0" borderId="0" xfId="0" applyFont="1" applyFill="1" applyBorder="1" applyAlignment="1">
      <alignment horizontal="center" vertical="center" wrapText="1"/>
    </xf>
    <xf numFmtId="0" fontId="11" fillId="2" borderId="1" xfId="0" applyFont="1" applyFill="1" applyBorder="1" applyAlignment="1">
      <alignment horizontal="center" vertical="center" wrapText="1"/>
    </xf>
    <xf numFmtId="31" fontId="11" fillId="2"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Fill="1" applyBorder="1" applyAlignment="1">
      <alignment vertical="center"/>
    </xf>
    <xf numFmtId="0" fontId="3" fillId="0" borderId="0" xfId="0" applyFont="1" applyFill="1" applyBorder="1" applyAlignment="1">
      <alignment vertical="center" wrapText="1"/>
    </xf>
    <xf numFmtId="0" fontId="4" fillId="0" borderId="1" xfId="0" applyFont="1" applyBorder="1" applyAlignment="1">
      <alignment horizontal="center" vertical="center" wrapText="1"/>
    </xf>
    <xf numFmtId="0" fontId="3" fillId="0" borderId="0"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3" fillId="0" borderId="1" xfId="0" applyFont="1" applyBorder="1" applyAlignment="1">
      <alignment vertical="center"/>
    </xf>
    <xf numFmtId="43" fontId="1" fillId="0" borderId="1" xfId="0" applyNumberFormat="1" applyFont="1" applyBorder="1" applyAlignment="1">
      <alignment horizontal="right"/>
    </xf>
    <xf numFmtId="0" fontId="16" fillId="0" borderId="0" xfId="0" applyFont="1" applyAlignment="1">
      <alignment horizontal="justify" wrapText="1"/>
    </xf>
    <xf numFmtId="0" fontId="16" fillId="0" borderId="0" xfId="0" applyFont="1" applyAlignment="1">
      <alignment horizontal="justify" vertical="top" wrapText="1"/>
    </xf>
    <xf numFmtId="43" fontId="3" fillId="0" borderId="0" xfId="0" applyNumberFormat="1" applyFont="1" applyAlignment="1">
      <alignment horizontal="justify" vertical="top"/>
    </xf>
    <xf numFmtId="0" fontId="15" fillId="0" borderId="0" xfId="0" applyFont="1" applyAlignment="1">
      <alignment horizontal="justify" wrapText="1"/>
    </xf>
    <xf numFmtId="0" fontId="15" fillId="0" borderId="0" xfId="0" applyFont="1" applyAlignment="1">
      <alignment horizontal="justify" vertical="top" wrapText="1"/>
    </xf>
    <xf numFmtId="0" fontId="15" fillId="0" borderId="3" xfId="0" applyFont="1" applyBorder="1" applyAlignment="1">
      <alignment horizontal="justify" wrapText="1"/>
    </xf>
    <xf numFmtId="0" fontId="15" fillId="0" borderId="3" xfId="0" applyFont="1" applyBorder="1" applyAlignment="1">
      <alignment horizontal="justify" vertical="top" wrapText="1"/>
    </xf>
    <xf numFmtId="43" fontId="3" fillId="0" borderId="3" xfId="0" applyNumberFormat="1" applyFont="1" applyBorder="1" applyAlignment="1">
      <alignment horizontal="justify" vertical="top"/>
    </xf>
    <xf numFmtId="0" fontId="17" fillId="0" borderId="3" xfId="0" applyFont="1" applyBorder="1" applyAlignment="1">
      <alignment horizontal="center" wrapText="1"/>
    </xf>
    <xf numFmtId="43" fontId="7" fillId="0" borderId="3" xfId="0" applyNumberFormat="1" applyFont="1" applyBorder="1" applyAlignment="1">
      <alignment horizontal="center"/>
    </xf>
    <xf numFmtId="0" fontId="19"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 fillId="0" borderId="1" xfId="0" applyFont="1" applyBorder="1" applyAlignment="1">
      <alignment horizontal="center" vertical="center"/>
    </xf>
    <xf numFmtId="0" fontId="5" fillId="2" borderId="1" xfId="44" applyFont="1" applyFill="1" applyBorder="1" applyAlignment="1" applyProtection="1">
      <alignment horizontal="center" vertical="center"/>
    </xf>
    <xf numFmtId="0" fontId="5" fillId="3" borderId="1" xfId="44" applyFont="1" applyFill="1" applyBorder="1" applyAlignment="1" applyProtection="1">
      <alignment horizontal="center" vertical="center"/>
    </xf>
    <xf numFmtId="0" fontId="5" fillId="0" borderId="4" xfId="0" applyFont="1" applyBorder="1" applyAlignment="1">
      <alignment horizontal="center" vertical="center"/>
    </xf>
    <xf numFmtId="0" fontId="20" fillId="0" borderId="5" xfId="6" applyFont="1" applyBorder="1" applyAlignment="1" applyProtection="1">
      <alignment horizontal="center" vertical="center"/>
    </xf>
    <xf numFmtId="0" fontId="1"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9" fillId="2" borderId="1" xfId="0" applyFont="1" applyFill="1" applyBorder="1" applyAlignment="1">
      <alignment horizontal="center" vertical="center"/>
    </xf>
    <xf numFmtId="0" fontId="13" fillId="0" borderId="1" xfId="0" applyFont="1" applyBorder="1" applyAlignment="1">
      <alignment horizontal="center" vertical="center"/>
    </xf>
    <xf numFmtId="0" fontId="5" fillId="3"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2" borderId="0" xfId="0" applyFont="1" applyFill="1" applyBorder="1" applyAlignment="1">
      <alignment horizontal="center" vertical="center"/>
    </xf>
    <xf numFmtId="0" fontId="5" fillId="2" borderId="0" xfId="0" applyFont="1" applyFill="1" applyBorder="1" applyAlignment="1">
      <alignment horizontal="center" vertical="center" wrapText="1"/>
    </xf>
    <xf numFmtId="0" fontId="7" fillId="0" borderId="0" xfId="0" applyFont="1" applyFill="1" applyBorder="1" applyAlignment="1">
      <alignment horizontal="left" vertical="center"/>
    </xf>
    <xf numFmtId="182" fontId="3" fillId="3" borderId="0" xfId="5" applyFont="1" applyFill="1" applyBorder="1" applyAlignment="1">
      <alignment horizontal="center" vertical="center"/>
    </xf>
    <xf numFmtId="0" fontId="4" fillId="0" borderId="0" xfId="0" applyFont="1" applyBorder="1" applyAlignment="1">
      <alignment horizontal="left" vertical="center"/>
    </xf>
    <xf numFmtId="0" fontId="7" fillId="2" borderId="0" xfId="0" applyFont="1" applyFill="1" applyBorder="1" applyAlignment="1">
      <alignment horizontal="center" vertical="center" wrapText="1"/>
    </xf>
    <xf numFmtId="43" fontId="3" fillId="0" borderId="0" xfId="46" applyNumberFormat="1" applyFont="1" applyFill="1" applyBorder="1" applyAlignment="1">
      <alignment horizontal="center" vertical="center"/>
    </xf>
    <xf numFmtId="43" fontId="2" fillId="0" borderId="0" xfId="46" applyNumberFormat="1" applyFont="1" applyFill="1" applyBorder="1" applyAlignment="1">
      <alignment horizontal="center" vertical="center"/>
    </xf>
    <xf numFmtId="0" fontId="5" fillId="2" borderId="0" xfId="0" applyFont="1" applyFill="1" applyBorder="1" applyAlignment="1">
      <alignment horizontal="center" vertical="center"/>
    </xf>
    <xf numFmtId="43" fontId="7" fillId="2" borderId="1" xfId="46" applyNumberFormat="1" applyFont="1" applyFill="1" applyBorder="1" applyAlignment="1">
      <alignment horizontal="center" vertical="center"/>
    </xf>
    <xf numFmtId="43" fontId="7" fillId="2" borderId="1" xfId="51" applyNumberFormat="1" applyFont="1" applyFill="1" applyBorder="1" applyAlignment="1">
      <alignment horizontal="center" vertical="center"/>
    </xf>
    <xf numFmtId="43" fontId="3" fillId="0" borderId="1" xfId="58" applyNumberFormat="1" applyFont="1" applyFill="1" applyBorder="1" applyAlignment="1">
      <alignment horizontal="left" vertical="center" wrapText="1"/>
    </xf>
    <xf numFmtId="43" fontId="3" fillId="0" borderId="1" xfId="46" applyNumberFormat="1" applyFont="1" applyFill="1" applyBorder="1" applyAlignment="1">
      <alignment horizontal="center" vertical="center"/>
    </xf>
    <xf numFmtId="43" fontId="3" fillId="3" borderId="1" xfId="46" applyNumberFormat="1" applyFont="1" applyFill="1" applyBorder="1" applyAlignment="1">
      <alignment horizontal="center" vertical="center"/>
    </xf>
    <xf numFmtId="43" fontId="3" fillId="0" borderId="1" xfId="51" applyNumberFormat="1" applyFont="1" applyFill="1" applyBorder="1" applyAlignment="1">
      <alignment horizontal="left" vertical="center" wrapText="1"/>
    </xf>
    <xf numFmtId="43" fontId="3" fillId="0" borderId="0" xfId="51" applyNumberFormat="1" applyFont="1" applyFill="1" applyBorder="1" applyAlignment="1">
      <alignment horizontal="left" vertical="center"/>
    </xf>
    <xf numFmtId="43" fontId="3" fillId="0" borderId="0" xfId="46" applyNumberFormat="1" applyFont="1" applyFill="1" applyBorder="1" applyAlignment="1">
      <alignment horizontal="left" vertical="center"/>
    </xf>
    <xf numFmtId="43" fontId="7" fillId="2" borderId="1" xfId="58" applyNumberFormat="1" applyFont="1" applyFill="1" applyBorder="1" applyAlignment="1">
      <alignment horizontal="center" vertical="center" wrapText="1"/>
    </xf>
    <xf numFmtId="43" fontId="3" fillId="3" borderId="1" xfId="58" applyNumberFormat="1" applyFont="1" applyFill="1" applyBorder="1" applyAlignment="1">
      <alignment horizontal="center" vertical="center" wrapText="1"/>
    </xf>
    <xf numFmtId="43" fontId="3" fillId="0" borderId="1" xfId="58" applyNumberFormat="1" applyFont="1" applyFill="1" applyBorder="1" applyAlignment="1">
      <alignment horizontal="center" vertical="center" wrapText="1"/>
    </xf>
    <xf numFmtId="0" fontId="3" fillId="0" borderId="0" xfId="0" applyFont="1" applyBorder="1" applyAlignment="1">
      <alignment horizontal="left"/>
    </xf>
    <xf numFmtId="0" fontId="22" fillId="2" borderId="1" xfId="0" applyFont="1" applyFill="1" applyBorder="1" applyAlignment="1">
      <alignment horizontal="center" wrapText="1"/>
    </xf>
    <xf numFmtId="0" fontId="7" fillId="2" borderId="1" xfId="0" applyFont="1" applyFill="1" applyBorder="1" applyAlignment="1">
      <alignment horizontal="center" wrapText="1"/>
    </xf>
    <xf numFmtId="0" fontId="23" fillId="0" borderId="1" xfId="0" applyFont="1" applyBorder="1" applyAlignment="1">
      <alignment horizontal="left" wrapText="1"/>
    </xf>
    <xf numFmtId="182" fontId="3" fillId="3" borderId="1" xfId="5" applyFont="1" applyFill="1" applyBorder="1" applyAlignment="1">
      <alignment horizontal="center" wrapText="1"/>
    </xf>
    <xf numFmtId="182" fontId="3" fillId="0" borderId="1" xfId="5" applyFont="1" applyBorder="1" applyAlignment="1">
      <alignment horizontal="center" wrapText="1"/>
    </xf>
    <xf numFmtId="182" fontId="23" fillId="0" borderId="1" xfId="5" applyFont="1" applyBorder="1" applyAlignment="1">
      <alignment horizontal="center" wrapText="1"/>
    </xf>
    <xf numFmtId="0" fontId="3" fillId="0" borderId="1" xfId="0" applyFont="1" applyBorder="1" applyAlignment="1">
      <alignment horizontal="left" wrapText="1"/>
    </xf>
    <xf numFmtId="0" fontId="3" fillId="0" borderId="1" xfId="0" applyFont="1" applyBorder="1" applyAlignment="1">
      <alignment horizontal="center" wrapText="1"/>
    </xf>
    <xf numFmtId="0" fontId="1" fillId="0" borderId="1" xfId="0" applyFont="1" applyFill="1" applyBorder="1" applyAlignment="1">
      <alignment horizontal="center" vertical="center"/>
    </xf>
    <xf numFmtId="0" fontId="20" fillId="0" borderId="1" xfId="6" applyFont="1" applyBorder="1" applyAlignment="1" applyProtection="1">
      <alignment horizontal="center" vertical="center"/>
    </xf>
    <xf numFmtId="0" fontId="5" fillId="2" borderId="1" xfId="0" applyFont="1" applyFill="1" applyBorder="1" applyAlignment="1">
      <alignment horizontal="center" vertical="center"/>
    </xf>
    <xf numFmtId="43" fontId="5" fillId="2" borderId="1" xfId="0" applyNumberFormat="1" applyFont="1" applyFill="1" applyBorder="1" applyAlignment="1">
      <alignment horizontal="center" vertical="center"/>
    </xf>
    <xf numFmtId="0" fontId="24"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182" fontId="3" fillId="3" borderId="1" xfId="5" applyFont="1" applyFill="1" applyBorder="1" applyAlignment="1">
      <alignment horizontal="center" vertical="center"/>
    </xf>
    <xf numFmtId="0" fontId="3" fillId="0" borderId="1" xfId="0" applyFont="1" applyFill="1" applyBorder="1" applyAlignment="1">
      <alignment horizontal="center" vertical="center"/>
    </xf>
    <xf numFmtId="0" fontId="10" fillId="0" borderId="1" xfId="0" applyFont="1" applyBorder="1" applyAlignment="1">
      <alignment horizontal="center" vertical="center"/>
    </xf>
    <xf numFmtId="0" fontId="2" fillId="0"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1" xfId="6" applyFont="1" applyBorder="1" applyAlignment="1" applyProtection="1">
      <alignment horizontal="center" vertical="center"/>
    </xf>
    <xf numFmtId="0" fontId="5" fillId="0" borderId="1" xfId="0" applyFont="1" applyFill="1" applyBorder="1" applyAlignment="1">
      <alignment horizontal="center" vertical="center"/>
    </xf>
    <xf numFmtId="43" fontId="5" fillId="0" borderId="1" xfId="0" applyNumberFormat="1" applyFont="1" applyFill="1" applyBorder="1" applyAlignment="1">
      <alignment horizontal="center" vertical="center"/>
    </xf>
    <xf numFmtId="0" fontId="25" fillId="0" borderId="1" xfId="0" applyFont="1" applyFill="1" applyBorder="1" applyAlignment="1">
      <alignment horizontal="center" vertical="center" wrapText="1"/>
    </xf>
    <xf numFmtId="0" fontId="20" fillId="0" borderId="1" xfId="6" applyFont="1" applyFill="1" applyBorder="1" applyAlignment="1" applyProtection="1">
      <alignment horizontal="center" vertical="center"/>
    </xf>
    <xf numFmtId="10" fontId="3" fillId="0" borderId="1" xfId="0" applyNumberFormat="1" applyFont="1" applyBorder="1" applyAlignment="1">
      <alignment horizontal="center" vertical="center"/>
    </xf>
    <xf numFmtId="0" fontId="1" fillId="0" borderId="1" xfId="0" applyFont="1" applyFill="1" applyBorder="1" applyAlignment="1">
      <alignment horizontal="center" vertical="center" wrapText="1"/>
    </xf>
    <xf numFmtId="0" fontId="6" fillId="0" borderId="1" xfId="6" applyFont="1" applyFill="1" applyBorder="1" applyAlignment="1" applyProtection="1">
      <alignment horizontal="center" vertical="center"/>
    </xf>
    <xf numFmtId="182" fontId="3" fillId="0" borderId="1" xfId="5" applyFont="1" applyBorder="1" applyAlignment="1">
      <alignment horizontal="center" vertical="center"/>
    </xf>
    <xf numFmtId="0" fontId="8"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2" borderId="0" xfId="0" applyFont="1" applyFill="1" applyBorder="1" applyAlignment="1">
      <alignment horizontal="center" vertical="center" wrapText="1"/>
    </xf>
    <xf numFmtId="0" fontId="8" fillId="0" borderId="1" xfId="0" applyFont="1" applyFill="1" applyBorder="1" applyAlignment="1">
      <alignment horizontal="center" vertical="center" wrapText="1"/>
    </xf>
    <xf numFmtId="182" fontId="8" fillId="3" borderId="1" xfId="5" applyFont="1" applyFill="1" applyBorder="1" applyAlignment="1">
      <alignment horizontal="center" vertical="center" wrapText="1"/>
    </xf>
    <xf numFmtId="10" fontId="3" fillId="0" borderId="0" xfId="0" applyNumberFormat="1" applyFont="1" applyFill="1" applyBorder="1" applyAlignment="1">
      <alignment horizontal="center" vertical="center"/>
    </xf>
    <xf numFmtId="182" fontId="8" fillId="3" borderId="0" xfId="5" applyFont="1" applyFill="1" applyBorder="1" applyAlignment="1">
      <alignment horizontal="center" vertical="center" wrapText="1"/>
    </xf>
    <xf numFmtId="0" fontId="13" fillId="0" borderId="1" xfId="0" applyFont="1" applyBorder="1" applyAlignment="1">
      <alignment vertical="center" wrapText="1"/>
    </xf>
    <xf numFmtId="0" fontId="3" fillId="0" borderId="1" xfId="0" applyFont="1" applyBorder="1" applyAlignment="1">
      <alignment vertical="center" wrapText="1"/>
    </xf>
    <xf numFmtId="0" fontId="2" fillId="0" borderId="0" xfId="0" applyFont="1" applyBorder="1" applyAlignment="1">
      <alignment horizontal="center" vertical="center" wrapText="1"/>
    </xf>
    <xf numFmtId="0" fontId="2" fillId="0" borderId="0" xfId="0" applyFont="1" applyFill="1" applyBorder="1" applyAlignment="1">
      <alignment horizontal="center" vertical="center" wrapText="1"/>
    </xf>
    <xf numFmtId="0" fontId="3" fillId="4" borderId="0" xfId="0" applyFont="1" applyFill="1" applyBorder="1" applyAlignment="1">
      <alignment horizontal="center" vertical="center"/>
    </xf>
    <xf numFmtId="0" fontId="7" fillId="0" borderId="0" xfId="0" applyFont="1" applyBorder="1" applyAlignment="1">
      <alignment horizontal="center" vertical="center"/>
    </xf>
    <xf numFmtId="0" fontId="5" fillId="0" borderId="0" xfId="0" applyFont="1" applyFill="1" applyBorder="1" applyAlignment="1">
      <alignment horizontal="center" vertical="center"/>
    </xf>
    <xf numFmtId="0" fontId="13" fillId="0" borderId="1" xfId="0" applyFont="1" applyBorder="1" applyAlignment="1">
      <alignment horizontal="left" vertical="center" wrapText="1"/>
    </xf>
    <xf numFmtId="182" fontId="8" fillId="0" borderId="1" xfId="5" applyFont="1" applyFill="1" applyBorder="1" applyAlignment="1">
      <alignment horizontal="center" vertical="center" wrapText="1"/>
    </xf>
    <xf numFmtId="182" fontId="8" fillId="0" borderId="0" xfId="5" applyFont="1" applyFill="1" applyBorder="1" applyAlignment="1">
      <alignment horizontal="center" vertical="center" wrapText="1"/>
    </xf>
    <xf numFmtId="0" fontId="2" fillId="0" borderId="0" xfId="0" applyFont="1" applyBorder="1" applyAlignment="1">
      <alignment horizontal="left" vertical="center"/>
    </xf>
    <xf numFmtId="0" fontId="27" fillId="2" borderId="0" xfId="0" applyFont="1" applyFill="1" applyBorder="1" applyAlignment="1">
      <alignment horizontal="center" vertical="center"/>
    </xf>
    <xf numFmtId="0" fontId="15" fillId="0" borderId="1" xfId="0" applyFont="1" applyBorder="1" applyAlignment="1">
      <alignment horizontal="left" vertical="center" wrapText="1"/>
    </xf>
    <xf numFmtId="0" fontId="26" fillId="0" borderId="0" xfId="0" applyFont="1" applyBorder="1" applyAlignment="1" applyProtection="1">
      <alignment vertical="center" wrapText="1"/>
      <protection locked="0"/>
    </xf>
    <xf numFmtId="0" fontId="29" fillId="0" borderId="1" xfId="0" applyFont="1" applyBorder="1" applyAlignment="1">
      <alignment horizontal="center" vertical="center"/>
    </xf>
    <xf numFmtId="0" fontId="29" fillId="0" borderId="1" xfId="0" applyFont="1" applyFill="1" applyBorder="1" applyAlignment="1">
      <alignment horizontal="center" vertical="center"/>
    </xf>
    <xf numFmtId="0" fontId="30" fillId="0" borderId="1" xfId="6" applyFont="1" applyBorder="1" applyAlignment="1" applyProtection="1">
      <alignment horizontal="center" vertical="center"/>
    </xf>
    <xf numFmtId="182" fontId="23" fillId="0" borderId="1" xfId="5" applyFont="1" applyBorder="1" applyAlignment="1">
      <alignment horizontal="center" vertical="center" wrapText="1"/>
    </xf>
    <xf numFmtId="0" fontId="8" fillId="0" borderId="10" xfId="0" applyFont="1" applyFill="1" applyBorder="1" applyAlignment="1">
      <alignment horizontal="center" vertical="center" wrapText="1"/>
    </xf>
    <xf numFmtId="0" fontId="3" fillId="0" borderId="11" xfId="0" applyFont="1" applyBorder="1" applyAlignment="1">
      <alignment horizontal="center" vertical="center"/>
    </xf>
    <xf numFmtId="0" fontId="7" fillId="0" borderId="1" xfId="0" applyFont="1" applyFill="1" applyBorder="1" applyAlignment="1">
      <alignment horizontal="center" vertical="center"/>
    </xf>
    <xf numFmtId="0" fontId="8" fillId="0" borderId="2" xfId="0" applyFont="1" applyFill="1" applyBorder="1" applyAlignment="1">
      <alignment horizontal="center" vertical="center" wrapText="1"/>
    </xf>
    <xf numFmtId="182" fontId="8" fillId="3" borderId="2" xfId="5" applyFont="1" applyFill="1" applyBorder="1" applyAlignment="1">
      <alignment horizontal="center" vertical="center" wrapText="1"/>
    </xf>
    <xf numFmtId="0" fontId="8" fillId="0" borderId="12" xfId="0" applyFont="1" applyFill="1" applyBorder="1" applyAlignment="1">
      <alignment horizontal="center" vertical="center" wrapText="1"/>
    </xf>
    <xf numFmtId="0" fontId="3" fillId="0" borderId="7" xfId="0" applyFont="1" applyBorder="1" applyAlignment="1">
      <alignment horizontal="left" vertical="center"/>
    </xf>
    <xf numFmtId="0" fontId="3" fillId="0" borderId="7" xfId="0" applyFont="1" applyBorder="1" applyAlignment="1">
      <alignment horizontal="center" vertical="center"/>
    </xf>
    <xf numFmtId="0" fontId="3" fillId="0" borderId="13" xfId="0" applyFont="1" applyFill="1" applyBorder="1" applyAlignment="1">
      <alignment horizontal="center" vertical="center"/>
    </xf>
    <xf numFmtId="0" fontId="3" fillId="0" borderId="11" xfId="0" applyFont="1" applyFill="1" applyBorder="1" applyAlignment="1">
      <alignment horizontal="center" vertical="center"/>
    </xf>
    <xf numFmtId="0" fontId="2" fillId="0" borderId="1" xfId="0" applyFont="1" applyBorder="1" applyAlignment="1">
      <alignment horizontal="center" vertical="center" wrapText="1"/>
    </xf>
    <xf numFmtId="182" fontId="22" fillId="2" borderId="1" xfId="5" applyFont="1" applyFill="1" applyBorder="1" applyAlignment="1">
      <alignment horizontal="center" wrapText="1"/>
    </xf>
    <xf numFmtId="0" fontId="8" fillId="0" borderId="1" xfId="0" applyFont="1" applyFill="1" applyBorder="1" applyAlignment="1">
      <alignment horizontal="left" vertical="center" wrapText="1"/>
    </xf>
    <xf numFmtId="0" fontId="10" fillId="0" borderId="1" xfId="0" applyFont="1" applyFill="1" applyBorder="1" applyAlignment="1">
      <alignment horizontal="center" vertical="center"/>
    </xf>
    <xf numFmtId="0" fontId="25" fillId="0" borderId="1" xfId="0" applyFont="1" applyBorder="1" applyAlignment="1">
      <alignment horizontal="center" vertical="center"/>
    </xf>
    <xf numFmtId="0" fontId="5" fillId="2" borderId="7" xfId="0" applyFont="1" applyFill="1" applyBorder="1" applyAlignment="1">
      <alignment horizontal="center" vertical="center"/>
    </xf>
    <xf numFmtId="0" fontId="27" fillId="2" borderId="7"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5" xfId="0" applyFont="1" applyFill="1" applyBorder="1" applyAlignment="1">
      <alignment horizontal="center" vertical="center"/>
    </xf>
    <xf numFmtId="0" fontId="6" fillId="5" borderId="1" xfId="6" applyFont="1" applyFill="1" applyBorder="1" applyAlignment="1" applyProtection="1">
      <alignment horizontal="center" vertical="center"/>
    </xf>
    <xf numFmtId="0" fontId="31" fillId="5" borderId="5" xfId="0" applyFont="1" applyFill="1" applyBorder="1" applyAlignment="1">
      <alignment horizontal="center" vertical="center" wrapText="1"/>
    </xf>
    <xf numFmtId="10" fontId="3" fillId="0" borderId="1" xfId="0" applyNumberFormat="1" applyFont="1" applyFill="1" applyBorder="1" applyAlignment="1">
      <alignment horizontal="center" vertical="center"/>
    </xf>
    <xf numFmtId="0" fontId="3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7" xfId="44" applyFont="1" applyFill="1" applyBorder="1" applyAlignment="1" applyProtection="1">
      <alignment horizontal="center" vertical="center"/>
    </xf>
    <xf numFmtId="0" fontId="5" fillId="3" borderId="7" xfId="44" applyFont="1" applyFill="1" applyBorder="1" applyAlignment="1" applyProtection="1">
      <alignment horizontal="center" vertical="center"/>
    </xf>
    <xf numFmtId="0" fontId="2" fillId="0" borderId="5" xfId="0" applyFont="1" applyBorder="1" applyAlignment="1">
      <alignment horizontal="center" vertical="center"/>
    </xf>
    <xf numFmtId="0" fontId="5" fillId="2" borderId="9" xfId="44" applyFont="1" applyFill="1" applyBorder="1" applyAlignment="1" applyProtection="1">
      <alignment horizontal="center" vertical="center"/>
    </xf>
    <xf numFmtId="0" fontId="5" fillId="3" borderId="9" xfId="44" applyFont="1" applyFill="1" applyBorder="1" applyAlignment="1" applyProtection="1">
      <alignment horizontal="center" vertical="center"/>
    </xf>
    <xf numFmtId="0" fontId="5" fillId="2" borderId="9" xfId="0" applyFont="1" applyFill="1" applyBorder="1" applyAlignment="1">
      <alignment horizontal="center" vertical="center"/>
    </xf>
    <xf numFmtId="0" fontId="2" fillId="0" borderId="5"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33" fillId="2" borderId="1" xfId="0" applyFont="1" applyFill="1" applyBorder="1" applyAlignment="1">
      <alignment horizontal="center" vertical="center" wrapText="1"/>
    </xf>
    <xf numFmtId="0" fontId="33" fillId="0" borderId="0" xfId="0" applyFont="1" applyFill="1" applyBorder="1" applyAlignment="1">
      <alignment horizontal="center" vertical="center" wrapText="1"/>
    </xf>
    <xf numFmtId="182" fontId="8" fillId="0" borderId="1" xfId="5" applyFont="1" applyBorder="1" applyAlignment="1">
      <alignment horizontal="center" vertical="center" wrapText="1"/>
    </xf>
    <xf numFmtId="182" fontId="8" fillId="0" borderId="0" xfId="5" applyFont="1" applyBorder="1" applyAlignment="1">
      <alignment horizontal="center" vertical="center" wrapText="1"/>
    </xf>
    <xf numFmtId="0" fontId="34" fillId="0" borderId="0" xfId="0" applyFont="1" applyBorder="1" applyAlignment="1">
      <alignment horizontal="left" vertical="center"/>
    </xf>
    <xf numFmtId="0" fontId="35" fillId="0" borderId="0" xfId="0" applyFont="1" applyBorder="1" applyAlignment="1">
      <alignment horizontal="center"/>
    </xf>
    <xf numFmtId="0" fontId="36" fillId="2" borderId="1" xfId="0" applyFont="1" applyFill="1" applyBorder="1" applyAlignment="1">
      <alignment horizontal="center" vertical="center" wrapText="1"/>
    </xf>
    <xf numFmtId="0" fontId="3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9" fillId="0" borderId="1" xfId="6" applyFont="1" applyBorder="1" applyAlignment="1" applyProtection="1">
      <alignment horizontal="center" vertical="center"/>
    </xf>
    <xf numFmtId="0" fontId="23" fillId="0" borderId="1"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7" fillId="2" borderId="0" xfId="0" applyFont="1" applyFill="1" applyBorder="1" applyAlignment="1" applyProtection="1">
      <alignment horizontal="center"/>
      <protection locked="0"/>
    </xf>
    <xf numFmtId="0" fontId="3" fillId="0" borderId="0" xfId="0" applyFont="1" applyBorder="1" applyAlignment="1" applyProtection="1">
      <alignment horizontal="center"/>
      <protection locked="0"/>
    </xf>
    <xf numFmtId="0" fontId="22" fillId="2" borderId="1" xfId="0" applyFont="1" applyFill="1" applyBorder="1" applyAlignment="1" applyProtection="1">
      <alignment horizontal="center" wrapText="1"/>
      <protection locked="0"/>
    </xf>
    <xf numFmtId="0" fontId="7" fillId="0" borderId="0" xfId="0" applyFont="1" applyFill="1" applyBorder="1" applyAlignment="1" applyProtection="1">
      <alignment horizontal="center"/>
      <protection locked="0"/>
    </xf>
    <xf numFmtId="0" fontId="23" fillId="0" borderId="1" xfId="0" applyFont="1" applyBorder="1" applyAlignment="1" applyProtection="1">
      <alignment horizontal="center" wrapText="1"/>
      <protection locked="0"/>
    </xf>
    <xf numFmtId="182" fontId="23" fillId="0" borderId="1" xfId="5" applyFont="1" applyBorder="1" applyAlignment="1" applyProtection="1">
      <alignment horizontal="center" wrapText="1"/>
      <protection locked="0"/>
    </xf>
    <xf numFmtId="182" fontId="23" fillId="3" borderId="1" xfId="5" applyFont="1" applyFill="1" applyBorder="1" applyAlignment="1" applyProtection="1">
      <alignment horizontal="center" wrapText="1"/>
      <protection locked="0"/>
    </xf>
    <xf numFmtId="182" fontId="3" fillId="0" borderId="1" xfId="5" applyFont="1" applyBorder="1" applyAlignment="1" applyProtection="1">
      <alignment horizontal="center" wrapText="1"/>
      <protection locked="0"/>
    </xf>
    <xf numFmtId="0" fontId="3" fillId="0" borderId="1" xfId="0" applyFont="1" applyBorder="1" applyAlignment="1" applyProtection="1">
      <alignment horizontal="center" wrapText="1"/>
      <protection locked="0"/>
    </xf>
    <xf numFmtId="182" fontId="3" fillId="3" borderId="1" xfId="5" applyFont="1" applyFill="1" applyBorder="1" applyAlignment="1" applyProtection="1">
      <alignment horizontal="center" wrapText="1"/>
      <protection locked="0"/>
    </xf>
    <xf numFmtId="182" fontId="3" fillId="0" borderId="1" xfId="5" applyFont="1" applyBorder="1" applyAlignment="1" applyProtection="1">
      <alignment horizontal="center"/>
      <protection locked="0"/>
    </xf>
    <xf numFmtId="182" fontId="3" fillId="0" borderId="0" xfId="5" applyFont="1" applyBorder="1" applyAlignment="1" applyProtection="1">
      <alignment horizontal="center"/>
      <protection locked="0"/>
    </xf>
    <xf numFmtId="182" fontId="23" fillId="0" borderId="0" xfId="5" applyFont="1" applyBorder="1" applyAlignment="1" applyProtection="1">
      <alignment horizontal="center" wrapText="1"/>
      <protection locked="0"/>
    </xf>
    <xf numFmtId="182" fontId="3" fillId="0" borderId="0" xfId="5" applyFont="1" applyBorder="1" applyAlignment="1" applyProtection="1">
      <alignment horizontal="center" wrapText="1"/>
      <protection locked="0"/>
    </xf>
    <xf numFmtId="0" fontId="23" fillId="0" borderId="0" xfId="0" applyFont="1" applyBorder="1" applyAlignment="1" applyProtection="1">
      <alignment horizontal="center" wrapText="1"/>
      <protection locked="0"/>
    </xf>
    <xf numFmtId="0" fontId="3" fillId="0" borderId="0" xfId="0" applyFont="1" applyBorder="1" applyAlignment="1" applyProtection="1">
      <alignment horizontal="center" wrapText="1"/>
      <protection locked="0"/>
    </xf>
    <xf numFmtId="0" fontId="3" fillId="0" borderId="0" xfId="0" applyFont="1" applyBorder="1" applyAlignment="1" applyProtection="1">
      <alignment horizontal="left"/>
      <protection locked="0"/>
    </xf>
    <xf numFmtId="182" fontId="3" fillId="0" borderId="1" xfId="5" applyFont="1" applyBorder="1" applyAlignment="1">
      <alignment horizontal="center" vertical="top" wrapText="1"/>
    </xf>
    <xf numFmtId="182" fontId="3" fillId="3" borderId="1" xfId="5" applyFont="1" applyFill="1" applyBorder="1" applyAlignment="1">
      <alignment horizontal="center" vertical="top" wrapText="1"/>
    </xf>
    <xf numFmtId="0" fontId="3" fillId="0" borderId="0" xfId="0" applyFont="1" applyBorder="1" applyAlignment="1">
      <alignment horizontal="center"/>
    </xf>
    <xf numFmtId="0" fontId="1" fillId="0" borderId="0" xfId="0" applyFont="1" applyBorder="1" applyAlignment="1" applyProtection="1">
      <alignment horizontal="center"/>
      <protection locked="0"/>
    </xf>
    <xf numFmtId="0" fontId="7" fillId="2" borderId="1" xfId="0" applyFont="1" applyFill="1" applyBorder="1" applyAlignment="1" applyProtection="1">
      <alignment horizontal="center" wrapText="1"/>
      <protection locked="0"/>
    </xf>
    <xf numFmtId="0" fontId="2" fillId="0" borderId="0" xfId="0" applyFont="1" applyBorder="1" applyAlignment="1" applyProtection="1">
      <alignment horizontal="center"/>
      <protection locked="0"/>
    </xf>
    <xf numFmtId="182" fontId="31" fillId="3" borderId="1" xfId="5" applyFont="1" applyFill="1" applyBorder="1" applyAlignment="1">
      <alignment horizontal="center" vertical="center" wrapText="1"/>
    </xf>
    <xf numFmtId="0" fontId="31" fillId="0" borderId="0" xfId="0" applyFont="1" applyFill="1" applyBorder="1" applyAlignment="1">
      <alignment horizontal="center" vertical="center" wrapText="1"/>
    </xf>
    <xf numFmtId="182" fontId="31" fillId="3" borderId="0" xfId="5" applyFont="1" applyFill="1" applyBorder="1" applyAlignment="1">
      <alignment horizontal="center" vertical="center" wrapText="1"/>
    </xf>
    <xf numFmtId="0" fontId="25" fillId="0" borderId="0" xfId="0" applyFont="1" applyFill="1" applyBorder="1" applyAlignment="1">
      <alignment horizontal="center" vertical="center" wrapText="1"/>
    </xf>
    <xf numFmtId="0" fontId="26" fillId="0" borderId="0" xfId="0" applyFont="1" applyBorder="1" applyAlignment="1" applyProtection="1">
      <alignment horizontal="left"/>
      <protection locked="0"/>
    </xf>
    <xf numFmtId="0" fontId="33" fillId="0" borderId="0" xfId="0" applyFont="1" applyFill="1" applyBorder="1" applyAlignment="1">
      <alignment horizontal="center" vertical="center"/>
    </xf>
    <xf numFmtId="0" fontId="33" fillId="2" borderId="0" xfId="0" applyFont="1" applyFill="1" applyBorder="1" applyAlignment="1">
      <alignment horizontal="center" vertical="center"/>
    </xf>
    <xf numFmtId="0" fontId="8" fillId="0" borderId="0" xfId="0" applyFont="1" applyBorder="1" applyAlignment="1">
      <alignment horizontal="center" vertical="center"/>
    </xf>
    <xf numFmtId="0" fontId="31" fillId="0" borderId="0" xfId="0" applyFont="1" applyBorder="1" applyAlignment="1">
      <alignment horizontal="center" vertical="center"/>
    </xf>
    <xf numFmtId="0" fontId="36" fillId="0" borderId="0" xfId="0" applyFont="1" applyFill="1" applyBorder="1" applyAlignment="1">
      <alignment horizontal="left" vertical="center"/>
    </xf>
    <xf numFmtId="0" fontId="36" fillId="0" borderId="0" xfId="0" applyFont="1" applyFill="1" applyBorder="1" applyAlignment="1">
      <alignment horizontal="center" vertical="center"/>
    </xf>
    <xf numFmtId="182" fontId="35" fillId="0" borderId="1" xfId="5" applyFont="1" applyBorder="1" applyAlignment="1">
      <alignment horizontal="center" vertical="center" wrapText="1"/>
    </xf>
    <xf numFmtId="0" fontId="35" fillId="0" borderId="0" xfId="0" applyFont="1" applyBorder="1" applyAlignment="1">
      <alignment horizontal="center" vertical="center"/>
    </xf>
    <xf numFmtId="182" fontId="35" fillId="3" borderId="1" xfId="5" applyFont="1" applyFill="1" applyBorder="1" applyAlignment="1">
      <alignment horizontal="center" vertical="center" wrapText="1"/>
    </xf>
    <xf numFmtId="0" fontId="8" fillId="0" borderId="1" xfId="0" applyFont="1" applyFill="1" applyBorder="1" applyAlignment="1">
      <alignment horizontal="center" wrapText="1"/>
    </xf>
    <xf numFmtId="182" fontId="8" fillId="3" borderId="1" xfId="5" applyFont="1" applyFill="1" applyBorder="1" applyAlignment="1">
      <alignment horizontal="center" wrapText="1"/>
    </xf>
    <xf numFmtId="0" fontId="10" fillId="0" borderId="0" xfId="0" applyFont="1" applyFill="1" applyBorder="1" applyAlignment="1">
      <alignment horizontal="center" wrapText="1"/>
    </xf>
    <xf numFmtId="0" fontId="34" fillId="0" borderId="0" xfId="0" applyFont="1" applyFill="1" applyBorder="1" applyAlignment="1">
      <alignment horizontal="left" vertical="center"/>
    </xf>
    <xf numFmtId="0" fontId="37" fillId="0" borderId="0" xfId="0" applyFont="1" applyFill="1" applyBorder="1" applyAlignment="1">
      <alignment horizontal="left" vertical="center"/>
    </xf>
    <xf numFmtId="0" fontId="35" fillId="0" borderId="0" xfId="0" applyFont="1" applyFill="1" applyBorder="1" applyAlignment="1">
      <alignment horizontal="left" vertical="center"/>
    </xf>
    <xf numFmtId="0" fontId="22" fillId="2" borderId="1" xfId="0" applyFont="1" applyFill="1" applyBorder="1" applyAlignment="1">
      <alignment horizontal="center" vertical="center" wrapText="1"/>
    </xf>
    <xf numFmtId="0" fontId="22" fillId="0" borderId="1" xfId="0" applyFont="1" applyBorder="1" applyAlignment="1">
      <alignment vertical="center" wrapText="1"/>
    </xf>
    <xf numFmtId="0" fontId="23" fillId="0" borderId="1" xfId="0" applyFont="1" applyBorder="1" applyAlignment="1">
      <alignment horizontal="center" vertical="center" wrapText="1"/>
    </xf>
    <xf numFmtId="0" fontId="23" fillId="0" borderId="1" xfId="0" applyFont="1" applyBorder="1" applyAlignment="1">
      <alignment vertical="center" wrapText="1"/>
    </xf>
    <xf numFmtId="0" fontId="35" fillId="0" borderId="1" xfId="0" applyFont="1" applyBorder="1" applyAlignment="1">
      <alignment vertical="center" wrapText="1"/>
    </xf>
    <xf numFmtId="0" fontId="26" fillId="0" borderId="0" xfId="0" applyFont="1" applyBorder="1" applyAlignment="1">
      <alignment vertical="center"/>
    </xf>
    <xf numFmtId="0" fontId="35" fillId="0" borderId="0" xfId="0" applyFont="1" applyBorder="1" applyAlignment="1">
      <alignment vertical="center"/>
    </xf>
    <xf numFmtId="0" fontId="23" fillId="0" borderId="0" xfId="0" applyFont="1" applyBorder="1" applyAlignment="1">
      <alignment horizontal="center" vertical="center"/>
    </xf>
    <xf numFmtId="0" fontId="23" fillId="0" borderId="1" xfId="0" applyFont="1" applyBorder="1" applyAlignment="1">
      <alignment horizontal="left" vertical="center" wrapText="1"/>
    </xf>
    <xf numFmtId="0" fontId="26" fillId="0" borderId="0" xfId="0" applyFont="1" applyBorder="1" applyAlignment="1">
      <alignment horizontal="left" vertical="center"/>
    </xf>
    <xf numFmtId="0" fontId="26" fillId="0" borderId="0" xfId="0" applyFont="1" applyBorder="1" applyAlignment="1">
      <alignment horizontal="left" vertical="center" wrapText="1"/>
    </xf>
    <xf numFmtId="0" fontId="35" fillId="0" borderId="0" xfId="0" applyFont="1" applyBorder="1" applyAlignment="1">
      <alignment horizontal="left" vertical="center"/>
    </xf>
    <xf numFmtId="0" fontId="22" fillId="2" borderId="1" xfId="0" applyFont="1" applyFill="1" applyBorder="1" applyAlignment="1">
      <alignment horizontal="center" vertical="center"/>
    </xf>
    <xf numFmtId="0" fontId="23" fillId="0" borderId="1" xfId="0" applyFont="1" applyBorder="1" applyAlignment="1">
      <alignment horizontal="center" vertical="center"/>
    </xf>
    <xf numFmtId="0" fontId="35" fillId="0" borderId="1" xfId="0" applyFont="1" applyBorder="1" applyAlignment="1">
      <alignment horizontal="center" vertical="center"/>
    </xf>
    <xf numFmtId="0" fontId="36" fillId="0" borderId="0" xfId="0" applyFont="1" applyBorder="1" applyAlignment="1">
      <alignment horizontal="left" vertical="center"/>
    </xf>
    <xf numFmtId="0" fontId="36" fillId="2" borderId="1" xfId="0" applyFont="1" applyFill="1" applyBorder="1" applyAlignment="1">
      <alignment horizontal="center" vertical="top" wrapText="1"/>
    </xf>
    <xf numFmtId="0" fontId="35" fillId="0" borderId="1" xfId="0" applyFont="1" applyBorder="1" applyAlignment="1">
      <alignment horizontal="center" vertical="top" wrapText="1"/>
    </xf>
    <xf numFmtId="0" fontId="36" fillId="0" borderId="1" xfId="0" applyFont="1" applyBorder="1" applyAlignment="1">
      <alignment horizontal="center" vertical="top" wrapText="1"/>
    </xf>
    <xf numFmtId="0" fontId="8" fillId="0" borderId="1" xfId="0" applyFont="1" applyBorder="1" applyAlignment="1">
      <alignment horizontal="center" vertical="center" wrapText="1"/>
    </xf>
    <xf numFmtId="182" fontId="3" fillId="0" borderId="0" xfId="5" applyFont="1" applyFill="1" applyBorder="1" applyAlignment="1">
      <alignment horizontal="center" vertical="center"/>
    </xf>
    <xf numFmtId="182" fontId="3" fillId="0" borderId="1" xfId="5" applyFont="1" applyFill="1" applyBorder="1" applyAlignment="1">
      <alignment horizontal="center" vertical="center" wrapText="1"/>
    </xf>
    <xf numFmtId="182" fontId="3" fillId="0" borderId="0" xfId="5" applyFont="1" applyFill="1" applyBorder="1" applyAlignment="1">
      <alignment horizontal="center" vertical="center" wrapText="1"/>
    </xf>
    <xf numFmtId="182" fontId="10" fillId="0" borderId="0" xfId="5" applyFont="1" applyFill="1" applyBorder="1" applyAlignment="1">
      <alignment horizontal="center" vertical="center" wrapText="1"/>
    </xf>
    <xf numFmtId="0" fontId="8" fillId="0" borderId="0" xfId="0" applyFont="1" applyBorder="1" applyAlignment="1">
      <alignment horizontal="center" vertical="center" wrapText="1"/>
    </xf>
    <xf numFmtId="0" fontId="29" fillId="0" borderId="0" xfId="0" applyFont="1" applyBorder="1" applyAlignment="1">
      <alignment horizontal="center" vertical="center"/>
    </xf>
    <xf numFmtId="0" fontId="29" fillId="0" borderId="0" xfId="0" applyFont="1" applyFill="1" applyBorder="1" applyAlignment="1">
      <alignment horizontal="center" vertical="center"/>
    </xf>
    <xf numFmtId="0" fontId="7" fillId="0" borderId="0" xfId="0" applyFont="1" applyFill="1" applyBorder="1" applyAlignment="1" applyProtection="1">
      <alignment horizontal="center" vertical="center"/>
      <protection locked="0"/>
    </xf>
    <xf numFmtId="0" fontId="7" fillId="2" borderId="0" xfId="0" applyFont="1" applyFill="1" applyBorder="1" applyAlignment="1" applyProtection="1">
      <alignment horizontal="center" vertical="center"/>
      <protection locked="0"/>
    </xf>
    <xf numFmtId="0" fontId="3" fillId="0" borderId="0" xfId="0" applyFont="1" applyBorder="1" applyAlignment="1" applyProtection="1">
      <alignment horizontal="center" vertical="center"/>
      <protection locked="0"/>
    </xf>
    <xf numFmtId="0" fontId="30" fillId="0" borderId="0" xfId="6" applyFont="1" applyBorder="1" applyAlignment="1" applyProtection="1">
      <alignment horizontal="center" vertical="center"/>
    </xf>
    <xf numFmtId="0" fontId="7" fillId="0" borderId="0" xfId="0" applyFont="1" applyFill="1" applyBorder="1" applyAlignment="1" applyProtection="1">
      <alignment horizontal="left" vertical="center"/>
      <protection locked="0"/>
    </xf>
    <xf numFmtId="0" fontId="7" fillId="2" borderId="1"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wrapText="1"/>
      <protection locked="0"/>
    </xf>
    <xf numFmtId="182" fontId="3" fillId="0" borderId="1" xfId="5" applyFont="1" applyBorder="1" applyAlignment="1" applyProtection="1">
      <alignment horizontal="center" vertical="center" wrapText="1"/>
      <protection locked="0"/>
    </xf>
    <xf numFmtId="182" fontId="23" fillId="3" borderId="1" xfId="5" applyFont="1" applyFill="1" applyBorder="1" applyAlignment="1" applyProtection="1">
      <alignment horizontal="center" vertical="center" wrapText="1"/>
      <protection locked="0"/>
    </xf>
    <xf numFmtId="182" fontId="23" fillId="0" borderId="1" xfId="5" applyFont="1" applyBorder="1" applyAlignment="1" applyProtection="1">
      <alignment horizontal="center" vertical="center" wrapText="1"/>
      <protection locked="0"/>
    </xf>
    <xf numFmtId="0" fontId="23" fillId="0" borderId="0" xfId="0" applyFont="1" applyBorder="1" applyAlignment="1" applyProtection="1">
      <alignment horizontal="center" vertical="center" wrapText="1"/>
      <protection locked="0"/>
    </xf>
    <xf numFmtId="182" fontId="10" fillId="0" borderId="1" xfId="5" applyFont="1" applyFill="1" applyBorder="1" applyAlignment="1">
      <alignment horizontal="center" vertical="center" wrapText="1"/>
    </xf>
    <xf numFmtId="0" fontId="3" fillId="0" borderId="0" xfId="0" applyFont="1" applyBorder="1" applyAlignment="1" applyProtection="1">
      <alignment horizontal="center" vertical="center" wrapText="1"/>
      <protection locked="0"/>
    </xf>
    <xf numFmtId="0" fontId="26" fillId="0" borderId="0" xfId="0"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22" fillId="0" borderId="0" xfId="0" applyFont="1" applyFill="1" applyBorder="1" applyAlignment="1" applyProtection="1">
      <alignment horizontal="center" wrapText="1"/>
      <protection locked="0"/>
    </xf>
    <xf numFmtId="0" fontId="7" fillId="0" borderId="1" xfId="0" applyFont="1" applyFill="1" applyBorder="1" applyAlignment="1" applyProtection="1">
      <alignment horizontal="center" wrapText="1"/>
      <protection locked="0"/>
    </xf>
    <xf numFmtId="182" fontId="22" fillId="0" borderId="1" xfId="5" applyFont="1" applyFill="1" applyBorder="1" applyAlignment="1" applyProtection="1">
      <alignment horizontal="center" wrapText="1"/>
      <protection locked="0"/>
    </xf>
    <xf numFmtId="0" fontId="8" fillId="0" borderId="0" xfId="0" applyFont="1" applyFill="1" applyBorder="1" applyAlignment="1">
      <alignment horizontal="center" wrapText="1"/>
    </xf>
    <xf numFmtId="182" fontId="8" fillId="3" borderId="0" xfId="5" applyFont="1" applyFill="1" applyBorder="1" applyAlignment="1">
      <alignment horizontal="center" wrapText="1"/>
    </xf>
    <xf numFmtId="0" fontId="34"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7" fillId="0" borderId="0" xfId="0" applyFont="1" applyBorder="1" applyAlignment="1" applyProtection="1">
      <alignment horizontal="center" vertical="center"/>
      <protection locked="0"/>
    </xf>
    <xf numFmtId="0" fontId="2" fillId="0" borderId="0" xfId="0" applyFont="1" applyBorder="1" applyAlignment="1" applyProtection="1">
      <alignment horizontal="center" vertical="center"/>
      <protection locked="0"/>
    </xf>
    <xf numFmtId="182" fontId="23" fillId="0" borderId="0" xfId="5" applyFont="1" applyBorder="1" applyAlignment="1" applyProtection="1">
      <alignment horizontal="center" vertical="center" wrapText="1"/>
      <protection locked="0"/>
    </xf>
    <xf numFmtId="182" fontId="3" fillId="0" borderId="0" xfId="5" applyFont="1" applyBorder="1" applyAlignment="1" applyProtection="1">
      <alignment horizontal="center" vertical="center" wrapText="1"/>
      <protection locked="0"/>
    </xf>
    <xf numFmtId="0" fontId="26" fillId="0" borderId="1" xfId="0" applyFont="1" applyBorder="1" applyAlignment="1">
      <alignment horizontal="center" vertical="center" wrapText="1"/>
    </xf>
    <xf numFmtId="182" fontId="23" fillId="3" borderId="1" xfId="5" applyFont="1" applyFill="1" applyBorder="1" applyAlignment="1">
      <alignment horizontal="center" vertical="center" wrapText="1"/>
    </xf>
    <xf numFmtId="182" fontId="23" fillId="3" borderId="1" xfId="5" applyFont="1" applyFill="1" applyBorder="1" applyAlignment="1">
      <alignment horizontal="center" wrapText="1"/>
    </xf>
    <xf numFmtId="0" fontId="26" fillId="0" borderId="0" xfId="0" applyFont="1" applyBorder="1" applyAlignment="1">
      <alignment horizontal="center" vertical="center"/>
    </xf>
    <xf numFmtId="0" fontId="23" fillId="0" borderId="1" xfId="0" applyFont="1" applyBorder="1" applyAlignment="1">
      <alignment horizontal="center" wrapText="1"/>
    </xf>
    <xf numFmtId="0" fontId="10" fillId="0" borderId="0" xfId="0" applyFont="1" applyFill="1" applyBorder="1" applyAlignment="1">
      <alignment horizontal="center" vertical="center"/>
    </xf>
    <xf numFmtId="182" fontId="3" fillId="0" borderId="1" xfId="5" applyFont="1" applyFill="1" applyBorder="1" applyAlignment="1">
      <alignment horizontal="center" vertical="center"/>
    </xf>
    <xf numFmtId="0" fontId="25" fillId="0" borderId="0" xfId="0" applyFont="1" applyFill="1" applyBorder="1" applyAlignment="1">
      <alignment horizontal="center" vertical="center"/>
    </xf>
    <xf numFmtId="0" fontId="5" fillId="0" borderId="0" xfId="0" applyFont="1" applyFill="1" applyBorder="1" applyAlignment="1" applyProtection="1">
      <alignment horizontal="center"/>
      <protection locked="0"/>
    </xf>
    <xf numFmtId="0" fontId="5" fillId="0" borderId="0" xfId="0" applyFont="1" applyBorder="1" applyAlignment="1" applyProtection="1">
      <alignment horizontal="center"/>
      <protection locked="0"/>
    </xf>
    <xf numFmtId="0" fontId="9" fillId="2" borderId="0" xfId="6" applyFont="1" applyFill="1" applyBorder="1" applyAlignment="1" applyProtection="1">
      <alignment horizontal="center" vertical="center"/>
    </xf>
    <xf numFmtId="0" fontId="5" fillId="0" borderId="0" xfId="0" applyFont="1" applyFill="1" applyBorder="1" applyAlignment="1" applyProtection="1">
      <alignment horizontal="left"/>
      <protection locked="0"/>
    </xf>
    <xf numFmtId="0" fontId="5" fillId="2" borderId="1" xfId="0" applyFont="1" applyFill="1" applyBorder="1" applyAlignment="1" applyProtection="1">
      <alignment horizontal="center" wrapText="1"/>
      <protection locked="0"/>
    </xf>
    <xf numFmtId="0" fontId="26" fillId="0" borderId="1" xfId="0" applyFont="1" applyBorder="1" applyAlignment="1" applyProtection="1">
      <alignment horizontal="center" wrapText="1"/>
      <protection locked="0"/>
    </xf>
    <xf numFmtId="0" fontId="7" fillId="0" borderId="0" xfId="0" applyFont="1" applyBorder="1" applyAlignment="1" applyProtection="1">
      <alignment horizontal="center" wrapText="1"/>
      <protection locked="0"/>
    </xf>
    <xf numFmtId="0" fontId="23" fillId="0" borderId="0" xfId="0" applyFont="1" applyBorder="1" applyAlignment="1" applyProtection="1">
      <alignment horizontal="left"/>
      <protection locked="0"/>
    </xf>
    <xf numFmtId="182" fontId="26" fillId="0" borderId="1" xfId="5" applyFont="1" applyBorder="1" applyAlignment="1" applyProtection="1">
      <alignment horizontal="center" wrapText="1"/>
      <protection locked="0"/>
    </xf>
    <xf numFmtId="0" fontId="5" fillId="2" borderId="1" xfId="0" applyFont="1" applyFill="1" applyBorder="1" applyAlignment="1" applyProtection="1">
      <alignment horizontal="center" vertical="center" wrapText="1"/>
      <protection locked="0"/>
    </xf>
    <xf numFmtId="0" fontId="32" fillId="2" borderId="1" xfId="0" applyFont="1" applyFill="1" applyBorder="1" applyAlignment="1" applyProtection="1">
      <alignment horizontal="center" vertical="center" wrapText="1"/>
      <protection locked="0"/>
    </xf>
    <xf numFmtId="0" fontId="39" fillId="2" borderId="1" xfId="0" applyFont="1" applyFill="1" applyBorder="1" applyAlignment="1">
      <alignment horizontal="center" vertical="center" wrapText="1"/>
    </xf>
    <xf numFmtId="0" fontId="3" fillId="0" borderId="1" xfId="0" applyFont="1" applyBorder="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26" fillId="0" borderId="1" xfId="0" applyFont="1" applyBorder="1" applyAlignment="1" applyProtection="1">
      <alignment horizontal="center" vertical="center" wrapText="1"/>
      <protection locked="0"/>
    </xf>
    <xf numFmtId="0" fontId="7" fillId="2" borderId="1" xfId="0" applyFont="1" applyFill="1" applyBorder="1" applyAlignment="1" applyProtection="1">
      <alignment horizontal="center"/>
      <protection locked="0"/>
    </xf>
    <xf numFmtId="0" fontId="3" fillId="0" borderId="1" xfId="0" applyFont="1" applyBorder="1" applyAlignment="1" applyProtection="1">
      <alignment horizontal="center"/>
      <protection locked="0"/>
    </xf>
    <xf numFmtId="0" fontId="8" fillId="0" borderId="1" xfId="0" applyFont="1" applyBorder="1" applyAlignment="1">
      <alignment horizontal="center" vertical="center"/>
    </xf>
    <xf numFmtId="0" fontId="2" fillId="0" borderId="1" xfId="0" applyFont="1" applyBorder="1" applyAlignment="1" applyProtection="1">
      <alignment horizontal="center"/>
      <protection locked="0"/>
    </xf>
    <xf numFmtId="0" fontId="10" fillId="0" borderId="1" xfId="0" applyFont="1" applyFill="1" applyBorder="1" applyAlignment="1">
      <alignment horizontal="center" wrapText="1"/>
    </xf>
    <xf numFmtId="0" fontId="3" fillId="2" borderId="1" xfId="0" applyFont="1" applyFill="1" applyBorder="1" applyAlignment="1" applyProtection="1">
      <alignment horizontal="center" wrapText="1"/>
      <protection locked="0"/>
    </xf>
    <xf numFmtId="0" fontId="27" fillId="2" borderId="1" xfId="0" applyFont="1" applyFill="1" applyBorder="1" applyAlignment="1">
      <alignment horizontal="center" vertical="center"/>
    </xf>
    <xf numFmtId="0" fontId="40" fillId="0" borderId="1" xfId="0" applyFont="1" applyBorder="1" applyAlignment="1" applyProtection="1">
      <alignment horizontal="center" wrapText="1"/>
      <protection locked="0"/>
    </xf>
    <xf numFmtId="182" fontId="8" fillId="0" borderId="1" xfId="5" applyFont="1" applyBorder="1" applyAlignment="1">
      <alignment horizontal="center" vertical="center"/>
    </xf>
    <xf numFmtId="0" fontId="3" fillId="0" borderId="1" xfId="0" applyFont="1" applyBorder="1" applyAlignment="1">
      <alignment horizontal="center"/>
    </xf>
    <xf numFmtId="0" fontId="34" fillId="0" borderId="1" xfId="0" applyFont="1" applyBorder="1" applyAlignment="1">
      <alignment horizontal="center" vertical="center"/>
    </xf>
    <xf numFmtId="0" fontId="2" fillId="0" borderId="0" xfId="0" applyFont="1" applyBorder="1" applyAlignment="1">
      <alignment horizontal="center"/>
    </xf>
    <xf numFmtId="0" fontId="2" fillId="0" borderId="0" xfId="0" applyFont="1" applyFill="1" applyBorder="1" applyAlignment="1">
      <alignment horizontal="center"/>
    </xf>
    <xf numFmtId="0" fontId="5" fillId="0" borderId="0" xfId="0" applyFont="1" applyBorder="1" applyAlignment="1">
      <alignment horizontal="center"/>
    </xf>
    <xf numFmtId="0" fontId="9" fillId="0" borderId="0" xfId="6" applyFont="1" applyBorder="1" applyAlignment="1" applyProtection="1">
      <alignment horizontal="center"/>
    </xf>
    <xf numFmtId="0" fontId="5" fillId="2" borderId="0" xfId="0" applyFont="1" applyFill="1" applyBorder="1" applyAlignment="1">
      <alignment horizontal="center"/>
    </xf>
    <xf numFmtId="182" fontId="8" fillId="0" borderId="0" xfId="5" applyFont="1" applyBorder="1" applyAlignment="1">
      <alignment horizontal="center" vertical="center"/>
    </xf>
    <xf numFmtId="182" fontId="35" fillId="0" borderId="0" xfId="5" applyFont="1" applyBorder="1" applyAlignment="1">
      <alignment horizontal="center" vertical="center" wrapText="1"/>
    </xf>
    <xf numFmtId="0" fontId="35" fillId="0" borderId="0" xfId="0" applyFont="1" applyBorder="1" applyAlignment="1">
      <alignment horizontal="center" vertical="center" wrapText="1"/>
    </xf>
    <xf numFmtId="182" fontId="10" fillId="0" borderId="0" xfId="5" applyFont="1" applyFill="1" applyBorder="1" applyAlignment="1">
      <alignment horizontal="center" wrapText="1"/>
    </xf>
    <xf numFmtId="0" fontId="2" fillId="0" borderId="1" xfId="0" applyFont="1" applyFill="1" applyBorder="1" applyAlignment="1">
      <alignment horizontal="center"/>
    </xf>
    <xf numFmtId="0" fontId="3" fillId="0" borderId="1" xfId="0" applyFont="1" applyFill="1" applyBorder="1" applyAlignment="1" applyProtection="1">
      <alignment horizontal="center"/>
      <protection locked="0"/>
    </xf>
    <xf numFmtId="0" fontId="3" fillId="2" borderId="1" xfId="0" applyFont="1" applyFill="1" applyBorder="1" applyAlignment="1" applyProtection="1">
      <alignment horizontal="center"/>
      <protection locked="0"/>
    </xf>
    <xf numFmtId="0" fontId="2" fillId="0" borderId="1" xfId="0" applyFont="1" applyBorder="1" applyAlignment="1">
      <alignment horizontal="center"/>
    </xf>
    <xf numFmtId="0" fontId="2" fillId="0" borderId="5" xfId="0" applyFont="1" applyBorder="1" applyAlignment="1">
      <alignment horizontal="center"/>
    </xf>
    <xf numFmtId="0" fontId="6" fillId="0" borderId="1" xfId="6" applyFont="1" applyBorder="1" applyAlignment="1" applyProtection="1">
      <alignment horizontal="center"/>
    </xf>
    <xf numFmtId="0" fontId="3" fillId="0" borderId="5" xfId="0" applyFont="1" applyFill="1" applyBorder="1" applyAlignment="1">
      <alignment horizontal="center"/>
    </xf>
    <xf numFmtId="0" fontId="3" fillId="0" borderId="1" xfId="0" applyFont="1" applyFill="1" applyBorder="1" applyAlignment="1">
      <alignment horizontal="center"/>
    </xf>
    <xf numFmtId="0" fontId="7" fillId="0" borderId="11" xfId="0" applyFont="1" applyFill="1" applyBorder="1" applyAlignment="1" applyProtection="1">
      <alignment horizontal="center"/>
      <protection locked="0"/>
    </xf>
    <xf numFmtId="0" fontId="3" fillId="2" borderId="1" xfId="0" applyFont="1" applyFill="1" applyBorder="1" applyAlignment="1">
      <alignment horizontal="center"/>
    </xf>
    <xf numFmtId="0" fontId="26" fillId="0" borderId="1" xfId="0" applyFont="1" applyBorder="1" applyAlignment="1" applyProtection="1">
      <alignment horizontal="center"/>
      <protection locked="0"/>
    </xf>
    <xf numFmtId="0" fontId="5" fillId="0" borderId="4" xfId="0" applyFont="1" applyFill="1" applyBorder="1" applyAlignment="1">
      <alignment horizontal="center" vertical="center"/>
    </xf>
    <xf numFmtId="0" fontId="5" fillId="0" borderId="14" xfId="0" applyFont="1" applyFill="1" applyBorder="1" applyAlignment="1" applyProtection="1">
      <alignment horizontal="center"/>
      <protection locked="0"/>
    </xf>
    <xf numFmtId="0" fontId="3" fillId="0" borderId="0" xfId="0" applyFont="1" applyFill="1" applyBorder="1" applyAlignment="1" applyProtection="1">
      <alignment horizontal="center"/>
      <protection locked="0"/>
    </xf>
    <xf numFmtId="0" fontId="3" fillId="0" borderId="5" xfId="0" applyFont="1" applyBorder="1" applyAlignment="1" applyProtection="1">
      <alignment horizontal="center"/>
      <protection locked="0"/>
    </xf>
    <xf numFmtId="182" fontId="8" fillId="3" borderId="8" xfId="5" applyFont="1" applyFill="1" applyBorder="1" applyAlignment="1">
      <alignment horizontal="center" wrapText="1"/>
    </xf>
    <xf numFmtId="0" fontId="10" fillId="0" borderId="8" xfId="0" applyFont="1" applyFill="1" applyBorder="1" applyAlignment="1">
      <alignment horizontal="center" wrapText="1"/>
    </xf>
    <xf numFmtId="0" fontId="3" fillId="0" borderId="10" xfId="0" applyFont="1" applyBorder="1" applyAlignment="1" applyProtection="1">
      <alignment horizontal="center"/>
      <protection locked="0"/>
    </xf>
    <xf numFmtId="0" fontId="3" fillId="0" borderId="15" xfId="0" applyFont="1" applyBorder="1" applyAlignment="1" applyProtection="1">
      <alignment horizontal="center"/>
      <protection locked="0"/>
    </xf>
    <xf numFmtId="0" fontId="2" fillId="2" borderId="1" xfId="0" applyFont="1" applyFill="1" applyBorder="1" applyAlignment="1">
      <alignment horizontal="center"/>
    </xf>
    <xf numFmtId="0" fontId="5" fillId="2" borderId="1" xfId="0" applyFont="1" applyFill="1" applyBorder="1" applyAlignment="1">
      <alignment horizontal="center"/>
    </xf>
    <xf numFmtId="0" fontId="41" fillId="2" borderId="1" xfId="0" applyFont="1" applyFill="1" applyBorder="1" applyAlignment="1">
      <alignment horizontal="center" wrapText="1"/>
    </xf>
    <xf numFmtId="0" fontId="31" fillId="2" borderId="1" xfId="0" applyFont="1" applyFill="1" applyBorder="1" applyAlignment="1">
      <alignment horizontal="center" wrapText="1"/>
    </xf>
    <xf numFmtId="0" fontId="3" fillId="0" borderId="1" xfId="0" applyFont="1" applyFill="1" applyBorder="1" applyAlignment="1">
      <alignment horizontal="center" wrapText="1"/>
    </xf>
    <xf numFmtId="0" fontId="27" fillId="2" borderId="1" xfId="0" applyFont="1" applyFill="1" applyBorder="1" applyAlignment="1">
      <alignment horizontal="center"/>
    </xf>
    <xf numFmtId="0" fontId="13" fillId="0" borderId="1" xfId="0" applyFont="1" applyBorder="1" applyAlignment="1">
      <alignment horizontal="center" wrapText="1"/>
    </xf>
    <xf numFmtId="0" fontId="3" fillId="0" borderId="1" xfId="41" applyFont="1" applyBorder="1" applyAlignment="1">
      <alignment horizontal="center"/>
      <protection locked="0"/>
    </xf>
    <xf numFmtId="0" fontId="3" fillId="0" borderId="1" xfId="41" applyFont="1" applyFill="1" applyBorder="1" applyAlignment="1">
      <alignment horizontal="center"/>
      <protection locked="0"/>
    </xf>
    <xf numFmtId="0" fontId="3" fillId="2" borderId="1" xfId="41" applyFont="1" applyFill="1" applyBorder="1" applyAlignment="1">
      <alignment horizontal="center"/>
      <protection locked="0"/>
    </xf>
    <xf numFmtId="0" fontId="2" fillId="0" borderId="1" xfId="41" applyFont="1" applyBorder="1" applyAlignment="1">
      <alignment horizontal="center"/>
      <protection locked="0"/>
    </xf>
    <xf numFmtId="0" fontId="2" fillId="0" borderId="5" xfId="0" applyFont="1" applyFill="1" applyBorder="1" applyAlignment="1">
      <alignment horizontal="center" vertical="center"/>
    </xf>
    <xf numFmtId="0" fontId="36" fillId="0" borderId="11" xfId="0" applyFont="1" applyFill="1" applyBorder="1" applyAlignment="1">
      <alignment horizontal="center" vertical="center"/>
    </xf>
    <xf numFmtId="0" fontId="42" fillId="0" borderId="1" xfId="0" applyFont="1" applyBorder="1" applyAlignment="1">
      <alignment horizontal="center" vertical="center"/>
    </xf>
    <xf numFmtId="0" fontId="43" fillId="0" borderId="1" xfId="0" applyFont="1" applyBorder="1" applyAlignment="1">
      <alignment horizontal="center" vertical="center"/>
    </xf>
    <xf numFmtId="0" fontId="1" fillId="0" borderId="0" xfId="0" applyFont="1" applyFill="1" applyBorder="1" applyAlignment="1">
      <alignment horizontal="center" vertical="center"/>
    </xf>
    <xf numFmtId="0" fontId="3" fillId="2" borderId="0" xfId="0" applyFont="1" applyFill="1" applyBorder="1" applyAlignment="1" applyProtection="1">
      <alignment horizontal="center"/>
      <protection locked="0"/>
    </xf>
    <xf numFmtId="0" fontId="34" fillId="0" borderId="0" xfId="0" applyFont="1" applyBorder="1" applyAlignment="1">
      <alignment horizontal="center" vertical="center"/>
    </xf>
    <xf numFmtId="0" fontId="35" fillId="0" borderId="1" xfId="0" applyFont="1" applyBorder="1" applyAlignment="1">
      <alignment horizontal="center" wrapText="1"/>
    </xf>
    <xf numFmtId="182" fontId="35" fillId="0" borderId="1" xfId="5" applyFont="1" applyBorder="1" applyAlignment="1">
      <alignment horizontal="center" wrapText="1"/>
    </xf>
    <xf numFmtId="182" fontId="35" fillId="3" borderId="1" xfId="5" applyFont="1" applyFill="1" applyBorder="1" applyAlignment="1">
      <alignment horizontal="center" wrapText="1"/>
    </xf>
    <xf numFmtId="0" fontId="3" fillId="0"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3" fillId="0" borderId="0" xfId="41" applyFont="1" applyBorder="1" applyAlignment="1">
      <alignment horizontal="center"/>
      <protection locked="0"/>
    </xf>
    <xf numFmtId="0" fontId="9" fillId="0" borderId="0" xfId="6" applyFont="1" applyFill="1" applyBorder="1" applyAlignment="1" applyProtection="1">
      <alignment horizontal="center" vertical="center"/>
    </xf>
    <xf numFmtId="182" fontId="8" fillId="0" borderId="1" xfId="5" applyFont="1" applyFill="1" applyBorder="1" applyAlignment="1">
      <alignment horizontal="center" wrapText="1"/>
    </xf>
    <xf numFmtId="0" fontId="3" fillId="0" borderId="0" xfId="0" applyFont="1" applyFill="1" applyBorder="1" applyAlignment="1">
      <alignment horizontal="center"/>
    </xf>
    <xf numFmtId="182" fontId="8" fillId="0" borderId="0" xfId="5" applyFont="1" applyFill="1" applyBorder="1" applyAlignment="1">
      <alignment horizontal="center" wrapText="1"/>
    </xf>
    <xf numFmtId="0" fontId="25" fillId="0" borderId="1" xfId="0" applyFont="1" applyFill="1" applyBorder="1" applyAlignment="1">
      <alignment horizontal="center" wrapText="1"/>
    </xf>
    <xf numFmtId="0" fontId="5" fillId="2" borderId="8" xfId="0" applyFont="1" applyFill="1" applyBorder="1" applyAlignment="1">
      <alignment horizontal="center"/>
    </xf>
    <xf numFmtId="0" fontId="5" fillId="0" borderId="7" xfId="0" applyFont="1" applyBorder="1" applyAlignment="1">
      <alignment horizontal="center"/>
    </xf>
    <xf numFmtId="0" fontId="31" fillId="0" borderId="1" xfId="0" applyFont="1" applyFill="1" applyBorder="1" applyAlignment="1">
      <alignment horizontal="center" wrapText="1"/>
    </xf>
    <xf numFmtId="0" fontId="31" fillId="0" borderId="1" xfId="0" applyFont="1" applyBorder="1" applyAlignment="1">
      <alignment horizontal="center" wrapText="1"/>
    </xf>
    <xf numFmtId="0" fontId="8" fillId="0" borderId="0" xfId="0" applyFont="1" applyFill="1" applyBorder="1" applyAlignment="1">
      <alignment horizontal="center" vertical="center"/>
    </xf>
    <xf numFmtId="0" fontId="8" fillId="2" borderId="0" xfId="0" applyFont="1" applyFill="1" applyBorder="1" applyAlignment="1">
      <alignment horizontal="center" vertical="center"/>
    </xf>
    <xf numFmtId="0" fontId="44" fillId="2" borderId="1" xfId="0" applyFont="1" applyFill="1" applyBorder="1" applyAlignment="1">
      <alignment horizontal="center" vertical="center" wrapText="1"/>
    </xf>
    <xf numFmtId="0" fontId="23" fillId="0" borderId="0" xfId="0" applyFont="1" applyBorder="1" applyAlignment="1">
      <alignment horizontal="center" vertical="center" wrapText="1"/>
    </xf>
    <xf numFmtId="0" fontId="23" fillId="3" borderId="0" xfId="0" applyFont="1" applyFill="1" applyBorder="1" applyAlignment="1">
      <alignment horizontal="center" vertical="center" wrapText="1"/>
    </xf>
    <xf numFmtId="0" fontId="8" fillId="3" borderId="0" xfId="0" applyFont="1" applyFill="1" applyBorder="1" applyAlignment="1">
      <alignment horizontal="center" wrapText="1"/>
    </xf>
    <xf numFmtId="0" fontId="7" fillId="2" borderId="10" xfId="0" applyFont="1" applyFill="1" applyBorder="1" applyAlignment="1">
      <alignment horizontal="center" vertical="center"/>
    </xf>
    <xf numFmtId="182" fontId="3" fillId="3" borderId="1" xfId="5" applyFont="1" applyFill="1" applyBorder="1" applyAlignment="1" applyProtection="1">
      <alignment horizontal="center"/>
      <protection locked="0"/>
    </xf>
    <xf numFmtId="182" fontId="23" fillId="0" borderId="0" xfId="5" applyFont="1" applyBorder="1" applyAlignment="1">
      <alignment horizontal="center" vertical="center" wrapText="1"/>
    </xf>
    <xf numFmtId="0" fontId="23" fillId="2" borderId="1" xfId="0" applyFont="1" applyFill="1" applyBorder="1" applyAlignment="1">
      <alignment horizontal="center" vertical="center" wrapText="1"/>
    </xf>
    <xf numFmtId="0" fontId="2" fillId="0" borderId="0" xfId="41" applyFont="1" applyBorder="1" applyAlignment="1">
      <alignment horizontal="center"/>
      <protection locked="0"/>
    </xf>
    <xf numFmtId="0" fontId="22" fillId="0" borderId="1" xfId="0" applyFont="1" applyBorder="1" applyAlignment="1">
      <alignment horizontal="center" vertical="center" wrapText="1"/>
    </xf>
    <xf numFmtId="182" fontId="23" fillId="0" borderId="1" xfId="5" applyFont="1" applyBorder="1" applyAlignment="1">
      <alignment horizontal="center" vertical="top" wrapText="1"/>
    </xf>
    <xf numFmtId="182" fontId="23" fillId="3" borderId="1" xfId="5" applyFont="1" applyFill="1" applyBorder="1" applyAlignment="1">
      <alignment horizontal="center" vertical="top" wrapText="1"/>
    </xf>
    <xf numFmtId="0" fontId="43" fillId="0" borderId="0" xfId="0" applyFont="1" applyBorder="1" applyAlignment="1">
      <alignment horizontal="center" vertical="center"/>
    </xf>
    <xf numFmtId="0" fontId="45"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1" xfId="0" applyFont="1" applyBorder="1" applyAlignment="1">
      <alignment horizontal="center" vertical="center"/>
    </xf>
    <xf numFmtId="0" fontId="1" fillId="2" borderId="0" xfId="0" applyFont="1" applyFill="1" applyBorder="1" applyAlignment="1">
      <alignment horizontal="center" vertical="center"/>
    </xf>
    <xf numFmtId="0" fontId="2" fillId="0" borderId="0" xfId="45" applyFont="1" applyBorder="1" applyAlignment="1">
      <alignment horizontal="center"/>
      <protection locked="0"/>
    </xf>
    <xf numFmtId="0" fontId="29" fillId="2" borderId="1" xfId="44" applyFont="1" applyFill="1" applyBorder="1" applyAlignment="1" applyProtection="1">
      <alignment horizontal="center" vertical="center"/>
    </xf>
    <xf numFmtId="0" fontId="29" fillId="3" borderId="1" xfId="44" applyFont="1" applyFill="1" applyBorder="1" applyAlignment="1" applyProtection="1">
      <alignment horizontal="center" vertical="center"/>
    </xf>
    <xf numFmtId="0" fontId="20" fillId="0" borderId="0" xfId="6" applyFont="1" applyFill="1" applyBorder="1" applyAlignment="1" applyProtection="1">
      <alignment horizontal="center" vertical="center"/>
    </xf>
    <xf numFmtId="0" fontId="29" fillId="2" borderId="0" xfId="0" applyFont="1" applyFill="1" applyBorder="1" applyAlignment="1">
      <alignment horizontal="center" vertical="center"/>
    </xf>
    <xf numFmtId="0" fontId="46" fillId="2" borderId="1" xfId="0" applyFont="1" applyFill="1" applyBorder="1" applyAlignment="1">
      <alignment horizontal="center" vertical="center" wrapText="1"/>
    </xf>
    <xf numFmtId="0" fontId="46" fillId="0" borderId="1" xfId="0" applyFont="1" applyBorder="1" applyAlignment="1">
      <alignment horizontal="center" wrapText="1"/>
    </xf>
    <xf numFmtId="182" fontId="45" fillId="0" borderId="1" xfId="5" applyFont="1" applyBorder="1" applyAlignment="1">
      <alignment horizontal="center" wrapText="1"/>
    </xf>
    <xf numFmtId="0" fontId="45" fillId="0" borderId="1" xfId="0" applyFont="1" applyBorder="1" applyAlignment="1">
      <alignment horizontal="center" wrapText="1"/>
    </xf>
    <xf numFmtId="182" fontId="2" fillId="0" borderId="1" xfId="5" applyFont="1" applyBorder="1" applyAlignment="1">
      <alignment horizontal="center" wrapText="1"/>
    </xf>
    <xf numFmtId="182" fontId="45" fillId="3" borderId="1" xfId="5" applyFont="1" applyFill="1" applyBorder="1" applyAlignment="1">
      <alignment horizontal="center" wrapText="1"/>
    </xf>
    <xf numFmtId="182" fontId="2" fillId="0" borderId="1" xfId="5" applyFont="1" applyBorder="1" applyAlignment="1" applyProtection="1">
      <alignment horizontal="center"/>
      <protection locked="0"/>
    </xf>
    <xf numFmtId="182" fontId="2" fillId="0" borderId="0" xfId="5" applyFont="1" applyBorder="1" applyAlignment="1" applyProtection="1">
      <alignment horizontal="center"/>
      <protection locked="0"/>
    </xf>
    <xf numFmtId="182" fontId="45" fillId="0" borderId="0" xfId="5" applyFont="1" applyBorder="1" applyAlignment="1">
      <alignment horizontal="center" wrapText="1"/>
    </xf>
    <xf numFmtId="0" fontId="25" fillId="0" borderId="0" xfId="0" applyFont="1" applyFill="1" applyBorder="1" applyAlignment="1">
      <alignment horizontal="center" wrapText="1"/>
    </xf>
    <xf numFmtId="0" fontId="45" fillId="0" borderId="0" xfId="0" applyFont="1" applyBorder="1" applyAlignment="1">
      <alignment horizontal="center" wrapText="1"/>
    </xf>
    <xf numFmtId="0" fontId="46" fillId="2" borderId="1" xfId="0" applyFont="1" applyFill="1" applyBorder="1" applyAlignment="1">
      <alignment horizontal="center" wrapText="1"/>
    </xf>
    <xf numFmtId="0" fontId="47" fillId="0" borderId="0" xfId="0" applyFont="1" applyBorder="1" applyAlignment="1">
      <alignment horizontal="left" vertical="center"/>
    </xf>
    <xf numFmtId="0" fontId="2" fillId="0" borderId="0" xfId="41" applyFont="1" applyFill="1" applyBorder="1" applyAlignment="1">
      <alignment horizontal="center"/>
      <protection locked="0"/>
    </xf>
    <xf numFmtId="182" fontId="45" fillId="3" borderId="1" xfId="5" applyFont="1" applyFill="1" applyBorder="1" applyAlignment="1">
      <alignment horizontal="center" vertical="center" wrapText="1"/>
    </xf>
    <xf numFmtId="182" fontId="31" fillId="3" borderId="0" xfId="5" applyFont="1" applyFill="1" applyBorder="1" applyAlignment="1">
      <alignment horizontal="center" wrapText="1"/>
    </xf>
    <xf numFmtId="0" fontId="2" fillId="0" borderId="1" xfId="45" applyFont="1" applyBorder="1" applyAlignment="1">
      <alignment horizontal="center"/>
      <protection locked="0"/>
    </xf>
    <xf numFmtId="0" fontId="35" fillId="0" borderId="1" xfId="0" applyFont="1" applyBorder="1" applyAlignment="1" applyProtection="1">
      <alignment horizontal="center" vertical="center"/>
    </xf>
    <xf numFmtId="0" fontId="35" fillId="0" borderId="1" xfId="0" applyFont="1" applyBorder="1" applyAlignment="1" applyProtection="1">
      <alignment horizontal="center" vertical="center" wrapText="1"/>
    </xf>
    <xf numFmtId="182" fontId="35" fillId="0" borderId="1" xfId="5" applyFont="1" applyBorder="1" applyAlignment="1" applyProtection="1">
      <alignment horizontal="center" vertical="center" wrapText="1"/>
    </xf>
    <xf numFmtId="0" fontId="23" fillId="0" borderId="1" xfId="0" applyFont="1" applyBorder="1" applyAlignment="1" applyProtection="1">
      <alignment horizontal="center" vertical="center" wrapText="1"/>
    </xf>
    <xf numFmtId="182" fontId="23" fillId="0" borderId="1" xfId="5" applyFont="1" applyBorder="1" applyAlignment="1" applyProtection="1">
      <alignment horizontal="center" vertical="center" wrapText="1"/>
    </xf>
    <xf numFmtId="0" fontId="3" fillId="0" borderId="0" xfId="41" applyFont="1" applyFill="1" applyBorder="1" applyAlignment="1">
      <alignment horizontal="center"/>
      <protection locked="0"/>
    </xf>
    <xf numFmtId="0" fontId="36" fillId="0" borderId="0" xfId="0" applyFont="1" applyFill="1" applyBorder="1" applyAlignment="1" applyProtection="1">
      <alignment horizontal="center" vertical="center"/>
    </xf>
    <xf numFmtId="0" fontId="35" fillId="0" borderId="0" xfId="0" applyFont="1" applyFill="1" applyBorder="1" applyAlignment="1" applyProtection="1">
      <alignment horizontal="center" vertical="center"/>
    </xf>
    <xf numFmtId="0" fontId="22" fillId="2" borderId="1" xfId="0" applyFont="1" applyFill="1" applyBorder="1" applyAlignment="1" applyProtection="1">
      <alignment horizontal="center" vertical="center" wrapText="1"/>
    </xf>
    <xf numFmtId="0" fontId="36" fillId="2" borderId="1" xfId="0" applyFont="1" applyFill="1" applyBorder="1" applyAlignment="1" applyProtection="1">
      <alignment horizontal="center" vertical="center" wrapText="1"/>
    </xf>
    <xf numFmtId="182" fontId="23" fillId="3" borderId="1" xfId="5" applyFont="1" applyFill="1" applyBorder="1" applyAlignment="1" applyProtection="1">
      <alignment horizontal="center" vertical="center" wrapText="1"/>
    </xf>
    <xf numFmtId="0" fontId="35" fillId="0" borderId="0" xfId="0" applyFont="1" applyBorder="1" applyAlignment="1" applyProtection="1">
      <alignment horizontal="center" vertical="center"/>
    </xf>
    <xf numFmtId="182" fontId="35" fillId="3" borderId="1" xfId="5" applyFont="1" applyFill="1" applyBorder="1" applyAlignment="1" applyProtection="1">
      <alignment horizontal="center" vertical="center" wrapText="1"/>
    </xf>
    <xf numFmtId="0" fontId="23" fillId="0" borderId="0" xfId="0" applyFont="1" applyBorder="1" applyAlignment="1" applyProtection="1">
      <alignment horizontal="center" vertical="center" wrapText="1"/>
    </xf>
    <xf numFmtId="0" fontId="35" fillId="0" borderId="0" xfId="0" applyFont="1" applyBorder="1" applyAlignment="1" applyProtection="1">
      <alignment horizontal="center" vertical="center" wrapText="1"/>
    </xf>
    <xf numFmtId="0" fontId="7" fillId="0" borderId="0" xfId="0" applyFont="1" applyBorder="1" applyAlignment="1">
      <alignment horizontal="left" vertical="center"/>
    </xf>
    <xf numFmtId="0" fontId="48" fillId="0" borderId="1" xfId="0" applyFont="1" applyBorder="1" applyAlignment="1" applyProtection="1">
      <alignment horizontal="center" vertical="center" wrapText="1"/>
    </xf>
    <xf numFmtId="182" fontId="26" fillId="0" borderId="1" xfId="5" applyFont="1" applyBorder="1" applyAlignment="1" applyProtection="1">
      <alignment horizontal="center" vertical="center" wrapText="1"/>
    </xf>
    <xf numFmtId="10" fontId="35" fillId="3" borderId="1" xfId="7" applyNumberFormat="1" applyFont="1" applyFill="1" applyBorder="1" applyAlignment="1" applyProtection="1">
      <alignment horizontal="right" vertical="center" wrapText="1"/>
    </xf>
    <xf numFmtId="0" fontId="7" fillId="2" borderId="1" xfId="0" applyFont="1" applyFill="1" applyBorder="1" applyAlignment="1" applyProtection="1">
      <alignment horizontal="center" vertical="center" wrapText="1"/>
    </xf>
    <xf numFmtId="0" fontId="49" fillId="0" borderId="1" xfId="0" applyFont="1" applyBorder="1" applyAlignment="1" applyProtection="1">
      <alignment horizontal="center" vertical="center" wrapText="1"/>
    </xf>
    <xf numFmtId="0" fontId="50" fillId="0" borderId="1" xfId="0" applyFont="1" applyBorder="1" applyAlignment="1" applyProtection="1">
      <alignment horizontal="center" vertical="center" wrapText="1"/>
    </xf>
    <xf numFmtId="0" fontId="40" fillId="0" borderId="1" xfId="0" applyFont="1" applyBorder="1" applyAlignment="1" applyProtection="1">
      <alignment horizontal="center" vertical="center" wrapText="1"/>
    </xf>
    <xf numFmtId="0" fontId="7" fillId="2" borderId="1" xfId="41" applyFont="1" applyFill="1" applyBorder="1" applyAlignment="1">
      <alignment horizontal="center"/>
      <protection locked="0"/>
    </xf>
    <xf numFmtId="0" fontId="34" fillId="0" borderId="1" xfId="0" applyFont="1" applyBorder="1" applyAlignment="1">
      <alignment horizontal="left" vertical="center"/>
    </xf>
    <xf numFmtId="0" fontId="3" fillId="0" borderId="0" xfId="45" applyFont="1" applyFill="1" applyBorder="1" applyAlignment="1">
      <alignment horizontal="center"/>
      <protection locked="0"/>
    </xf>
    <xf numFmtId="0" fontId="3" fillId="0" borderId="0" xfId="45" applyFont="1" applyBorder="1" applyAlignment="1">
      <alignment horizontal="center"/>
      <protection locked="0"/>
    </xf>
    <xf numFmtId="0" fontId="7" fillId="0" borderId="0" xfId="45" applyFont="1" applyFill="1" applyBorder="1" applyAlignment="1">
      <alignment horizontal="center"/>
      <protection locked="0"/>
    </xf>
    <xf numFmtId="0" fontId="22" fillId="0" borderId="1" xfId="0" applyFont="1" applyBorder="1" applyAlignment="1" applyProtection="1">
      <alignment horizontal="left" vertical="center" wrapText="1"/>
    </xf>
    <xf numFmtId="0" fontId="23" fillId="0" borderId="1" xfId="0" applyFont="1" applyBorder="1" applyAlignment="1" applyProtection="1">
      <alignment horizontal="left" vertical="center" wrapText="1"/>
    </xf>
    <xf numFmtId="0" fontId="8" fillId="0" borderId="1" xfId="0" applyFont="1" applyFill="1" applyBorder="1" applyAlignment="1">
      <alignment horizontal="left" wrapText="1"/>
    </xf>
    <xf numFmtId="0" fontId="26" fillId="0" borderId="1" xfId="0" applyFont="1" applyBorder="1" applyAlignment="1" applyProtection="1">
      <alignment horizontal="center" vertical="center" wrapText="1"/>
    </xf>
    <xf numFmtId="0" fontId="22" fillId="0" borderId="0" xfId="0" applyFont="1" applyBorder="1" applyAlignment="1" applyProtection="1">
      <alignment horizontal="center" vertical="center" wrapText="1"/>
    </xf>
    <xf numFmtId="0" fontId="36" fillId="0" borderId="0" xfId="0" applyFont="1" applyBorder="1" applyAlignment="1" applyProtection="1">
      <alignment horizontal="center" vertical="center" wrapText="1"/>
    </xf>
    <xf numFmtId="0" fontId="7" fillId="0" borderId="0" xfId="45" applyFont="1" applyBorder="1" applyAlignment="1">
      <alignment horizontal="center"/>
      <protection locked="0"/>
    </xf>
    <xf numFmtId="0" fontId="5" fillId="2" borderId="10" xfId="0" applyFont="1" applyFill="1" applyBorder="1" applyAlignment="1">
      <alignment horizontal="center" vertical="center"/>
    </xf>
    <xf numFmtId="0" fontId="7" fillId="0" borderId="1" xfId="0" applyFont="1" applyFill="1" applyBorder="1" applyAlignment="1">
      <alignment horizontal="left" vertical="center"/>
    </xf>
    <xf numFmtId="0" fontId="36" fillId="0" borderId="1" xfId="0" applyFont="1" applyFill="1" applyBorder="1" applyAlignment="1" applyProtection="1">
      <alignment horizontal="center" vertical="center"/>
    </xf>
    <xf numFmtId="0" fontId="36" fillId="2" borderId="1" xfId="0" applyFont="1" applyFill="1" applyBorder="1" applyAlignment="1" applyProtection="1">
      <alignment horizontal="center" vertical="center"/>
    </xf>
    <xf numFmtId="0" fontId="7" fillId="2" borderId="0" xfId="45" applyFont="1" applyFill="1" applyBorder="1" applyAlignment="1">
      <alignment horizontal="center"/>
      <protection locked="0"/>
    </xf>
    <xf numFmtId="0" fontId="35" fillId="0" borderId="1" xfId="0" applyFont="1" applyBorder="1" applyAlignment="1" applyProtection="1">
      <alignment horizontal="left" vertical="center"/>
    </xf>
    <xf numFmtId="0" fontId="26" fillId="0" borderId="1" xfId="0" applyFont="1" applyBorder="1" applyAlignment="1" applyProtection="1">
      <alignment horizontal="left" vertical="center"/>
    </xf>
    <xf numFmtId="0" fontId="36" fillId="0" borderId="1" xfId="0" applyFont="1" applyBorder="1" applyAlignment="1" applyProtection="1">
      <alignment horizontal="left" vertical="center"/>
    </xf>
    <xf numFmtId="0" fontId="22" fillId="2" borderId="1" xfId="0" applyFont="1" applyFill="1" applyBorder="1" applyAlignment="1" applyProtection="1">
      <alignment horizontal="center" vertical="center"/>
    </xf>
    <xf numFmtId="0" fontId="22" fillId="0" borderId="1" xfId="0" applyFont="1" applyBorder="1" applyAlignment="1" applyProtection="1">
      <alignment horizontal="left" vertical="center"/>
    </xf>
    <xf numFmtId="0" fontId="23" fillId="0" borderId="1" xfId="0" applyFont="1" applyBorder="1" applyAlignment="1" applyProtection="1">
      <alignment horizontal="left" vertical="center"/>
    </xf>
    <xf numFmtId="0" fontId="23" fillId="0" borderId="0" xfId="0" applyFont="1" applyBorder="1" applyAlignment="1" applyProtection="1">
      <alignment horizontal="center" vertical="center"/>
    </xf>
    <xf numFmtId="0" fontId="26" fillId="0" borderId="1" xfId="0" applyFont="1" applyBorder="1" applyAlignment="1" applyProtection="1">
      <alignment horizontal="center" vertical="center"/>
    </xf>
    <xf numFmtId="0" fontId="26" fillId="0" borderId="1" xfId="0" applyFont="1" applyBorder="1" applyAlignment="1">
      <alignment horizontal="center" wrapText="1"/>
    </xf>
    <xf numFmtId="0" fontId="23" fillId="0" borderId="0" xfId="0" applyFont="1" applyBorder="1" applyAlignment="1">
      <alignment horizontal="center"/>
    </xf>
    <xf numFmtId="0" fontId="34" fillId="0" borderId="0" xfId="0" applyFont="1" applyBorder="1" applyAlignment="1">
      <alignment horizontal="left"/>
    </xf>
    <xf numFmtId="0" fontId="5" fillId="0" borderId="4" xfId="0" applyFont="1" applyBorder="1" applyAlignment="1">
      <alignment horizontal="center"/>
    </xf>
    <xf numFmtId="0" fontId="5" fillId="0" borderId="6" xfId="0" applyFont="1" applyBorder="1" applyAlignment="1">
      <alignment horizontal="center"/>
    </xf>
    <xf numFmtId="0" fontId="7" fillId="0" borderId="1" xfId="0" applyFont="1" applyFill="1" applyBorder="1" applyAlignment="1">
      <alignment horizontal="center"/>
    </xf>
    <xf numFmtId="0" fontId="34" fillId="0" borderId="1" xfId="0" applyFont="1" applyBorder="1" applyAlignment="1">
      <alignment horizontal="center"/>
    </xf>
    <xf numFmtId="0" fontId="1" fillId="0" borderId="0" xfId="0" applyFont="1" applyFill="1" applyBorder="1" applyAlignment="1">
      <alignment horizontal="center"/>
    </xf>
    <xf numFmtId="0" fontId="3" fillId="2" borderId="0" xfId="41" applyFont="1" applyFill="1" applyBorder="1" applyAlignment="1">
      <alignment horizontal="center" vertical="center"/>
      <protection locked="0"/>
    </xf>
    <xf numFmtId="0" fontId="1" fillId="0" borderId="0" xfId="0" applyFont="1" applyBorder="1" applyAlignment="1">
      <alignment horizontal="center"/>
    </xf>
    <xf numFmtId="0" fontId="5" fillId="0" borderId="0" xfId="0" applyFont="1" applyFill="1" applyBorder="1" applyAlignment="1">
      <alignment horizontal="center"/>
    </xf>
    <xf numFmtId="182" fontId="35" fillId="3" borderId="1" xfId="5" applyFont="1" applyFill="1" applyBorder="1" applyAlignment="1">
      <alignment horizontal="right" vertical="center" wrapText="1"/>
    </xf>
    <xf numFmtId="182" fontId="26" fillId="0" borderId="1" xfId="5" applyFont="1" applyBorder="1" applyAlignment="1">
      <alignment horizontal="center" vertical="center" wrapText="1"/>
    </xf>
    <xf numFmtId="0" fontId="23" fillId="3" borderId="1" xfId="0" applyFont="1" applyFill="1" applyBorder="1" applyAlignment="1">
      <alignment horizontal="center" vertical="center" wrapText="1"/>
    </xf>
    <xf numFmtId="0" fontId="8" fillId="3" borderId="1" xfId="0" applyFont="1" applyFill="1" applyBorder="1" applyAlignment="1">
      <alignment horizontal="center" wrapText="1"/>
    </xf>
    <xf numFmtId="0" fontId="22" fillId="0" borderId="0" xfId="0" applyFont="1" applyBorder="1" applyAlignment="1">
      <alignment horizontal="center" vertical="center" wrapText="1"/>
    </xf>
    <xf numFmtId="0" fontId="37" fillId="0" borderId="0" xfId="0" applyFont="1" applyFill="1" applyBorder="1" applyAlignment="1">
      <alignment horizontal="center"/>
    </xf>
    <xf numFmtId="0" fontId="34" fillId="0" borderId="0" xfId="0" applyFont="1" applyBorder="1" applyAlignment="1">
      <alignment horizontal="center"/>
    </xf>
    <xf numFmtId="0" fontId="53" fillId="2" borderId="1" xfId="0" applyFont="1" applyFill="1" applyBorder="1" applyAlignment="1">
      <alignment horizontal="center" vertical="center" wrapText="1"/>
    </xf>
    <xf numFmtId="0" fontId="43"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6" fillId="0" borderId="0" xfId="6" applyFont="1" applyBorder="1" applyAlignment="1" applyProtection="1">
      <alignment horizontal="center"/>
    </xf>
    <xf numFmtId="0" fontId="33" fillId="2" borderId="1" xfId="0" applyFont="1" applyFill="1" applyBorder="1" applyAlignment="1">
      <alignment horizontal="center" wrapText="1"/>
    </xf>
    <xf numFmtId="0" fontId="31" fillId="0" borderId="0" xfId="0" applyFont="1" applyFill="1" applyBorder="1" applyAlignment="1">
      <alignment horizontal="center" wrapText="1"/>
    </xf>
    <xf numFmtId="0" fontId="8" fillId="0" borderId="1" xfId="0" applyFont="1" applyBorder="1" applyAlignment="1">
      <alignment horizontal="center" wrapText="1"/>
    </xf>
    <xf numFmtId="0" fontId="2" fillId="0" borderId="0" xfId="0" applyFont="1" applyFill="1" applyBorder="1" applyAlignment="1">
      <alignment horizontal="center" wrapText="1"/>
    </xf>
    <xf numFmtId="10" fontId="2" fillId="0" borderId="0" xfId="0" applyNumberFormat="1" applyFont="1" applyFill="1" applyBorder="1" applyAlignment="1">
      <alignment horizontal="center"/>
    </xf>
    <xf numFmtId="182" fontId="3" fillId="3" borderId="1" xfId="5" applyFont="1" applyFill="1" applyBorder="1" applyAlignment="1">
      <alignment horizontal="center"/>
    </xf>
    <xf numFmtId="0" fontId="40" fillId="0" borderId="1" xfId="0" applyFont="1" applyBorder="1" applyAlignment="1">
      <alignment horizontal="center" vertical="center" wrapText="1"/>
    </xf>
    <xf numFmtId="0" fontId="28" fillId="0" borderId="0" xfId="0" applyFont="1" applyBorder="1" applyAlignment="1">
      <alignment horizontal="center" vertical="center"/>
    </xf>
    <xf numFmtId="0" fontId="3" fillId="0" borderId="1" xfId="0" applyFont="1" applyBorder="1" applyAlignment="1">
      <alignment horizontal="center" vertical="top" wrapText="1"/>
    </xf>
    <xf numFmtId="0" fontId="13" fillId="0" borderId="1" xfId="0" applyFont="1" applyBorder="1" applyAlignment="1">
      <alignment horizontal="center" vertical="top" wrapText="1"/>
    </xf>
    <xf numFmtId="0" fontId="26" fillId="0" borderId="1" xfId="0" applyFont="1" applyBorder="1" applyAlignment="1">
      <alignment horizontal="center" vertical="center"/>
    </xf>
    <xf numFmtId="0" fontId="3" fillId="0" borderId="0" xfId="0" applyFont="1" applyBorder="1" applyAlignment="1">
      <alignment horizontal="center" vertical="top" wrapText="1"/>
    </xf>
    <xf numFmtId="182" fontId="3" fillId="3" borderId="1" xfId="5" applyFont="1" applyFill="1" applyBorder="1" applyAlignment="1" applyProtection="1">
      <alignment horizontal="center" vertical="center" wrapText="1"/>
      <protection locked="0"/>
    </xf>
    <xf numFmtId="0" fontId="7" fillId="0" borderId="0" xfId="0" applyFont="1" applyFill="1" applyBorder="1" applyAlignment="1">
      <alignment horizontal="center" vertical="center" wrapText="1"/>
    </xf>
    <xf numFmtId="0" fontId="3" fillId="0" borderId="0" xfId="0" applyFont="1" applyFill="1" applyBorder="1" applyAlignment="1">
      <alignment horizontal="left" vertical="center"/>
    </xf>
    <xf numFmtId="10" fontId="3" fillId="3" borderId="1" xfId="7" applyNumberFormat="1" applyFont="1" applyFill="1" applyBorder="1" applyAlignment="1">
      <alignment horizontal="right" wrapText="1"/>
    </xf>
    <xf numFmtId="0" fontId="3" fillId="2" borderId="1" xfId="0" applyFont="1" applyFill="1" applyBorder="1" applyAlignment="1">
      <alignment horizontal="center" wrapText="1"/>
    </xf>
    <xf numFmtId="0" fontId="38" fillId="0" borderId="1" xfId="0" applyFont="1" applyBorder="1" applyAlignment="1">
      <alignment horizontal="center" wrapText="1"/>
    </xf>
    <xf numFmtId="0" fontId="54" fillId="0" borderId="0" xfId="0" applyFont="1" applyFill="1" applyBorder="1" applyAlignment="1">
      <alignment horizontal="center" vertical="center"/>
    </xf>
    <xf numFmtId="0" fontId="3" fillId="0" borderId="0" xfId="0" applyFont="1" applyFill="1" applyBorder="1" applyAlignment="1">
      <alignment horizontal="center" wrapText="1"/>
    </xf>
    <xf numFmtId="10" fontId="3" fillId="0" borderId="0" xfId="0" applyNumberFormat="1" applyFont="1" applyFill="1" applyBorder="1" applyAlignment="1">
      <alignment horizontal="center"/>
    </xf>
    <xf numFmtId="0" fontId="3" fillId="0" borderId="0" xfId="0" applyFont="1" applyBorder="1" applyAlignment="1">
      <alignment horizontal="center" wrapText="1"/>
    </xf>
    <xf numFmtId="0" fontId="8" fillId="0" borderId="0" xfId="0" applyFont="1" applyBorder="1" applyAlignment="1">
      <alignment horizontal="center" wrapText="1"/>
    </xf>
    <xf numFmtId="0" fontId="8" fillId="0" borderId="0" xfId="0" applyFont="1" applyFill="1" applyBorder="1" applyAlignment="1">
      <alignment horizontal="left" vertical="center"/>
    </xf>
    <xf numFmtId="182" fontId="26" fillId="0" borderId="1" xfId="5" applyFont="1" applyBorder="1" applyAlignment="1">
      <alignment horizontal="center" wrapText="1"/>
    </xf>
    <xf numFmtId="182" fontId="8" fillId="0" borderId="1" xfId="5" applyFont="1" applyBorder="1" applyAlignment="1">
      <alignment horizontal="right" wrapText="1"/>
    </xf>
    <xf numFmtId="0" fontId="54" fillId="0" borderId="1" xfId="0" applyFont="1" applyBorder="1" applyAlignment="1">
      <alignment horizontal="center" wrapText="1"/>
    </xf>
    <xf numFmtId="182" fontId="8" fillId="3" borderId="1" xfId="5" applyFont="1" applyFill="1" applyBorder="1" applyAlignment="1">
      <alignment horizontal="right" wrapText="1"/>
    </xf>
    <xf numFmtId="182" fontId="3" fillId="0" borderId="1" xfId="5" applyFont="1" applyBorder="1" applyAlignment="1">
      <alignment horizontal="right" wrapText="1"/>
    </xf>
    <xf numFmtId="182" fontId="26" fillId="0" borderId="1" xfId="5" applyFont="1" applyBorder="1" applyAlignment="1">
      <alignment horizontal="right" wrapText="1"/>
    </xf>
    <xf numFmtId="182" fontId="3" fillId="3" borderId="1" xfId="5" applyFont="1" applyFill="1" applyBorder="1" applyAlignment="1">
      <alignment horizontal="right" wrapText="1"/>
    </xf>
    <xf numFmtId="0" fontId="26" fillId="0" borderId="0" xfId="0" applyFont="1" applyBorder="1" applyAlignment="1">
      <alignment horizontal="left"/>
    </xf>
    <xf numFmtId="0" fontId="27" fillId="2" borderId="1" xfId="44" applyFont="1" applyFill="1" applyBorder="1" applyAlignment="1" applyProtection="1">
      <alignment horizontal="center" vertical="center"/>
    </xf>
    <xf numFmtId="0" fontId="27" fillId="2" borderId="1" xfId="0" applyFont="1" applyFill="1" applyBorder="1" applyAlignment="1">
      <alignment horizontal="center" vertical="center" wrapText="1"/>
    </xf>
    <xf numFmtId="0" fontId="7" fillId="6" borderId="1" xfId="0" applyFont="1" applyFill="1" applyBorder="1" applyAlignment="1">
      <alignment horizontal="center" vertical="center"/>
    </xf>
    <xf numFmtId="182" fontId="3" fillId="0" borderId="1" xfId="5" applyFont="1" applyBorder="1" applyAlignment="1">
      <alignment horizontal="right" vertical="center" wrapText="1"/>
    </xf>
    <xf numFmtId="10" fontId="3" fillId="0" borderId="1" xfId="7" applyNumberFormat="1" applyFont="1" applyBorder="1" applyAlignment="1">
      <alignment horizontal="right" vertical="center" wrapText="1"/>
    </xf>
    <xf numFmtId="182" fontId="3" fillId="3" borderId="1" xfId="5" applyFont="1" applyFill="1" applyBorder="1" applyAlignment="1">
      <alignment horizontal="right" vertical="center" wrapText="1"/>
    </xf>
    <xf numFmtId="10" fontId="3" fillId="3" borderId="1" xfId="7" applyNumberFormat="1" applyFont="1" applyFill="1" applyBorder="1" applyAlignment="1">
      <alignment horizontal="right" vertical="center" wrapText="1"/>
    </xf>
    <xf numFmtId="10" fontId="2" fillId="0" borderId="0" xfId="0" applyNumberFormat="1" applyFont="1" applyBorder="1" applyAlignment="1">
      <alignment horizontal="center" vertical="center"/>
    </xf>
    <xf numFmtId="182" fontId="8" fillId="3" borderId="1" xfId="5" applyFont="1" applyFill="1" applyBorder="1" applyAlignment="1">
      <alignment horizontal="right" vertical="center" wrapText="1"/>
    </xf>
    <xf numFmtId="10" fontId="8" fillId="0" borderId="1" xfId="7" applyNumberFormat="1" applyFont="1" applyFill="1" applyBorder="1" applyAlignment="1">
      <alignment horizontal="right" vertical="center" wrapText="1"/>
    </xf>
    <xf numFmtId="0" fontId="7" fillId="0" borderId="1"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1" fillId="0" borderId="4" xfId="0" applyFont="1" applyFill="1" applyBorder="1" applyAlignment="1">
      <alignment horizontal="center" vertical="center"/>
    </xf>
    <xf numFmtId="0" fontId="55" fillId="0" borderId="0" xfId="6" applyFont="1" applyFill="1" applyBorder="1" applyAlignment="1" applyProtection="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4" xfId="0" applyFont="1" applyFill="1" applyBorder="1" applyAlignment="1">
      <alignment horizontal="center" vertical="center" wrapText="1"/>
    </xf>
    <xf numFmtId="182" fontId="3" fillId="0" borderId="1" xfId="5" applyFont="1" applyFill="1" applyBorder="1" applyAlignment="1">
      <alignment horizontal="right"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xf>
    <xf numFmtId="182" fontId="8" fillId="0" borderId="1" xfId="5" applyFont="1" applyFill="1" applyBorder="1" applyAlignment="1">
      <alignment horizontal="right" vertical="center" wrapText="1"/>
    </xf>
    <xf numFmtId="0" fontId="8" fillId="0" borderId="4" xfId="0" applyFont="1" applyFill="1" applyBorder="1" applyAlignment="1">
      <alignment horizontal="center" vertical="center" wrapText="1"/>
    </xf>
    <xf numFmtId="0" fontId="3" fillId="0" borderId="4" xfId="0" applyFont="1" applyFill="1" applyBorder="1" applyAlignment="1">
      <alignment horizontal="center" vertical="center"/>
    </xf>
    <xf numFmtId="0" fontId="10" fillId="0" borderId="4"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7" fillId="0" borderId="7" xfId="0" applyFont="1" applyFill="1" applyBorder="1" applyAlignment="1">
      <alignment horizontal="left" vertical="center"/>
    </xf>
    <xf numFmtId="0" fontId="3" fillId="0" borderId="7" xfId="0" applyFont="1" applyFill="1" applyBorder="1" applyAlignment="1">
      <alignment horizontal="center" vertical="center"/>
    </xf>
    <xf numFmtId="9" fontId="3" fillId="0" borderId="1" xfId="7" applyFont="1" applyBorder="1" applyAlignment="1">
      <alignment horizontal="right" wrapText="1"/>
    </xf>
    <xf numFmtId="182" fontId="3" fillId="3" borderId="1" xfId="5" applyFont="1" applyFill="1" applyBorder="1" applyAlignment="1">
      <alignment horizontal="right" vertical="center"/>
    </xf>
    <xf numFmtId="9" fontId="3" fillId="0" borderId="1" xfId="7" applyFont="1" applyFill="1" applyBorder="1" applyAlignment="1">
      <alignment horizontal="right" vertical="center"/>
    </xf>
    <xf numFmtId="0" fontId="10" fillId="0" borderId="4" xfId="0" applyFont="1" applyFill="1" applyBorder="1" applyAlignment="1">
      <alignment horizontal="center" vertical="center"/>
    </xf>
    <xf numFmtId="0" fontId="3" fillId="0" borderId="2" xfId="0" applyFont="1" applyFill="1" applyBorder="1" applyAlignment="1">
      <alignment horizontal="center" vertical="center"/>
    </xf>
    <xf numFmtId="0" fontId="4" fillId="0" borderId="2" xfId="0" applyFont="1" applyFill="1" applyBorder="1" applyAlignment="1">
      <alignment horizontal="center" vertical="center"/>
    </xf>
    <xf numFmtId="0" fontId="35" fillId="0" borderId="1" xfId="0" applyFont="1" applyFill="1" applyBorder="1" applyAlignment="1">
      <alignment horizontal="center" vertical="center" wrapText="1"/>
    </xf>
    <xf numFmtId="0" fontId="3" fillId="0" borderId="1" xfId="0" applyFont="1" applyFill="1" applyBorder="1" applyAlignment="1">
      <alignment horizontal="left" vertical="center"/>
    </xf>
    <xf numFmtId="0" fontId="3" fillId="0" borderId="6"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0" borderId="15" xfId="0" applyFont="1" applyFill="1" applyBorder="1" applyAlignment="1">
      <alignment horizontal="center" vertical="center"/>
    </xf>
    <xf numFmtId="0" fontId="7" fillId="2" borderId="11" xfId="0" applyFont="1" applyFill="1" applyBorder="1" applyAlignment="1">
      <alignment horizontal="center" vertical="center" wrapText="1"/>
    </xf>
    <xf numFmtId="0" fontId="3" fillId="3" borderId="1" xfId="0" applyFont="1" applyFill="1" applyBorder="1" applyAlignment="1">
      <alignment horizontal="center" wrapText="1"/>
    </xf>
    <xf numFmtId="0" fontId="3" fillId="0" borderId="10" xfId="0" applyFont="1" applyBorder="1" applyAlignment="1">
      <alignment horizontal="center" wrapText="1"/>
    </xf>
    <xf numFmtId="0" fontId="3" fillId="3" borderId="10" xfId="0" applyFont="1" applyFill="1" applyBorder="1" applyAlignment="1">
      <alignment horizontal="center" wrapText="1"/>
    </xf>
    <xf numFmtId="0" fontId="3" fillId="0" borderId="2" xfId="0" applyFont="1" applyBorder="1" applyAlignment="1">
      <alignment horizontal="left"/>
    </xf>
    <xf numFmtId="0" fontId="3" fillId="0" borderId="8" xfId="0" applyFont="1" applyFill="1" applyBorder="1" applyAlignment="1">
      <alignment horizontal="center" vertical="center"/>
    </xf>
    <xf numFmtId="0" fontId="2" fillId="0" borderId="4" xfId="0" applyFont="1" applyBorder="1" applyAlignment="1">
      <alignment horizontal="center" vertical="center"/>
    </xf>
    <xf numFmtId="0" fontId="2" fillId="0" borderId="4" xfId="0" applyFont="1" applyFill="1" applyBorder="1" applyAlignment="1">
      <alignment horizontal="center" vertical="center"/>
    </xf>
    <xf numFmtId="0" fontId="3"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0" borderId="4" xfId="0" applyFont="1" applyFill="1" applyBorder="1" applyAlignment="1">
      <alignment horizontal="right" vertical="center"/>
    </xf>
    <xf numFmtId="0" fontId="40" fillId="0" borderId="1" xfId="0" applyFont="1" applyFill="1" applyBorder="1" applyAlignment="1">
      <alignment horizontal="center" vertical="center" wrapText="1"/>
    </xf>
    <xf numFmtId="0" fontId="8" fillId="0" borderId="4" xfId="0" applyFont="1" applyBorder="1" applyAlignment="1">
      <alignment horizontal="center" vertical="center" wrapText="1"/>
    </xf>
    <xf numFmtId="0" fontId="3" fillId="0" borderId="1" xfId="0" applyFont="1" applyBorder="1" applyAlignment="1">
      <alignment horizontal="left" vertical="center"/>
    </xf>
    <xf numFmtId="0" fontId="25" fillId="0" borderId="5"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3" fillId="0" borderId="1" xfId="0" applyFont="1" applyBorder="1" applyAlignment="1">
      <alignment horizontal="right" vertical="center"/>
    </xf>
    <xf numFmtId="0" fontId="55" fillId="0" borderId="1" xfId="6" applyFont="1" applyBorder="1" applyAlignment="1" applyProtection="1">
      <alignment horizontal="center" vertical="center"/>
    </xf>
    <xf numFmtId="0" fontId="5" fillId="2" borderId="1" xfId="44" applyFont="1" applyFill="1" applyBorder="1" applyAlignment="1" applyProtection="1">
      <alignment horizontal="left" vertical="center"/>
    </xf>
    <xf numFmtId="0" fontId="2" fillId="0" borderId="1" xfId="44" applyFont="1" applyFill="1" applyBorder="1" applyAlignment="1" applyProtection="1">
      <alignment horizontal="center" vertical="center"/>
    </xf>
    <xf numFmtId="182" fontId="8" fillId="0" borderId="1" xfId="5" applyFont="1" applyBorder="1" applyAlignment="1">
      <alignment horizontal="right" vertical="center" wrapText="1"/>
    </xf>
    <xf numFmtId="0" fontId="6" fillId="0" borderId="5" xfId="6" applyFont="1" applyFill="1" applyBorder="1" applyAlignment="1" applyProtection="1">
      <alignment horizontal="center" vertical="center"/>
    </xf>
    <xf numFmtId="182" fontId="3" fillId="0" borderId="4" xfId="5" applyFont="1" applyFill="1" applyBorder="1" applyAlignment="1">
      <alignment horizontal="center" vertical="center"/>
    </xf>
    <xf numFmtId="0" fontId="10" fillId="0" borderId="7" xfId="0" applyFont="1" applyFill="1" applyBorder="1" applyAlignment="1">
      <alignment horizontal="center" vertical="center" wrapText="1"/>
    </xf>
    <xf numFmtId="9" fontId="3" fillId="0" borderId="1" xfId="7" applyFont="1" applyBorder="1" applyAlignment="1">
      <alignment horizontal="right" vertical="center" wrapText="1"/>
    </xf>
    <xf numFmtId="0" fontId="3" fillId="0" borderId="10" xfId="0" applyFont="1" applyBorder="1" applyAlignment="1">
      <alignment horizontal="center" vertical="center"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182" fontId="3" fillId="0" borderId="4" xfId="5" applyFont="1" applyBorder="1" applyAlignment="1">
      <alignment horizontal="right" vertical="center"/>
    </xf>
    <xf numFmtId="182" fontId="3" fillId="0" borderId="0" xfId="5" applyFont="1" applyBorder="1" applyAlignment="1">
      <alignment horizontal="right" vertical="center"/>
    </xf>
    <xf numFmtId="182" fontId="3" fillId="0" borderId="6" xfId="5" applyFont="1" applyBorder="1" applyAlignment="1">
      <alignment horizontal="right" vertical="center"/>
    </xf>
    <xf numFmtId="182" fontId="3" fillId="0" borderId="7" xfId="5" applyFont="1" applyBorder="1" applyAlignment="1">
      <alignment horizontal="right" vertical="center"/>
    </xf>
    <xf numFmtId="182" fontId="2" fillId="0" borderId="1" xfId="5" applyFont="1" applyFill="1" applyBorder="1" applyAlignment="1">
      <alignment horizontal="center"/>
    </xf>
    <xf numFmtId="182" fontId="3" fillId="0" borderId="1" xfId="5" applyFont="1" applyFill="1" applyBorder="1" applyAlignment="1">
      <alignment horizontal="center"/>
    </xf>
    <xf numFmtId="182" fontId="29" fillId="0" borderId="4" xfId="5" applyFont="1" applyFill="1" applyBorder="1" applyAlignment="1">
      <alignment horizontal="center"/>
    </xf>
    <xf numFmtId="182" fontId="29" fillId="0" borderId="0" xfId="5" applyFont="1" applyFill="1" applyBorder="1" applyAlignment="1">
      <alignment horizontal="center"/>
    </xf>
    <xf numFmtId="0" fontId="30" fillId="0" borderId="0" xfId="6" applyFont="1" applyBorder="1" applyAlignment="1" applyProtection="1">
      <alignment horizontal="center"/>
    </xf>
    <xf numFmtId="182" fontId="29" fillId="0" borderId="7" xfId="5" applyFont="1" applyFill="1" applyBorder="1" applyAlignment="1">
      <alignment horizontal="center"/>
    </xf>
    <xf numFmtId="182" fontId="7" fillId="2" borderId="1" xfId="5" applyFont="1" applyFill="1" applyBorder="1" applyAlignment="1">
      <alignment horizontal="center" vertical="center" wrapText="1"/>
    </xf>
    <xf numFmtId="182" fontId="7" fillId="0" borderId="1" xfId="5" applyFont="1" applyFill="1" applyBorder="1" applyAlignment="1">
      <alignment horizontal="center"/>
    </xf>
    <xf numFmtId="182" fontId="2" fillId="0" borderId="5" xfId="5" applyFont="1" applyFill="1" applyBorder="1" applyAlignment="1">
      <alignment horizontal="center"/>
    </xf>
    <xf numFmtId="182" fontId="2" fillId="0" borderId="1" xfId="5" applyFont="1" applyFill="1" applyBorder="1" applyAlignment="1">
      <alignment horizontal="center" vertical="center"/>
    </xf>
    <xf numFmtId="182" fontId="5" fillId="0" borderId="4" xfId="5" applyFont="1" applyFill="1" applyBorder="1" applyAlignment="1">
      <alignment horizontal="center" vertical="center"/>
    </xf>
    <xf numFmtId="182" fontId="2" fillId="0" borderId="0" xfId="5" applyFont="1" applyFill="1" applyBorder="1" applyAlignment="1">
      <alignment horizontal="center" vertical="center"/>
    </xf>
    <xf numFmtId="0" fontId="2" fillId="0" borderId="7" xfId="0" applyFont="1" applyFill="1" applyBorder="1" applyAlignment="1">
      <alignment horizontal="center" vertical="center"/>
    </xf>
    <xf numFmtId="0" fontId="7" fillId="2" borderId="1" xfId="0" applyFont="1" applyFill="1" applyBorder="1" applyAlignment="1">
      <alignment horizontal="left" vertical="center"/>
    </xf>
    <xf numFmtId="182" fontId="3" fillId="0" borderId="1" xfId="5" applyFont="1" applyFill="1" applyBorder="1" applyAlignment="1">
      <alignment horizontal="right" vertical="center"/>
    </xf>
    <xf numFmtId="182" fontId="7" fillId="2" borderId="1" xfId="5" applyFont="1" applyFill="1" applyBorder="1" applyAlignment="1">
      <alignment horizontal="left" vertical="center"/>
    </xf>
    <xf numFmtId="182" fontId="7" fillId="2" borderId="1" xfId="5" applyFont="1" applyFill="1" applyBorder="1" applyAlignment="1">
      <alignment horizontal="center" vertical="center"/>
    </xf>
    <xf numFmtId="182" fontId="2" fillId="0" borderId="5" xfId="5" applyFont="1" applyFill="1" applyBorder="1" applyAlignment="1">
      <alignment horizontal="center" vertical="center"/>
    </xf>
    <xf numFmtId="0" fontId="12" fillId="7" borderId="1" xfId="0" applyFont="1" applyFill="1" applyBorder="1" applyAlignment="1">
      <alignment horizontal="center" vertical="center" wrapText="1"/>
    </xf>
    <xf numFmtId="182" fontId="1" fillId="0" borderId="1" xfId="5" applyFont="1" applyFill="1" applyBorder="1" applyAlignment="1">
      <alignment horizontal="center" vertical="center"/>
    </xf>
    <xf numFmtId="182" fontId="5" fillId="0" borderId="0" xfId="5" applyFont="1" applyFill="1" applyBorder="1" applyAlignment="1">
      <alignment horizontal="center" vertical="center"/>
    </xf>
    <xf numFmtId="182" fontId="1" fillId="0" borderId="5" xfId="5" applyFont="1" applyFill="1" applyBorder="1" applyAlignment="1">
      <alignment horizontal="center" vertical="center"/>
    </xf>
    <xf numFmtId="182" fontId="5" fillId="0" borderId="6" xfId="5" applyFont="1" applyFill="1" applyBorder="1" applyAlignment="1">
      <alignment horizontal="center" vertical="center"/>
    </xf>
    <xf numFmtId="182" fontId="5" fillId="0" borderId="7" xfId="5" applyFont="1" applyFill="1" applyBorder="1" applyAlignment="1">
      <alignment horizontal="center" vertical="center"/>
    </xf>
    <xf numFmtId="0" fontId="3" fillId="0" borderId="1" xfId="0" applyFont="1" applyFill="1" applyBorder="1" applyAlignment="1">
      <alignment horizontal="right" vertical="center"/>
    </xf>
    <xf numFmtId="182" fontId="1" fillId="0" borderId="1" xfId="5" applyFont="1" applyFill="1" applyBorder="1" applyAlignment="1">
      <alignment vertical="center"/>
    </xf>
    <xf numFmtId="182" fontId="3" fillId="0" borderId="1" xfId="5" applyFont="1" applyFill="1" applyBorder="1" applyAlignment="1">
      <alignment vertical="center"/>
    </xf>
    <xf numFmtId="0" fontId="2" fillId="0" borderId="1" xfId="0" applyFont="1" applyFill="1" applyBorder="1" applyAlignment="1">
      <alignment vertical="center"/>
    </xf>
    <xf numFmtId="0" fontId="5" fillId="2" borderId="1" xfId="44" applyFont="1" applyFill="1" applyBorder="1" applyAlignment="1" applyProtection="1">
      <alignment vertical="center"/>
    </xf>
    <xf numFmtId="0" fontId="5" fillId="3" borderId="1" xfId="44" applyFont="1" applyFill="1" applyBorder="1" applyAlignment="1" applyProtection="1">
      <alignment vertical="center"/>
    </xf>
    <xf numFmtId="0" fontId="5" fillId="0" borderId="4" xfId="44" applyFont="1" applyFill="1" applyBorder="1" applyAlignment="1" applyProtection="1">
      <alignment vertical="center"/>
    </xf>
    <xf numFmtId="0" fontId="5" fillId="0" borderId="0" xfId="44" applyFont="1" applyFill="1" applyBorder="1" applyAlignment="1" applyProtection="1">
      <alignment vertical="center"/>
    </xf>
    <xf numFmtId="0" fontId="9" fillId="0" borderId="0" xfId="6" applyFont="1" applyFill="1" applyBorder="1" applyAlignment="1" applyProtection="1">
      <alignment vertical="center"/>
    </xf>
    <xf numFmtId="0" fontId="1" fillId="0" borderId="0" xfId="44" applyFont="1" applyFill="1" applyBorder="1" applyAlignment="1" applyProtection="1">
      <alignment vertical="center"/>
    </xf>
    <xf numFmtId="182" fontId="1" fillId="0" borderId="0" xfId="5" applyFont="1" applyFill="1" applyBorder="1" applyAlignment="1">
      <alignment vertical="center"/>
    </xf>
    <xf numFmtId="0" fontId="5" fillId="3" borderId="1" xfId="44" applyFont="1" applyFill="1" applyBorder="1" applyAlignment="1" applyProtection="1">
      <alignment horizontal="right" vertical="center"/>
    </xf>
    <xf numFmtId="0" fontId="5" fillId="0" borderId="4" xfId="44" applyFont="1" applyFill="1" applyBorder="1" applyAlignment="1" applyProtection="1">
      <alignment horizontal="left" vertical="center"/>
    </xf>
    <xf numFmtId="0" fontId="5" fillId="0" borderId="0" xfId="44" applyFont="1" applyFill="1" applyBorder="1" applyAlignment="1" applyProtection="1">
      <alignment horizontal="left" vertical="center"/>
    </xf>
    <xf numFmtId="0" fontId="1" fillId="0" borderId="0" xfId="44" applyFont="1" applyFill="1" applyBorder="1" applyAlignment="1" applyProtection="1">
      <alignment horizontal="left" vertical="center"/>
    </xf>
    <xf numFmtId="0" fontId="5" fillId="0" borderId="6" xfId="44" applyFont="1" applyFill="1" applyBorder="1" applyAlignment="1" applyProtection="1">
      <alignment horizontal="left" vertical="center"/>
    </xf>
    <xf numFmtId="0" fontId="5" fillId="0" borderId="7" xfId="44" applyFont="1" applyFill="1" applyBorder="1" applyAlignment="1" applyProtection="1">
      <alignment horizontal="left" vertical="center"/>
    </xf>
    <xf numFmtId="0" fontId="1" fillId="0" borderId="7" xfId="44" applyFont="1" applyFill="1" applyBorder="1" applyAlignment="1" applyProtection="1">
      <alignment horizontal="left" vertical="center"/>
    </xf>
    <xf numFmtId="182" fontId="1" fillId="0" borderId="7" xfId="5" applyFont="1" applyFill="1" applyBorder="1" applyAlignment="1">
      <alignment vertical="center"/>
    </xf>
    <xf numFmtId="43" fontId="3" fillId="3" borderId="1" xfId="5" applyNumberFormat="1" applyFont="1" applyFill="1" applyBorder="1" applyAlignment="1">
      <alignment vertical="center"/>
    </xf>
    <xf numFmtId="43" fontId="3" fillId="0" borderId="1" xfId="5" applyNumberFormat="1" applyFont="1" applyFill="1" applyBorder="1" applyAlignment="1">
      <alignment vertical="center"/>
    </xf>
    <xf numFmtId="43" fontId="7" fillId="2" borderId="1" xfId="5" applyNumberFormat="1" applyFont="1" applyFill="1" applyBorder="1" applyAlignment="1">
      <alignment horizontal="center" vertical="center"/>
    </xf>
    <xf numFmtId="43" fontId="7" fillId="2" borderId="1" xfId="5" applyNumberFormat="1" applyFont="1" applyFill="1" applyBorder="1" applyAlignment="1">
      <alignment horizontal="center" vertical="center" wrapText="1"/>
    </xf>
    <xf numFmtId="182" fontId="3" fillId="3" borderId="1" xfId="5" applyFont="1" applyFill="1" applyBorder="1" applyAlignment="1">
      <alignment vertical="center"/>
    </xf>
    <xf numFmtId="43" fontId="7" fillId="2" borderId="1" xfId="5" applyNumberFormat="1" applyFont="1" applyFill="1" applyBorder="1" applyAlignment="1">
      <alignment vertical="center"/>
    </xf>
    <xf numFmtId="182" fontId="1" fillId="0" borderId="5" xfId="5" applyFont="1" applyFill="1" applyBorder="1" applyAlignment="1">
      <alignment vertical="center"/>
    </xf>
    <xf numFmtId="182" fontId="2" fillId="0" borderId="0" xfId="5" applyFont="1" applyFill="1" applyBorder="1" applyAlignment="1">
      <alignment vertical="center"/>
    </xf>
    <xf numFmtId="182" fontId="3" fillId="0" borderId="0" xfId="5" applyFont="1" applyFill="1" applyBorder="1" applyAlignment="1">
      <alignment vertical="center"/>
    </xf>
    <xf numFmtId="0" fontId="3" fillId="0" borderId="0" xfId="0" applyFont="1" applyFill="1" applyAlignment="1">
      <alignment vertical="center"/>
    </xf>
    <xf numFmtId="0" fontId="2" fillId="0" borderId="0" xfId="0" applyFont="1" applyFill="1" applyAlignment="1">
      <alignment vertical="center"/>
    </xf>
    <xf numFmtId="0" fontId="5" fillId="2" borderId="0" xfId="44" applyFont="1" applyFill="1" applyBorder="1" applyAlignment="1" applyProtection="1">
      <alignment vertical="center"/>
    </xf>
    <xf numFmtId="0" fontId="5" fillId="3" borderId="0" xfId="44" applyFont="1" applyFill="1" applyBorder="1" applyAlignment="1" applyProtection="1">
      <alignment vertical="center"/>
    </xf>
    <xf numFmtId="182" fontId="5" fillId="0" borderId="0" xfId="5" applyFont="1" applyFill="1" applyBorder="1" applyAlignment="1">
      <alignment vertical="center"/>
    </xf>
    <xf numFmtId="0" fontId="6" fillId="0" borderId="0" xfId="6" applyFont="1" applyAlignment="1" applyProtection="1">
      <alignment vertical="center"/>
    </xf>
    <xf numFmtId="0" fontId="5" fillId="2" borderId="0" xfId="44" applyFont="1" applyFill="1" applyBorder="1" applyAlignment="1" applyProtection="1">
      <alignment horizontal="left" vertical="center"/>
    </xf>
    <xf numFmtId="182" fontId="5" fillId="2" borderId="0" xfId="5" applyFont="1" applyFill="1" applyBorder="1" applyAlignment="1">
      <alignment vertical="center"/>
    </xf>
    <xf numFmtId="182" fontId="19" fillId="0" borderId="1" xfId="5" applyFont="1" applyFill="1" applyBorder="1" applyAlignment="1">
      <alignment horizontal="center" vertical="center"/>
    </xf>
    <xf numFmtId="182" fontId="19" fillId="2" borderId="1" xfId="5" applyFont="1" applyFill="1" applyBorder="1" applyAlignment="1">
      <alignment horizontal="center" vertical="center"/>
    </xf>
    <xf numFmtId="182" fontId="3" fillId="0" borderId="0" xfId="5" applyFont="1" applyBorder="1" applyAlignment="1">
      <alignment horizontal="center" vertical="center"/>
    </xf>
    <xf numFmtId="182" fontId="3" fillId="8" borderId="0" xfId="5" applyFont="1" applyFill="1" applyBorder="1" applyAlignment="1">
      <alignment horizontal="center" vertical="center"/>
    </xf>
    <xf numFmtId="182" fontId="3" fillId="9" borderId="0" xfId="5" applyFont="1" applyFill="1" applyBorder="1" applyAlignment="1">
      <alignment horizontal="center" vertical="center"/>
    </xf>
    <xf numFmtId="182" fontId="2" fillId="0" borderId="0" xfId="5" applyFont="1" applyBorder="1" applyAlignment="1">
      <alignment horizontal="center" vertical="center"/>
    </xf>
    <xf numFmtId="0" fontId="2" fillId="0" borderId="0" xfId="0" applyNumberFormat="1" applyFont="1" applyFill="1" applyBorder="1" applyAlignment="1">
      <alignment horizontal="center" vertical="center"/>
    </xf>
    <xf numFmtId="182" fontId="1" fillId="3" borderId="0" xfId="5" applyFont="1" applyFill="1" applyBorder="1" applyAlignment="1">
      <alignment horizontal="center" vertical="center"/>
    </xf>
    <xf numFmtId="0" fontId="2" fillId="0" borderId="0" xfId="0" applyNumberFormat="1" applyFont="1" applyFill="1" applyAlignment="1">
      <alignment horizontal="center" vertical="center"/>
    </xf>
    <xf numFmtId="0" fontId="2" fillId="0" borderId="0" xfId="0" applyNumberFormat="1" applyFont="1" applyFill="1" applyBorder="1" applyAlignment="1" applyProtection="1">
      <alignment horizontal="center" vertical="center"/>
      <protection locked="0"/>
    </xf>
    <xf numFmtId="0" fontId="2" fillId="0" borderId="0" xfId="0" applyFont="1" applyFill="1" applyBorder="1" applyAlignment="1" applyProtection="1">
      <alignment horizontal="center" vertical="center"/>
      <protection locked="0"/>
    </xf>
    <xf numFmtId="182" fontId="5" fillId="2" borderId="0" xfId="5" applyFont="1" applyFill="1" applyBorder="1" applyAlignment="1">
      <alignment horizontal="center" vertical="center"/>
    </xf>
    <xf numFmtId="178" fontId="7" fillId="2" borderId="1" xfId="5" applyNumberFormat="1" applyFont="1" applyFill="1" applyBorder="1" applyAlignment="1" applyProtection="1">
      <alignment horizontal="center" vertical="center"/>
      <protection locked="0"/>
    </xf>
    <xf numFmtId="178" fontId="7" fillId="2" borderId="1" xfId="5" applyNumberFormat="1" applyFont="1" applyFill="1" applyBorder="1" applyAlignment="1">
      <alignment horizontal="center" vertical="center"/>
    </xf>
    <xf numFmtId="0" fontId="7" fillId="2" borderId="1" xfId="0" applyFont="1" applyFill="1" applyBorder="1" applyAlignment="1" applyProtection="1">
      <alignment horizontal="center" vertical="center"/>
      <protection locked="0"/>
    </xf>
    <xf numFmtId="193" fontId="7" fillId="2" borderId="1" xfId="63" applyNumberFormat="1" applyFont="1" applyFill="1" applyBorder="1" applyAlignment="1" applyProtection="1">
      <alignment horizontal="center" vertical="center"/>
      <protection locked="0"/>
    </xf>
    <xf numFmtId="178" fontId="3" fillId="0" borderId="1" xfId="5" applyNumberFormat="1" applyFont="1" applyBorder="1" applyAlignment="1" applyProtection="1">
      <alignment vertical="center"/>
      <protection locked="0"/>
    </xf>
    <xf numFmtId="0" fontId="3" fillId="0" borderId="1" xfId="0" applyNumberFormat="1" applyFont="1" applyFill="1" applyBorder="1" applyAlignment="1" applyProtection="1">
      <alignment horizontal="center" vertical="center"/>
      <protection locked="0"/>
    </xf>
    <xf numFmtId="0" fontId="3" fillId="0" borderId="1" xfId="48" applyFont="1" applyFill="1" applyBorder="1" applyAlignment="1">
      <alignment horizontal="center" vertical="center"/>
    </xf>
    <xf numFmtId="0" fontId="3" fillId="0" borderId="1" xfId="63" applyNumberFormat="1" applyFont="1" applyFill="1" applyBorder="1" applyAlignment="1" applyProtection="1">
      <alignment horizontal="center" vertical="center"/>
      <protection locked="0"/>
    </xf>
    <xf numFmtId="178" fontId="3" fillId="0" borderId="1" xfId="5" applyNumberFormat="1" applyFont="1" applyBorder="1" applyAlignment="1" applyProtection="1">
      <alignment vertical="center" wrapText="1"/>
      <protection locked="0"/>
    </xf>
    <xf numFmtId="0" fontId="3" fillId="0" borderId="1" xfId="0" applyNumberFormat="1" applyFont="1" applyFill="1" applyBorder="1" applyAlignment="1">
      <alignment horizontal="center" vertical="center" wrapText="1"/>
    </xf>
    <xf numFmtId="193" fontId="3" fillId="0" borderId="1" xfId="0" applyNumberFormat="1" applyFont="1" applyFill="1" applyBorder="1" applyAlignment="1">
      <alignment horizontal="center" vertical="center" wrapText="1"/>
    </xf>
    <xf numFmtId="0" fontId="3" fillId="0" borderId="1" xfId="25" applyNumberFormat="1" applyFont="1" applyFill="1" applyBorder="1" applyAlignment="1">
      <alignment horizontal="center" vertical="center" wrapText="1"/>
    </xf>
    <xf numFmtId="193" fontId="3" fillId="0" borderId="1" xfId="25" applyNumberFormat="1" applyFont="1" applyFill="1" applyBorder="1" applyAlignment="1">
      <alignment horizontal="center" vertical="center" wrapText="1"/>
    </xf>
    <xf numFmtId="178" fontId="10" fillId="0" borderId="1" xfId="5" applyNumberFormat="1" applyFont="1" applyBorder="1" applyAlignment="1" applyProtection="1">
      <alignment vertical="center"/>
      <protection locked="0"/>
    </xf>
    <xf numFmtId="193" fontId="3" fillId="0" borderId="1" xfId="5" applyNumberFormat="1" applyFont="1" applyFill="1" applyBorder="1" applyAlignment="1">
      <alignment horizontal="center" vertical="center" wrapText="1"/>
    </xf>
    <xf numFmtId="178" fontId="3" fillId="0" borderId="1" xfId="5" applyNumberFormat="1" applyFont="1" applyFill="1" applyBorder="1" applyAlignment="1" applyProtection="1">
      <alignment vertical="center"/>
      <protection locked="0"/>
    </xf>
    <xf numFmtId="193" fontId="3" fillId="0" borderId="1" xfId="50" applyNumberFormat="1" applyFont="1" applyFill="1" applyBorder="1" applyAlignment="1">
      <alignment horizontal="center" vertical="center" wrapText="1"/>
    </xf>
    <xf numFmtId="178" fontId="10" fillId="0" borderId="1" xfId="5" applyNumberFormat="1" applyFont="1" applyFill="1" applyBorder="1" applyAlignment="1" applyProtection="1">
      <alignment vertical="center"/>
      <protection locked="0"/>
    </xf>
    <xf numFmtId="178" fontId="13" fillId="0" borderId="1" xfId="5" applyNumberFormat="1" applyFont="1" applyBorder="1" applyAlignment="1" applyProtection="1">
      <alignment vertical="center" wrapText="1"/>
      <protection locked="0"/>
    </xf>
    <xf numFmtId="0" fontId="3" fillId="0" borderId="1" xfId="0" applyNumberFormat="1" applyFont="1" applyFill="1" applyBorder="1" applyAlignment="1">
      <alignment horizontal="center" vertical="center"/>
    </xf>
    <xf numFmtId="0" fontId="3" fillId="0" borderId="1" xfId="44" applyFont="1" applyFill="1" applyBorder="1" applyAlignment="1" applyProtection="1">
      <alignment horizontal="center" vertical="center"/>
    </xf>
    <xf numFmtId="178" fontId="3" fillId="0" borderId="1" xfId="0" applyNumberFormat="1" applyFont="1" applyFill="1" applyBorder="1" applyAlignment="1">
      <alignment horizontal="center" vertical="center"/>
    </xf>
    <xf numFmtId="0" fontId="5" fillId="2" borderId="2" xfId="44" applyFont="1" applyFill="1" applyBorder="1" applyAlignment="1" applyProtection="1">
      <alignment horizontal="center" vertical="center"/>
    </xf>
    <xf numFmtId="182" fontId="1" fillId="3" borderId="2" xfId="5" applyFont="1" applyFill="1" applyBorder="1" applyAlignment="1">
      <alignment horizontal="center" vertical="center"/>
    </xf>
    <xf numFmtId="178" fontId="3" fillId="0" borderId="2" xfId="0" applyNumberFormat="1" applyFont="1" applyBorder="1" applyAlignment="1">
      <alignment horizontal="center" vertical="center"/>
    </xf>
    <xf numFmtId="182" fontId="3" fillId="0" borderId="2" xfId="5" applyFont="1" applyBorder="1" applyAlignment="1">
      <alignment horizontal="center" vertical="center"/>
    </xf>
    <xf numFmtId="0" fontId="3" fillId="0" borderId="2" xfId="0" applyNumberFormat="1" applyFont="1" applyFill="1" applyBorder="1" applyAlignment="1">
      <alignment horizontal="center" vertical="center" wrapText="1"/>
    </xf>
    <xf numFmtId="193" fontId="3" fillId="0" borderId="2" xfId="0" applyNumberFormat="1" applyFont="1" applyFill="1" applyBorder="1" applyAlignment="1">
      <alignment horizontal="center" vertical="center" wrapText="1"/>
    </xf>
    <xf numFmtId="0" fontId="5" fillId="0" borderId="0" xfId="0" applyFont="1" applyFill="1" applyBorder="1" applyAlignment="1" applyProtection="1">
      <alignment horizontal="center" vertical="center"/>
      <protection locked="0"/>
    </xf>
    <xf numFmtId="43" fontId="3" fillId="0" borderId="1" xfId="0" applyNumberFormat="1"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protection locked="0"/>
    </xf>
    <xf numFmtId="0" fontId="3" fillId="0" borderId="1" xfId="48" applyFont="1" applyBorder="1" applyAlignment="1">
      <alignment horizontal="center" vertical="center"/>
    </xf>
    <xf numFmtId="193" fontId="3" fillId="0" borderId="1" xfId="63" applyNumberFormat="1" applyFont="1" applyFill="1" applyBorder="1" applyAlignment="1" applyProtection="1">
      <alignment horizontal="center" vertical="center"/>
      <protection locked="0"/>
    </xf>
    <xf numFmtId="0" fontId="3" fillId="0" borderId="1" xfId="63" applyFont="1" applyFill="1" applyBorder="1" applyAlignment="1" applyProtection="1">
      <alignment horizontal="center" vertical="center"/>
      <protection locked="0"/>
    </xf>
    <xf numFmtId="193" fontId="3" fillId="0" borderId="1" xfId="63" applyNumberFormat="1" applyFont="1" applyFill="1" applyBorder="1" applyAlignment="1" applyProtection="1">
      <alignment horizontal="center" vertical="center" wrapText="1"/>
      <protection locked="0"/>
    </xf>
    <xf numFmtId="0" fontId="3" fillId="0" borderId="1" xfId="47" applyFont="1" applyBorder="1" applyAlignment="1">
      <alignment horizontal="center" vertical="center"/>
    </xf>
    <xf numFmtId="0" fontId="3" fillId="0" borderId="1" xfId="47" applyFont="1" applyBorder="1" applyAlignment="1">
      <alignment horizontal="center" vertical="center" wrapText="1"/>
    </xf>
    <xf numFmtId="0" fontId="3" fillId="0" borderId="1" xfId="47" applyFont="1" applyFill="1" applyBorder="1" applyAlignment="1">
      <alignment horizontal="center" vertical="center"/>
    </xf>
    <xf numFmtId="9" fontId="3" fillId="0" borderId="1" xfId="0" applyNumberFormat="1" applyFont="1" applyFill="1" applyBorder="1" applyAlignment="1" applyProtection="1">
      <alignment horizontal="center" vertical="center"/>
      <protection locked="0"/>
    </xf>
    <xf numFmtId="193" fontId="3" fillId="0" borderId="1" xfId="0" applyNumberFormat="1" applyFont="1" applyFill="1" applyBorder="1" applyAlignment="1" applyProtection="1">
      <alignment horizontal="center" vertical="center"/>
      <protection locked="0"/>
    </xf>
    <xf numFmtId="193" fontId="3" fillId="0" borderId="1" xfId="2" applyNumberFormat="1" applyFont="1" applyFill="1" applyBorder="1" applyAlignment="1">
      <alignment horizontal="center" vertical="center" wrapText="1"/>
    </xf>
    <xf numFmtId="193" fontId="3" fillId="0" borderId="2" xfId="0" applyNumberFormat="1" applyFont="1" applyFill="1" applyBorder="1" applyAlignment="1" applyProtection="1">
      <alignment horizontal="center" vertical="center"/>
      <protection locked="0"/>
    </xf>
    <xf numFmtId="0" fontId="3" fillId="0" borderId="2" xfId="0" applyFont="1" applyFill="1" applyBorder="1" applyAlignment="1" applyProtection="1">
      <alignment horizontal="center" vertical="center"/>
      <protection locked="0"/>
    </xf>
    <xf numFmtId="43" fontId="7" fillId="2" borderId="1" xfId="0" applyNumberFormat="1" applyFont="1" applyFill="1" applyBorder="1" applyAlignment="1" applyProtection="1">
      <alignment horizontal="center" vertical="center"/>
      <protection locked="0"/>
    </xf>
    <xf numFmtId="193" fontId="3" fillId="0" borderId="1" xfId="47" applyNumberFormat="1" applyFont="1" applyFill="1" applyBorder="1" applyAlignment="1">
      <alignment horizontal="center" vertical="center"/>
    </xf>
    <xf numFmtId="193" fontId="3" fillId="0" borderId="1" xfId="47" applyNumberFormat="1" applyFont="1" applyBorder="1" applyAlignment="1">
      <alignment horizontal="center" vertical="center"/>
    </xf>
    <xf numFmtId="182" fontId="3" fillId="0" borderId="1" xfId="47" applyNumberFormat="1" applyFont="1" applyBorder="1" applyAlignment="1">
      <alignment horizontal="center" vertical="center"/>
    </xf>
    <xf numFmtId="182" fontId="10" fillId="0" borderId="0" xfId="5" applyFont="1" applyBorder="1" applyAlignment="1">
      <alignment horizontal="center" vertical="center"/>
    </xf>
    <xf numFmtId="43" fontId="3" fillId="0" borderId="1" xfId="63" applyNumberFormat="1" applyFont="1" applyFill="1" applyBorder="1" applyAlignment="1" applyProtection="1">
      <alignment horizontal="center" vertical="center"/>
      <protection locked="0"/>
    </xf>
    <xf numFmtId="43" fontId="3" fillId="0" borderId="1" xfId="47" applyNumberFormat="1" applyFont="1" applyFill="1" applyBorder="1" applyAlignment="1">
      <alignment horizontal="center" vertical="center"/>
    </xf>
    <xf numFmtId="182" fontId="5" fillId="2" borderId="7" xfId="5" applyFont="1" applyFill="1" applyBorder="1" applyAlignment="1">
      <alignment horizontal="center" vertical="center"/>
    </xf>
    <xf numFmtId="182" fontId="3" fillId="0" borderId="7" xfId="5" applyFont="1" applyBorder="1" applyAlignment="1">
      <alignment horizontal="center" vertical="center"/>
    </xf>
    <xf numFmtId="0" fontId="3" fillId="0" borderId="7" xfId="0" applyNumberFormat="1" applyFont="1" applyFill="1" applyBorder="1" applyAlignment="1">
      <alignment horizontal="center" vertical="center" wrapText="1"/>
    </xf>
    <xf numFmtId="193" fontId="3" fillId="0" borderId="7" xfId="0" applyNumberFormat="1" applyFont="1" applyFill="1" applyBorder="1" applyAlignment="1">
      <alignment horizontal="center" vertical="center" wrapText="1"/>
    </xf>
    <xf numFmtId="178" fontId="3" fillId="0" borderId="1" xfId="5" applyNumberFormat="1" applyFont="1" applyFill="1" applyBorder="1" applyAlignment="1">
      <alignment vertical="center"/>
    </xf>
    <xf numFmtId="178" fontId="3" fillId="0" borderId="1" xfId="5" applyNumberFormat="1" applyFont="1" applyFill="1" applyBorder="1" applyAlignment="1">
      <alignment vertical="center" wrapText="1"/>
    </xf>
    <xf numFmtId="178" fontId="13" fillId="0" borderId="1" xfId="5" applyNumberFormat="1" applyFont="1" applyFill="1" applyBorder="1" applyAlignment="1">
      <alignment vertical="center"/>
    </xf>
    <xf numFmtId="193" fontId="3" fillId="0" borderId="1" xfId="0" applyNumberFormat="1" applyFont="1" applyFill="1" applyBorder="1" applyAlignment="1" applyProtection="1">
      <alignment horizontal="center" vertical="center" wrapText="1"/>
      <protection locked="0"/>
    </xf>
    <xf numFmtId="0" fontId="3" fillId="0" borderId="1" xfId="0" applyFont="1" applyFill="1" applyBorder="1" applyAlignment="1" applyProtection="1">
      <alignment horizontal="center" vertical="center" wrapText="1"/>
      <protection locked="0"/>
    </xf>
    <xf numFmtId="0" fontId="5" fillId="2" borderId="2" xfId="44" applyFont="1" applyFill="1" applyBorder="1" applyAlignment="1" applyProtection="1">
      <alignment vertical="center"/>
    </xf>
    <xf numFmtId="0" fontId="5" fillId="2" borderId="7" xfId="44" applyFont="1" applyFill="1" applyBorder="1" applyAlignment="1" applyProtection="1">
      <alignment vertical="center"/>
    </xf>
    <xf numFmtId="178" fontId="7" fillId="2" borderId="1" xfId="5" applyNumberFormat="1" applyFont="1" applyFill="1" applyBorder="1" applyAlignment="1" applyProtection="1">
      <alignment vertical="center"/>
      <protection locked="0"/>
    </xf>
    <xf numFmtId="193" fontId="3" fillId="0" borderId="7" xfId="0" applyNumberFormat="1"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176" fontId="3" fillId="0" borderId="1" xfId="2" applyNumberFormat="1" applyFont="1" applyFill="1" applyBorder="1" applyAlignment="1">
      <alignment horizontal="center" vertical="center" wrapText="1"/>
    </xf>
    <xf numFmtId="193" fontId="3" fillId="0" borderId="1" xfId="5" applyNumberFormat="1" applyFont="1" applyFill="1" applyBorder="1" applyAlignment="1" applyProtection="1">
      <alignment horizontal="center" vertical="center" wrapText="1"/>
      <protection locked="0"/>
    </xf>
    <xf numFmtId="178" fontId="3" fillId="0" borderId="1" xfId="0" applyNumberFormat="1" applyFont="1" applyFill="1" applyBorder="1" applyAlignment="1" applyProtection="1">
      <alignment horizontal="center" vertical="center"/>
      <protection locked="0"/>
    </xf>
    <xf numFmtId="193" fontId="3" fillId="0" borderId="1" xfId="5" applyNumberFormat="1" applyFont="1" applyFill="1" applyBorder="1" applyAlignment="1" applyProtection="1">
      <alignment horizontal="center" vertical="center"/>
      <protection locked="0"/>
    </xf>
    <xf numFmtId="182" fontId="3" fillId="0" borderId="1" xfId="5" applyFont="1" applyFill="1" applyBorder="1" applyAlignment="1" applyProtection="1">
      <alignment horizontal="center" vertical="center"/>
      <protection locked="0"/>
    </xf>
    <xf numFmtId="182" fontId="3" fillId="0" borderId="1" xfId="0" applyNumberFormat="1" applyFont="1" applyFill="1" applyBorder="1" applyAlignment="1" applyProtection="1">
      <alignment horizontal="center" vertical="center"/>
      <protection locked="0"/>
    </xf>
    <xf numFmtId="178" fontId="13" fillId="8" borderId="1" xfId="5" applyNumberFormat="1" applyFont="1" applyFill="1" applyBorder="1" applyAlignment="1">
      <alignment vertical="center" wrapText="1"/>
    </xf>
    <xf numFmtId="178" fontId="13" fillId="0" borderId="1" xfId="5" applyNumberFormat="1" applyFont="1" applyFill="1" applyBorder="1" applyAlignment="1">
      <alignment vertical="center" wrapText="1"/>
    </xf>
    <xf numFmtId="178" fontId="3" fillId="0" borderId="1" xfId="5" applyNumberFormat="1" applyFont="1" applyBorder="1" applyAlignment="1">
      <alignment vertical="center"/>
    </xf>
    <xf numFmtId="178" fontId="5" fillId="2" borderId="1" xfId="0" applyNumberFormat="1" applyFont="1" applyFill="1" applyBorder="1" applyAlignment="1">
      <alignment horizontal="center" vertical="center"/>
    </xf>
    <xf numFmtId="182" fontId="5" fillId="0" borderId="2" xfId="5" applyFont="1" applyFill="1" applyBorder="1" applyAlignment="1">
      <alignment horizontal="center" vertical="center"/>
    </xf>
    <xf numFmtId="178" fontId="2" fillId="0" borderId="0" xfId="0" applyNumberFormat="1" applyFont="1" applyBorder="1" applyAlignment="1">
      <alignment horizontal="center" vertical="center"/>
    </xf>
    <xf numFmtId="182" fontId="5" fillId="3" borderId="0" xfId="5" applyFont="1" applyFill="1" applyBorder="1" applyAlignment="1">
      <alignment horizontal="center" vertical="center"/>
    </xf>
    <xf numFmtId="182" fontId="10" fillId="0" borderId="1" xfId="5" applyFont="1" applyBorder="1" applyAlignment="1">
      <alignment horizontal="center" vertical="center"/>
    </xf>
    <xf numFmtId="182" fontId="10" fillId="3" borderId="1" xfId="5" applyFont="1" applyFill="1" applyBorder="1" applyAlignment="1">
      <alignment horizontal="center" vertical="center"/>
    </xf>
    <xf numFmtId="182" fontId="5" fillId="3" borderId="2" xfId="5" applyFont="1" applyFill="1" applyBorder="1" applyAlignment="1">
      <alignment horizontal="center" vertical="center"/>
    </xf>
    <xf numFmtId="178" fontId="2" fillId="0" borderId="2" xfId="0" applyNumberFormat="1" applyFont="1" applyBorder="1" applyAlignment="1">
      <alignment horizontal="center" vertical="center"/>
    </xf>
    <xf numFmtId="182" fontId="2" fillId="0" borderId="2" xfId="5" applyFont="1" applyBorder="1" applyAlignment="1">
      <alignment horizontal="center" vertical="center"/>
    </xf>
    <xf numFmtId="0" fontId="2" fillId="0" borderId="2" xfId="0" applyNumberFormat="1" applyFont="1" applyFill="1" applyBorder="1" applyAlignment="1">
      <alignment horizontal="center" vertical="center"/>
    </xf>
    <xf numFmtId="0" fontId="2" fillId="0" borderId="2" xfId="0" applyFont="1" applyFill="1" applyBorder="1" applyAlignment="1">
      <alignment horizontal="center" vertical="center"/>
    </xf>
    <xf numFmtId="182" fontId="2" fillId="0" borderId="7" xfId="5" applyFont="1" applyBorder="1" applyAlignment="1">
      <alignment horizontal="center" vertical="center"/>
    </xf>
    <xf numFmtId="0" fontId="2" fillId="0" borderId="7"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xf numFmtId="0" fontId="1" fillId="0" borderId="1" xfId="49" applyFont="1" applyFill="1" applyBorder="1" applyAlignment="1">
      <alignment horizontal="center" vertical="center" wrapText="1"/>
    </xf>
    <xf numFmtId="0" fontId="1" fillId="8" borderId="1" xfId="49" applyFont="1" applyFill="1" applyBorder="1" applyAlignment="1">
      <alignment horizontal="center" vertical="center"/>
    </xf>
    <xf numFmtId="0" fontId="1" fillId="0" borderId="1" xfId="49" applyFont="1" applyFill="1" applyBorder="1" applyAlignment="1">
      <alignment horizontal="center" vertical="center"/>
    </xf>
    <xf numFmtId="0" fontId="57" fillId="0" borderId="1" xfId="49" applyFont="1" applyFill="1" applyBorder="1" applyAlignment="1">
      <alignment horizontal="center" vertical="center"/>
    </xf>
    <xf numFmtId="0" fontId="1" fillId="0" borderId="1" xfId="3" applyFont="1" applyFill="1" applyBorder="1" applyAlignment="1">
      <alignment horizontal="center" vertical="center"/>
    </xf>
    <xf numFmtId="0" fontId="5" fillId="0" borderId="1" xfId="49" applyFont="1" applyFill="1" applyBorder="1" applyAlignment="1">
      <alignment horizontal="center" vertical="center"/>
    </xf>
    <xf numFmtId="0" fontId="5" fillId="0" borderId="1" xfId="49" applyFont="1" applyFill="1" applyBorder="1" applyAlignment="1">
      <alignment horizontal="center" vertical="center" wrapText="1"/>
    </xf>
    <xf numFmtId="43" fontId="1" fillId="0" borderId="1" xfId="49" applyNumberFormat="1" applyFont="1" applyFill="1" applyBorder="1" applyAlignment="1">
      <alignment horizontal="center" vertical="center"/>
    </xf>
    <xf numFmtId="43" fontId="2" fillId="0" borderId="1" xfId="49" applyNumberFormat="1" applyFont="1" applyFill="1" applyBorder="1" applyAlignment="1">
      <alignment horizontal="center" vertical="center"/>
    </xf>
    <xf numFmtId="0" fontId="1" fillId="8" borderId="1" xfId="49" applyFont="1" applyFill="1" applyBorder="1" applyAlignment="1">
      <alignment horizontal="center" vertical="center" wrapText="1"/>
    </xf>
    <xf numFmtId="198" fontId="1" fillId="0" borderId="1" xfId="49" applyNumberFormat="1" applyFont="1" applyFill="1" applyBorder="1" applyAlignment="1">
      <alignment horizontal="center" vertical="center"/>
    </xf>
    <xf numFmtId="4" fontId="1" fillId="0" borderId="1" xfId="49" applyNumberFormat="1" applyFont="1" applyFill="1" applyBorder="1" applyAlignment="1">
      <alignment horizontal="center" vertical="center"/>
    </xf>
    <xf numFmtId="43" fontId="1" fillId="0" borderId="0" xfId="46" applyNumberFormat="1" applyFont="1" applyBorder="1" applyAlignment="1">
      <alignment vertical="center"/>
    </xf>
    <xf numFmtId="43" fontId="3" fillId="0" borderId="0" xfId="46" applyNumberFormat="1" applyFont="1" applyBorder="1" applyAlignment="1">
      <alignment vertical="center"/>
    </xf>
    <xf numFmtId="43" fontId="7" fillId="0" borderId="0" xfId="46" applyNumberFormat="1" applyFont="1" applyBorder="1" applyAlignment="1">
      <alignment vertical="center"/>
    </xf>
    <xf numFmtId="43" fontId="7" fillId="0" borderId="0" xfId="46" applyNumberFormat="1" applyFont="1" applyAlignment="1">
      <alignment vertical="center"/>
    </xf>
    <xf numFmtId="43" fontId="1" fillId="0" borderId="0" xfId="0" applyNumberFormat="1" applyFont="1" applyAlignment="1">
      <alignment vertical="center"/>
    </xf>
    <xf numFmtId="43" fontId="2" fillId="0" borderId="0" xfId="46" applyNumberFormat="1" applyFont="1" applyBorder="1" applyAlignment="1">
      <alignment vertical="center"/>
    </xf>
    <xf numFmtId="43" fontId="2" fillId="0" borderId="0" xfId="46" applyNumberFormat="1" applyFont="1" applyBorder="1" applyAlignment="1">
      <alignment horizontal="center" vertical="center"/>
    </xf>
    <xf numFmtId="182" fontId="2" fillId="3" borderId="0" xfId="5" applyFont="1" applyFill="1" applyBorder="1" applyAlignment="1">
      <alignment vertical="center"/>
    </xf>
    <xf numFmtId="43" fontId="1" fillId="0" borderId="0" xfId="46" applyNumberFormat="1" applyFont="1" applyBorder="1" applyAlignment="1">
      <alignment horizontal="center" vertical="center"/>
    </xf>
    <xf numFmtId="43" fontId="1" fillId="0" borderId="0" xfId="46" applyNumberFormat="1" applyFont="1" applyBorder="1" applyAlignment="1">
      <alignment horizontal="right" vertical="center"/>
    </xf>
    <xf numFmtId="43" fontId="1" fillId="0" borderId="0" xfId="46" applyNumberFormat="1" applyFont="1" applyBorder="1" applyAlignment="1">
      <alignment horizontal="right" vertical="center" wrapText="1"/>
    </xf>
    <xf numFmtId="43" fontId="3" fillId="0" borderId="0" xfId="46" applyNumberFormat="1" applyFont="1" applyBorder="1" applyAlignment="1">
      <alignment horizontal="center" vertical="center"/>
    </xf>
    <xf numFmtId="4" fontId="7" fillId="0" borderId="24" xfId="0" applyNumberFormat="1" applyFont="1" applyBorder="1" applyAlignment="1">
      <alignment vertical="center"/>
    </xf>
    <xf numFmtId="43" fontId="3" fillId="0" borderId="25" xfId="46" applyNumberFormat="1" applyFont="1" applyBorder="1" applyAlignment="1">
      <alignment horizontal="center" vertical="center"/>
    </xf>
    <xf numFmtId="43" fontId="3" fillId="0" borderId="18" xfId="46" applyNumberFormat="1" applyFont="1" applyBorder="1" applyAlignment="1">
      <alignment horizontal="center" vertical="center"/>
    </xf>
    <xf numFmtId="43" fontId="3" fillId="0" borderId="16" xfId="46" applyNumberFormat="1" applyFont="1" applyBorder="1" applyAlignment="1">
      <alignment vertical="center"/>
    </xf>
    <xf numFmtId="43" fontId="3" fillId="0" borderId="19" xfId="46" applyNumberFormat="1" applyFont="1" applyBorder="1" applyAlignment="1">
      <alignment horizontal="center" vertical="center"/>
    </xf>
    <xf numFmtId="43" fontId="3" fillId="0" borderId="19" xfId="46" applyNumberFormat="1" applyFont="1" applyBorder="1" applyAlignment="1">
      <alignment vertical="center"/>
    </xf>
    <xf numFmtId="4" fontId="3" fillId="0" borderId="24" xfId="0" applyNumberFormat="1" applyFont="1" applyBorder="1" applyAlignment="1">
      <alignment vertical="center"/>
    </xf>
    <xf numFmtId="43" fontId="3" fillId="0" borderId="26" xfId="46" applyNumberFormat="1" applyFont="1" applyBorder="1" applyAlignment="1">
      <alignment horizontal="center" vertical="center"/>
    </xf>
    <xf numFmtId="43" fontId="3" fillId="0" borderId="24" xfId="46" applyNumberFormat="1" applyFont="1" applyBorder="1" applyAlignment="1">
      <alignment horizontal="center" vertical="center"/>
    </xf>
    <xf numFmtId="43" fontId="7" fillId="0" borderId="25" xfId="46" applyNumberFormat="1" applyFont="1" applyBorder="1" applyAlignment="1">
      <alignment horizontal="center" vertical="center"/>
    </xf>
    <xf numFmtId="43" fontId="7" fillId="0" borderId="26" xfId="46" applyNumberFormat="1" applyFont="1" applyBorder="1" applyAlignment="1">
      <alignment horizontal="center" vertical="center"/>
    </xf>
    <xf numFmtId="43" fontId="7" fillId="0" borderId="0" xfId="46" applyNumberFormat="1" applyFont="1" applyBorder="1" applyAlignment="1">
      <alignment horizontal="center" vertical="center"/>
    </xf>
    <xf numFmtId="43" fontId="61" fillId="0" borderId="24" xfId="46" applyNumberFormat="1" applyFont="1" applyBorder="1" applyAlignment="1">
      <alignment vertical="center"/>
    </xf>
    <xf numFmtId="43" fontId="61" fillId="0" borderId="0" xfId="46" applyNumberFormat="1" applyFont="1" applyBorder="1" applyAlignment="1">
      <alignment vertical="center"/>
    </xf>
    <xf numFmtId="4" fontId="3" fillId="0" borderId="24" xfId="0" applyNumberFormat="1" applyFont="1" applyBorder="1" applyAlignment="1">
      <alignment vertical="center" wrapText="1"/>
    </xf>
    <xf numFmtId="43" fontId="7" fillId="0" borderId="24" xfId="46" applyNumberFormat="1" applyFont="1" applyBorder="1" applyAlignment="1">
      <alignment horizontal="center" vertical="center"/>
    </xf>
    <xf numFmtId="43" fontId="7" fillId="0" borderId="25" xfId="46" applyNumberFormat="1" applyFont="1" applyFill="1" applyBorder="1" applyAlignment="1">
      <alignment horizontal="center" vertical="center"/>
    </xf>
    <xf numFmtId="43" fontId="3" fillId="0" borderId="24" xfId="46" applyNumberFormat="1" applyFont="1" applyFill="1" applyBorder="1" applyAlignment="1">
      <alignment vertical="center"/>
    </xf>
    <xf numFmtId="43" fontId="7" fillId="0" borderId="0" xfId="46" applyNumberFormat="1" applyFont="1" applyFill="1" applyBorder="1" applyAlignment="1">
      <alignment vertical="center"/>
    </xf>
    <xf numFmtId="43" fontId="7" fillId="0" borderId="0" xfId="46" applyNumberFormat="1" applyFont="1" applyAlignment="1">
      <alignment horizontal="left" vertical="center"/>
    </xf>
    <xf numFmtId="4" fontId="7" fillId="0" borderId="20" xfId="0" applyNumberFormat="1" applyFont="1" applyBorder="1" applyAlignment="1">
      <alignment vertical="center"/>
    </xf>
    <xf numFmtId="43" fontId="7" fillId="0" borderId="21" xfId="46" applyNumberFormat="1" applyFont="1" applyFill="1" applyBorder="1" applyAlignment="1">
      <alignment horizontal="center" vertical="center"/>
    </xf>
    <xf numFmtId="43" fontId="7" fillId="0" borderId="22" xfId="46" applyNumberFormat="1" applyFont="1" applyBorder="1" applyAlignment="1">
      <alignment horizontal="center" vertical="center"/>
    </xf>
    <xf numFmtId="43" fontId="7" fillId="0" borderId="23" xfId="46" applyNumberFormat="1" applyFont="1" applyBorder="1" applyAlignment="1">
      <alignment horizontal="center" vertical="center"/>
    </xf>
    <xf numFmtId="43" fontId="3" fillId="0" borderId="0" xfId="0" applyNumberFormat="1" applyFont="1" applyAlignment="1">
      <alignment vertical="center"/>
    </xf>
    <xf numFmtId="43" fontId="3" fillId="0" borderId="0" xfId="0" applyNumberFormat="1" applyFont="1" applyAlignment="1">
      <alignment horizontal="left" vertical="center"/>
    </xf>
    <xf numFmtId="0" fontId="13" fillId="0" borderId="0" xfId="49" applyFont="1" applyFill="1" applyAlignment="1">
      <alignment horizontal="right" vertical="center"/>
    </xf>
    <xf numFmtId="43" fontId="7" fillId="0" borderId="23" xfId="46" applyNumberFormat="1" applyFont="1" applyBorder="1" applyAlignment="1">
      <alignment vertical="center"/>
    </xf>
    <xf numFmtId="43" fontId="5" fillId="0" borderId="0" xfId="2" applyNumberFormat="1" applyFont="1" applyBorder="1" applyAlignment="1">
      <alignment vertical="center"/>
    </xf>
    <xf numFmtId="43" fontId="5" fillId="8" borderId="0" xfId="2" applyNumberFormat="1" applyFont="1" applyFill="1" applyAlignment="1">
      <alignment vertical="center"/>
    </xf>
    <xf numFmtId="43" fontId="1" fillId="8" borderId="0" xfId="2" applyNumberFormat="1" applyFont="1" applyFill="1" applyBorder="1" applyAlignment="1">
      <alignment vertical="center"/>
    </xf>
    <xf numFmtId="43" fontId="1" fillId="0" borderId="0" xfId="2" applyNumberFormat="1" applyFont="1" applyBorder="1" applyAlignment="1">
      <alignment vertical="center"/>
    </xf>
    <xf numFmtId="43" fontId="1" fillId="0" borderId="0" xfId="2" applyNumberFormat="1" applyFont="1" applyBorder="1" applyAlignment="1">
      <alignment horizontal="center" vertical="center"/>
    </xf>
    <xf numFmtId="43" fontId="1" fillId="0" borderId="23" xfId="2" applyNumberFormat="1" applyFont="1" applyBorder="1" applyAlignment="1">
      <alignment horizontal="right" vertical="center"/>
    </xf>
    <xf numFmtId="0" fontId="2" fillId="0" borderId="0" xfId="49" applyFont="1" applyFill="1" applyAlignment="1">
      <alignment horizontal="right" vertical="center"/>
    </xf>
    <xf numFmtId="4" fontId="7" fillId="0" borderId="24" xfId="0" applyNumberFormat="1" applyFont="1" applyFill="1" applyBorder="1" applyAlignment="1">
      <alignment vertical="center"/>
    </xf>
    <xf numFmtId="49" fontId="3" fillId="0" borderId="25" xfId="0" applyNumberFormat="1" applyFont="1" applyFill="1" applyBorder="1" applyAlignment="1">
      <alignment horizontal="center" vertical="center"/>
    </xf>
    <xf numFmtId="192" fontId="7" fillId="0" borderId="18" xfId="2" applyNumberFormat="1" applyFont="1" applyBorder="1" applyAlignment="1">
      <alignment vertical="center"/>
    </xf>
    <xf numFmtId="43" fontId="7" fillId="0" borderId="24" xfId="2" applyNumberFormat="1" applyFont="1" applyBorder="1" applyAlignment="1">
      <alignment vertical="center"/>
    </xf>
    <xf numFmtId="43" fontId="7" fillId="0" borderId="0" xfId="2" applyNumberFormat="1" applyFont="1" applyBorder="1" applyAlignment="1">
      <alignment vertical="center"/>
    </xf>
    <xf numFmtId="4" fontId="3" fillId="0" borderId="24" xfId="0" applyNumberFormat="1" applyFont="1" applyFill="1" applyBorder="1" applyAlignment="1">
      <alignment vertical="center"/>
    </xf>
    <xf numFmtId="192" fontId="3" fillId="0" borderId="26" xfId="2" applyNumberFormat="1" applyFont="1" applyBorder="1" applyAlignment="1">
      <alignment vertical="center"/>
    </xf>
    <xf numFmtId="43" fontId="3" fillId="0" borderId="24" xfId="2" applyNumberFormat="1" applyFont="1" applyBorder="1" applyAlignment="1">
      <alignment vertical="center"/>
    </xf>
    <xf numFmtId="43" fontId="3" fillId="0" borderId="0" xfId="2" applyNumberFormat="1" applyFont="1" applyBorder="1" applyAlignment="1">
      <alignment vertical="center"/>
    </xf>
    <xf numFmtId="49" fontId="3" fillId="0" borderId="25" xfId="0" applyNumberFormat="1" applyFont="1" applyBorder="1" applyAlignment="1">
      <alignment horizontal="center" vertical="center"/>
    </xf>
    <xf numFmtId="49" fontId="3" fillId="8" borderId="25" xfId="0" applyNumberFormat="1" applyFont="1" applyFill="1" applyBorder="1" applyAlignment="1">
      <alignment horizontal="center" vertical="center"/>
    </xf>
    <xf numFmtId="192" fontId="3" fillId="8" borderId="26" xfId="2" applyNumberFormat="1" applyFont="1" applyFill="1" applyBorder="1" applyAlignment="1">
      <alignment vertical="center"/>
    </xf>
    <xf numFmtId="43" fontId="5" fillId="8" borderId="0" xfId="2" applyNumberFormat="1" applyFont="1" applyFill="1" applyBorder="1" applyAlignment="1">
      <alignment vertical="center"/>
    </xf>
    <xf numFmtId="43" fontId="2" fillId="0" borderId="0" xfId="2" applyNumberFormat="1" applyFont="1" applyBorder="1" applyAlignment="1">
      <alignment vertical="center"/>
    </xf>
    <xf numFmtId="43" fontId="3" fillId="8" borderId="24" xfId="2" applyNumberFormat="1" applyFont="1" applyFill="1" applyBorder="1" applyAlignment="1">
      <alignment vertical="center"/>
    </xf>
    <xf numFmtId="43" fontId="3" fillId="8" borderId="0" xfId="2" applyNumberFormat="1" applyFont="1" applyFill="1" applyBorder="1" applyAlignment="1">
      <alignment vertical="center"/>
    </xf>
    <xf numFmtId="43" fontId="2" fillId="8" borderId="0" xfId="2" applyNumberFormat="1" applyFont="1" applyFill="1" applyBorder="1" applyAlignment="1">
      <alignment vertical="center"/>
    </xf>
    <xf numFmtId="4" fontId="3" fillId="8" borderId="24" xfId="0" applyNumberFormat="1" applyFont="1" applyFill="1" applyBorder="1" applyAlignment="1">
      <alignment vertical="center"/>
    </xf>
    <xf numFmtId="4" fontId="13" fillId="0" borderId="24" xfId="0" applyNumberFormat="1" applyFont="1" applyFill="1" applyBorder="1" applyAlignment="1">
      <alignment vertical="center"/>
    </xf>
    <xf numFmtId="192" fontId="7" fillId="0" borderId="26" xfId="2" applyNumberFormat="1" applyFont="1" applyBorder="1" applyAlignment="1">
      <alignment vertical="center"/>
    </xf>
    <xf numFmtId="192" fontId="7" fillId="0" borderId="0" xfId="2" applyNumberFormat="1" applyFont="1" applyBorder="1" applyAlignment="1">
      <alignment vertical="center"/>
    </xf>
    <xf numFmtId="4" fontId="3" fillId="0" borderId="24" xfId="0" applyNumberFormat="1" applyFont="1" applyFill="1" applyBorder="1" applyAlignment="1">
      <alignment vertical="center" wrapText="1"/>
    </xf>
    <xf numFmtId="43" fontId="3" fillId="0" borderId="25" xfId="2" applyNumberFormat="1" applyFont="1" applyBorder="1" applyAlignment="1">
      <alignment horizontal="left" vertical="center"/>
    </xf>
    <xf numFmtId="4" fontId="3" fillId="6" borderId="24" xfId="0" applyNumberFormat="1" applyFont="1" applyFill="1" applyBorder="1" applyAlignment="1">
      <alignment vertical="center"/>
    </xf>
    <xf numFmtId="4" fontId="3" fillId="6" borderId="24" xfId="0" applyNumberFormat="1" applyFont="1" applyFill="1" applyBorder="1" applyAlignment="1">
      <alignment horizontal="left" vertical="center" indent="4"/>
    </xf>
    <xf numFmtId="4" fontId="3" fillId="8" borderId="24" xfId="0" applyNumberFormat="1" applyFont="1" applyFill="1" applyBorder="1" applyAlignment="1">
      <alignment horizontal="left" vertical="center" wrapText="1" indent="4"/>
    </xf>
    <xf numFmtId="4" fontId="63" fillId="6" borderId="24" xfId="0" applyNumberFormat="1" applyFont="1" applyFill="1" applyBorder="1" applyAlignment="1">
      <alignment horizontal="left" vertical="center" indent="4"/>
    </xf>
    <xf numFmtId="4" fontId="3" fillId="6" borderId="24" xfId="0" applyNumberFormat="1" applyFont="1" applyFill="1" applyBorder="1" applyAlignment="1">
      <alignment horizontal="left" vertical="center" wrapText="1" indent="4"/>
    </xf>
    <xf numFmtId="4" fontId="63" fillId="6" borderId="24" xfId="0" applyNumberFormat="1" applyFont="1" applyFill="1" applyBorder="1" applyAlignment="1">
      <alignment horizontal="left" vertical="center" wrapText="1" indent="4"/>
    </xf>
    <xf numFmtId="4" fontId="3" fillId="0" borderId="20" xfId="0" applyNumberFormat="1" applyFont="1" applyFill="1" applyBorder="1" applyAlignment="1">
      <alignment vertical="center"/>
    </xf>
    <xf numFmtId="43" fontId="3" fillId="0" borderId="21" xfId="2" applyNumberFormat="1" applyFont="1" applyBorder="1" applyAlignment="1">
      <alignment horizontal="left" vertical="center"/>
    </xf>
    <xf numFmtId="192" fontId="7" fillId="0" borderId="22" xfId="2" applyNumberFormat="1" applyFont="1" applyBorder="1" applyAlignment="1">
      <alignment vertical="center"/>
    </xf>
    <xf numFmtId="43" fontId="3" fillId="0" borderId="20" xfId="2" applyNumberFormat="1" applyFont="1" applyBorder="1" applyAlignment="1">
      <alignment vertical="center"/>
    </xf>
    <xf numFmtId="43" fontId="3" fillId="0" borderId="23" xfId="2" applyNumberFormat="1" applyFont="1" applyBorder="1" applyAlignment="1">
      <alignment vertical="center"/>
    </xf>
    <xf numFmtId="43" fontId="3" fillId="0" borderId="0" xfId="2" applyNumberFormat="1" applyFont="1" applyBorder="1" applyAlignment="1">
      <alignment horizontal="center" vertical="center"/>
    </xf>
    <xf numFmtId="43" fontId="3" fillId="0" borderId="0" xfId="0" applyNumberFormat="1" applyFont="1" applyBorder="1" applyAlignment="1">
      <alignment vertical="center"/>
    </xf>
    <xf numFmtId="43" fontId="3" fillId="8" borderId="0" xfId="0" applyNumberFormat="1" applyFont="1" applyFill="1" applyAlignment="1">
      <alignment vertical="center"/>
    </xf>
    <xf numFmtId="43" fontId="7" fillId="0" borderId="0" xfId="0" applyNumberFormat="1" applyFont="1" applyAlignment="1">
      <alignment vertical="center"/>
    </xf>
    <xf numFmtId="43" fontId="64" fillId="0" borderId="0" xfId="0" applyNumberFormat="1" applyFont="1" applyAlignment="1">
      <alignment vertical="center"/>
    </xf>
    <xf numFmtId="43" fontId="1" fillId="0" borderId="0" xfId="0" applyNumberFormat="1" applyFont="1" applyAlignment="1">
      <alignment horizontal="center" vertical="center"/>
    </xf>
    <xf numFmtId="31" fontId="7" fillId="2" borderId="1" xfId="0" applyNumberFormat="1" applyFont="1" applyFill="1" applyBorder="1" applyAlignment="1">
      <alignment horizontal="center" vertical="center"/>
    </xf>
    <xf numFmtId="4" fontId="7" fillId="0" borderId="10" xfId="0" applyNumberFormat="1" applyFont="1" applyFill="1" applyBorder="1" applyAlignment="1">
      <alignment horizontal="left" vertical="center"/>
    </xf>
    <xf numFmtId="49" fontId="3" fillId="0" borderId="10" xfId="0" applyNumberFormat="1" applyFont="1" applyBorder="1" applyAlignment="1">
      <alignment horizontal="center" vertical="center"/>
    </xf>
    <xf numFmtId="192" fontId="3" fillId="0" borderId="10" xfId="0" applyNumberFormat="1" applyFont="1" applyBorder="1" applyAlignment="1">
      <alignment vertical="center"/>
    </xf>
    <xf numFmtId="4" fontId="3" fillId="0" borderId="27" xfId="0" applyNumberFormat="1" applyFont="1" applyFill="1" applyBorder="1" applyAlignment="1">
      <alignment horizontal="left" vertical="center"/>
    </xf>
    <xf numFmtId="49" fontId="3" fillId="0" borderId="27" xfId="0" applyNumberFormat="1" applyFont="1" applyBorder="1" applyAlignment="1">
      <alignment horizontal="center" vertical="center"/>
    </xf>
    <xf numFmtId="192" fontId="3" fillId="0" borderId="27" xfId="0" applyNumberFormat="1" applyFont="1" applyBorder="1" applyAlignment="1">
      <alignment vertical="center"/>
    </xf>
    <xf numFmtId="198" fontId="3" fillId="0" borderId="27" xfId="0" applyNumberFormat="1" applyFont="1" applyFill="1" applyBorder="1" applyAlignment="1">
      <alignment vertical="center" wrapText="1"/>
    </xf>
    <xf numFmtId="198" fontId="13" fillId="0" borderId="27" xfId="0" applyNumberFormat="1" applyFont="1" applyFill="1" applyBorder="1" applyAlignment="1">
      <alignment vertical="center" wrapText="1"/>
    </xf>
    <xf numFmtId="198" fontId="13" fillId="8" borderId="27" xfId="0" applyNumberFormat="1" applyFont="1" applyFill="1" applyBorder="1" applyAlignment="1">
      <alignment vertical="center"/>
    </xf>
    <xf numFmtId="49" fontId="3" fillId="8" borderId="27" xfId="0" applyNumberFormat="1" applyFont="1" applyFill="1" applyBorder="1" applyAlignment="1">
      <alignment horizontal="center" vertical="center"/>
    </xf>
    <xf numFmtId="192" fontId="3" fillId="8" borderId="27" xfId="0" applyNumberFormat="1" applyFont="1" applyFill="1" applyBorder="1" applyAlignment="1">
      <alignment vertical="center"/>
    </xf>
    <xf numFmtId="198" fontId="3" fillId="0" borderId="27" xfId="0" applyNumberFormat="1" applyFont="1" applyFill="1" applyBorder="1" applyAlignment="1">
      <alignment vertical="center"/>
    </xf>
    <xf numFmtId="49" fontId="3" fillId="0" borderId="27" xfId="0" applyNumberFormat="1" applyFont="1" applyFill="1" applyBorder="1" applyAlignment="1">
      <alignment horizontal="center" vertical="center"/>
    </xf>
    <xf numFmtId="198" fontId="7" fillId="0" borderId="27" xfId="0" applyNumberFormat="1" applyFont="1" applyFill="1" applyBorder="1" applyAlignment="1">
      <alignment vertical="center"/>
    </xf>
    <xf numFmtId="192" fontId="7" fillId="0" borderId="27" xfId="0" applyNumberFormat="1" applyFont="1" applyBorder="1" applyAlignment="1">
      <alignment vertical="center"/>
    </xf>
    <xf numFmtId="0" fontId="7" fillId="10" borderId="24" xfId="0" applyFont="1" applyFill="1" applyBorder="1" applyAlignment="1">
      <alignment horizontal="center" vertical="center" shrinkToFit="1"/>
    </xf>
    <xf numFmtId="4" fontId="65" fillId="0" borderId="27" xfId="0" applyNumberFormat="1" applyFont="1" applyFill="1" applyBorder="1" applyAlignment="1">
      <alignment horizontal="left" vertical="center" wrapText="1" indent="1"/>
    </xf>
    <xf numFmtId="4" fontId="63" fillId="0" borderId="27" xfId="0" applyNumberFormat="1" applyFont="1" applyFill="1" applyBorder="1" applyAlignment="1">
      <alignment horizontal="left" vertical="center" wrapText="1" indent="4"/>
    </xf>
    <xf numFmtId="4" fontId="13" fillId="0" borderId="27" xfId="0" applyNumberFormat="1" applyFont="1" applyFill="1" applyBorder="1" applyAlignment="1">
      <alignment horizontal="left" vertical="center" wrapText="1"/>
    </xf>
    <xf numFmtId="0" fontId="7" fillId="0" borderId="0" xfId="0" applyFont="1" applyBorder="1" applyAlignment="1">
      <alignment horizontal="center" vertical="center" shrinkToFit="1"/>
    </xf>
    <xf numFmtId="0" fontId="7" fillId="10" borderId="0" xfId="0" applyFont="1" applyFill="1" applyBorder="1" applyAlignment="1">
      <alignment horizontal="center" vertical="center" shrinkToFit="1"/>
    </xf>
    <xf numFmtId="198" fontId="13" fillId="0" borderId="27" xfId="0" applyNumberFormat="1" applyFont="1" applyFill="1" applyBorder="1" applyAlignment="1">
      <alignment vertical="center"/>
    </xf>
    <xf numFmtId="198" fontId="3" fillId="0" borderId="27" xfId="0" applyNumberFormat="1" applyFont="1" applyFill="1" applyBorder="1" applyAlignment="1">
      <alignment horizontal="left" vertical="center"/>
    </xf>
    <xf numFmtId="198" fontId="7" fillId="0" borderId="27" xfId="0" applyNumberFormat="1" applyFont="1" applyFill="1" applyBorder="1" applyAlignment="1">
      <alignment horizontal="left" vertical="center"/>
    </xf>
    <xf numFmtId="198" fontId="7" fillId="0" borderId="28" xfId="0" applyNumberFormat="1" applyFont="1" applyFill="1" applyBorder="1" applyAlignment="1">
      <alignment horizontal="left" vertical="center"/>
    </xf>
    <xf numFmtId="49" fontId="3" fillId="0" borderId="28" xfId="0" applyNumberFormat="1" applyFont="1" applyBorder="1" applyAlignment="1">
      <alignment horizontal="center" vertical="center"/>
    </xf>
    <xf numFmtId="192" fontId="7" fillId="0" borderId="28" xfId="0" applyNumberFormat="1" applyFont="1" applyBorder="1" applyAlignment="1">
      <alignment vertical="center"/>
    </xf>
    <xf numFmtId="43" fontId="5" fillId="0" borderId="0" xfId="0" applyNumberFormat="1" applyFont="1" applyAlignment="1">
      <alignment vertical="center"/>
    </xf>
    <xf numFmtId="43" fontId="5" fillId="0" borderId="0" xfId="0" applyNumberFormat="1" applyFont="1" applyAlignment="1">
      <alignment horizontal="left" vertical="center"/>
    </xf>
    <xf numFmtId="43" fontId="3" fillId="0" borderId="0" xfId="0" applyNumberFormat="1" applyFont="1" applyFill="1" applyBorder="1" applyAlignment="1">
      <alignment horizontal="center" vertical="center"/>
    </xf>
    <xf numFmtId="43" fontId="3" fillId="8" borderId="0" xfId="0" applyNumberFormat="1" applyFont="1" applyFill="1" applyBorder="1" applyAlignment="1">
      <alignment horizontal="center" vertical="center"/>
    </xf>
    <xf numFmtId="43" fontId="7" fillId="0" borderId="0" xfId="0" applyNumberFormat="1" applyFont="1" applyFill="1" applyBorder="1" applyAlignment="1">
      <alignment horizontal="center" vertical="center"/>
    </xf>
    <xf numFmtId="43" fontId="7" fillId="8" borderId="0" xfId="0" applyNumberFormat="1" applyFont="1" applyFill="1" applyBorder="1" applyAlignment="1">
      <alignment horizontal="center" vertical="center"/>
    </xf>
    <xf numFmtId="43" fontId="2" fillId="0" borderId="0" xfId="0" applyNumberFormat="1" applyFont="1" applyFill="1" applyBorder="1" applyAlignment="1">
      <alignment horizontal="center" vertical="center"/>
    </xf>
    <xf numFmtId="0" fontId="3" fillId="0" borderId="0" xfId="49" applyFont="1" applyFill="1" applyAlignment="1">
      <alignment horizontal="center" vertical="center"/>
    </xf>
    <xf numFmtId="43" fontId="7" fillId="2" borderId="1" xfId="0" applyNumberFormat="1" applyFont="1" applyFill="1" applyBorder="1" applyAlignment="1">
      <alignment horizontal="center" vertical="center"/>
    </xf>
    <xf numFmtId="49" fontId="7" fillId="0" borderId="27" xfId="0" applyNumberFormat="1" applyFont="1" applyFill="1" applyBorder="1" applyAlignment="1">
      <alignment horizontal="center" vertical="center"/>
    </xf>
    <xf numFmtId="43" fontId="3" fillId="0" borderId="27" xfId="0" applyNumberFormat="1" applyFont="1" applyFill="1" applyBorder="1" applyAlignment="1">
      <alignment horizontal="center" vertical="center"/>
    </xf>
    <xf numFmtId="0" fontId="7" fillId="0" borderId="0" xfId="0" applyFont="1" applyBorder="1" applyAlignment="1">
      <alignment horizontal="center" vertical="center" wrapText="1"/>
    </xf>
    <xf numFmtId="192" fontId="3" fillId="0" borderId="27" xfId="0" applyNumberFormat="1" applyFont="1" applyFill="1" applyBorder="1" applyAlignment="1">
      <alignment horizontal="center" vertical="center"/>
    </xf>
    <xf numFmtId="198" fontId="3" fillId="0" borderId="27" xfId="0" applyNumberFormat="1" applyFont="1" applyFill="1" applyBorder="1" applyAlignment="1">
      <alignment horizontal="center" vertical="center" wrapText="1"/>
    </xf>
    <xf numFmtId="198" fontId="13" fillId="0" borderId="27" xfId="0" applyNumberFormat="1" applyFont="1" applyFill="1" applyBorder="1" applyAlignment="1">
      <alignment horizontal="center" vertical="center" wrapText="1"/>
    </xf>
    <xf numFmtId="49" fontId="13" fillId="8" borderId="27" xfId="0" applyNumberFormat="1" applyFont="1" applyFill="1" applyBorder="1" applyAlignment="1">
      <alignment horizontal="center" vertical="center"/>
    </xf>
    <xf numFmtId="192" fontId="3" fillId="8" borderId="27" xfId="0" applyNumberFormat="1" applyFont="1" applyFill="1" applyBorder="1" applyAlignment="1">
      <alignment horizontal="center" vertical="center"/>
    </xf>
    <xf numFmtId="192" fontId="7" fillId="0" borderId="27" xfId="0" applyNumberFormat="1" applyFont="1" applyFill="1" applyBorder="1" applyAlignment="1">
      <alignment horizontal="center" vertical="center"/>
    </xf>
    <xf numFmtId="49" fontId="7" fillId="0" borderId="11" xfId="0" applyNumberFormat="1" applyFont="1" applyFill="1" applyBorder="1" applyAlignment="1">
      <alignment horizontal="center" vertical="center"/>
    </xf>
    <xf numFmtId="192" fontId="7" fillId="0" borderId="11" xfId="0" applyNumberFormat="1" applyFont="1" applyFill="1" applyBorder="1" applyAlignment="1">
      <alignment horizontal="center" vertical="center"/>
    </xf>
    <xf numFmtId="0" fontId="33" fillId="0" borderId="0" xfId="0" applyFont="1" applyBorder="1" applyAlignment="1">
      <alignment horizontal="center" vertical="center" wrapText="1"/>
    </xf>
    <xf numFmtId="192" fontId="2" fillId="0" borderId="0" xfId="0" applyNumberFormat="1" applyFont="1" applyFill="1" applyBorder="1" applyAlignment="1">
      <alignment horizontal="center" vertical="center"/>
    </xf>
    <xf numFmtId="183" fontId="2" fillId="0" borderId="0" xfId="0" applyNumberFormat="1" applyFont="1" applyFill="1" applyBorder="1" applyAlignment="1">
      <alignment horizontal="center" vertical="center"/>
    </xf>
    <xf numFmtId="0" fontId="3" fillId="0" borderId="0" xfId="0" applyFont="1" applyAlignment="1">
      <alignment horizontal="center" vertical="center"/>
    </xf>
    <xf numFmtId="0" fontId="1" fillId="0" borderId="0" xfId="0" applyFont="1" applyAlignment="1">
      <alignment horizontal="center" vertical="center"/>
    </xf>
    <xf numFmtId="182" fontId="1" fillId="3" borderId="1" xfId="5" applyFont="1" applyFill="1" applyBorder="1" applyAlignment="1">
      <alignment horizontal="center" vertical="center"/>
    </xf>
    <xf numFmtId="0" fontId="20" fillId="0" borderId="0" xfId="6" applyFont="1" applyAlignment="1" applyProtection="1">
      <alignment horizontal="center"/>
    </xf>
    <xf numFmtId="0" fontId="3" fillId="0" borderId="10" xfId="0" applyFont="1" applyFill="1" applyBorder="1" applyAlignment="1">
      <alignment horizontal="center" vertical="center"/>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13" fillId="0" borderId="10" xfId="0" applyFont="1" applyBorder="1" applyAlignment="1">
      <alignment horizontal="left" vertical="center" wrapText="1"/>
    </xf>
    <xf numFmtId="0" fontId="3" fillId="0" borderId="0" xfId="0" applyFont="1" applyAlignment="1">
      <alignment horizontal="left" vertical="center"/>
    </xf>
    <xf numFmtId="0" fontId="1" fillId="0" borderId="0" xfId="0" applyNumberFormat="1" applyFont="1" applyAlignment="1">
      <alignment vertical="center"/>
    </xf>
    <xf numFmtId="0" fontId="3" fillId="0" borderId="0" xfId="0" applyFont="1" applyAlignment="1">
      <alignment vertical="center"/>
    </xf>
    <xf numFmtId="0" fontId="2" fillId="0" borderId="0" xfId="0" applyFont="1" applyAlignment="1">
      <alignment vertical="center"/>
    </xf>
    <xf numFmtId="0" fontId="1" fillId="0" borderId="0" xfId="0" applyNumberFormat="1" applyFont="1" applyAlignment="1">
      <alignment horizontal="right" vertical="center"/>
    </xf>
    <xf numFmtId="0" fontId="1" fillId="0" borderId="0" xfId="0" applyNumberFormat="1" applyFont="1" applyAlignment="1">
      <alignment horizontal="center" vertical="center"/>
    </xf>
    <xf numFmtId="0" fontId="3" fillId="0" borderId="0" xfId="44" applyFont="1" applyFill="1" applyBorder="1" applyAlignment="1" applyProtection="1">
      <alignment horizontal="left" vertical="center"/>
    </xf>
    <xf numFmtId="0" fontId="3" fillId="2" borderId="1" xfId="44" applyFont="1" applyFill="1" applyBorder="1" applyAlignment="1" applyProtection="1">
      <alignment vertical="center"/>
    </xf>
    <xf numFmtId="0" fontId="3" fillId="0" borderId="0" xfId="44" applyFont="1" applyFill="1" applyBorder="1" applyAlignment="1" applyProtection="1">
      <alignment vertical="center"/>
    </xf>
    <xf numFmtId="197" fontId="3" fillId="0" borderId="0" xfId="44" applyNumberFormat="1" applyFont="1" applyFill="1" applyBorder="1" applyAlignment="1" applyProtection="1">
      <alignment vertical="center"/>
      <protection locked="0"/>
    </xf>
    <xf numFmtId="0" fontId="3" fillId="2" borderId="1" xfId="44" applyFont="1" applyFill="1" applyBorder="1" applyAlignment="1" applyProtection="1">
      <alignment horizontal="center" vertical="center"/>
    </xf>
    <xf numFmtId="0" fontId="2" fillId="0" borderId="0" xfId="44" applyFont="1" applyFill="1" applyBorder="1" applyAlignment="1" applyProtection="1">
      <alignment vertical="center"/>
    </xf>
    <xf numFmtId="0" fontId="2"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vertical="center"/>
    </xf>
    <xf numFmtId="0" fontId="2" fillId="0" borderId="0" xfId="0" applyFont="1" applyAlignment="1">
      <alignment horizontal="right" vertical="center"/>
    </xf>
    <xf numFmtId="0" fontId="3" fillId="0" borderId="1" xfId="0" applyFont="1" applyFill="1" applyBorder="1" applyAlignment="1">
      <alignment vertical="center"/>
    </xf>
    <xf numFmtId="0" fontId="66" fillId="0" borderId="1" xfId="6" applyFont="1" applyFill="1" applyBorder="1" applyAlignment="1" applyProtection="1">
      <alignment horizontal="center" vertical="center"/>
    </xf>
    <xf numFmtId="0" fontId="67" fillId="0" borderId="1" xfId="6" applyFont="1" applyFill="1" applyBorder="1" applyAlignment="1" applyProtection="1">
      <alignment horizontal="center" vertical="center"/>
    </xf>
    <xf numFmtId="0" fontId="3" fillId="0" borderId="1" xfId="0" applyFont="1" applyFill="1" applyBorder="1" applyAlignment="1">
      <alignment vertical="center" wrapText="1"/>
    </xf>
    <xf numFmtId="0" fontId="13" fillId="0" borderId="1" xfId="0" applyFont="1" applyFill="1" applyBorder="1" applyAlignment="1">
      <alignment horizontal="left" vertical="center" wrapText="1"/>
    </xf>
    <xf numFmtId="0" fontId="68" fillId="0" borderId="1" xfId="0" applyFont="1" applyBorder="1" applyAlignment="1">
      <alignment horizontal="center" vertical="center"/>
    </xf>
    <xf numFmtId="0" fontId="69" fillId="0" borderId="1" xfId="6" applyFont="1" applyFill="1" applyBorder="1" applyAlignment="1" applyProtection="1">
      <alignment horizontal="center" vertical="center"/>
    </xf>
    <xf numFmtId="0" fontId="7" fillId="0" borderId="0" xfId="0" applyFont="1" applyFill="1" applyBorder="1" applyAlignment="1">
      <alignment vertical="center"/>
    </xf>
    <xf numFmtId="0" fontId="2" fillId="0" borderId="0" xfId="0" applyFont="1" applyFill="1" applyBorder="1" applyAlignment="1">
      <alignment vertical="center"/>
    </xf>
    <xf numFmtId="0" fontId="13" fillId="0" borderId="1" xfId="0" applyFont="1" applyBorder="1" applyAlignment="1">
      <alignment horizontal="left" wrapText="1"/>
    </xf>
    <xf numFmtId="0" fontId="3" fillId="8" borderId="1" xfId="0" applyFont="1" applyFill="1" applyBorder="1" applyAlignment="1">
      <alignment horizontal="center" vertical="center" wrapText="1"/>
    </xf>
    <xf numFmtId="0" fontId="3" fillId="8" borderId="0" xfId="0" applyFont="1" applyFill="1" applyAlignment="1">
      <alignment vertical="center"/>
    </xf>
    <xf numFmtId="0" fontId="13" fillId="8"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5" fillId="2" borderId="1" xfId="0" applyFont="1" applyFill="1" applyBorder="1" applyAlignment="1" applyProtection="1">
      <alignment horizontal="center" vertical="center" wrapText="1"/>
      <protection locked="0"/>
    </xf>
    <xf numFmtId="0" fontId="22" fillId="2" borderId="1" xfId="0" applyFont="1" applyFill="1" applyBorder="1" applyAlignment="1">
      <alignment horizontal="center" vertical="center" wrapText="1"/>
    </xf>
    <xf numFmtId="0" fontId="22" fillId="2" borderId="1" xfId="0" applyFont="1" applyFill="1" applyBorder="1" applyAlignment="1">
      <alignment horizontal="center" vertical="top" wrapText="1"/>
    </xf>
    <xf numFmtId="0" fontId="23" fillId="0" borderId="8" xfId="0" applyFont="1" applyBorder="1" applyAlignment="1">
      <alignment horizontal="left" vertical="center"/>
    </xf>
    <xf numFmtId="0" fontId="23" fillId="0" borderId="9" xfId="0" applyFont="1" applyBorder="1" applyAlignment="1">
      <alignment horizontal="left" vertical="center"/>
    </xf>
    <xf numFmtId="0" fontId="36" fillId="2" borderId="1" xfId="0" applyFont="1" applyFill="1" applyBorder="1" applyAlignment="1">
      <alignment horizontal="center" vertical="center" wrapText="1"/>
    </xf>
    <xf numFmtId="0" fontId="35" fillId="0" borderId="0"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27" xfId="0" applyFont="1" applyFill="1" applyBorder="1" applyAlignment="1">
      <alignment horizontal="center" vertical="center"/>
    </xf>
    <xf numFmtId="0" fontId="3" fillId="0" borderId="27" xfId="0" applyFont="1" applyBorder="1" applyAlignment="1">
      <alignment horizontal="left" vertical="center" wrapText="1"/>
    </xf>
    <xf numFmtId="0" fontId="13" fillId="0" borderId="27" xfId="0" applyFont="1" applyBorder="1" applyAlignment="1">
      <alignment horizontal="left" vertical="center" wrapText="1"/>
    </xf>
    <xf numFmtId="49" fontId="13" fillId="0" borderId="27" xfId="0" applyNumberFormat="1" applyFont="1" applyFill="1" applyBorder="1" applyAlignment="1">
      <alignment horizontal="center" vertical="center"/>
    </xf>
    <xf numFmtId="192" fontId="3" fillId="0" borderId="27" xfId="0" applyNumberFormat="1" applyFont="1" applyFill="1" applyBorder="1" applyAlignment="1">
      <alignment vertical="center"/>
    </xf>
    <xf numFmtId="192" fontId="3" fillId="0" borderId="26" xfId="2" applyNumberFormat="1" applyFont="1" applyFill="1" applyBorder="1" applyAlignment="1">
      <alignment vertical="center"/>
    </xf>
    <xf numFmtId="43" fontId="7" fillId="0" borderId="24" xfId="2" applyNumberFormat="1" applyFont="1" applyFill="1" applyBorder="1" applyAlignment="1">
      <alignment vertical="center"/>
    </xf>
    <xf numFmtId="43" fontId="7" fillId="0" borderId="0" xfId="2" applyNumberFormat="1" applyFont="1" applyFill="1" applyBorder="1" applyAlignment="1">
      <alignment vertical="center"/>
    </xf>
    <xf numFmtId="43" fontId="3" fillId="0" borderId="24" xfId="2" applyNumberFormat="1" applyFont="1" applyFill="1" applyBorder="1" applyAlignment="1">
      <alignment vertical="center"/>
    </xf>
    <xf numFmtId="43" fontId="3" fillId="0" borderId="0" xfId="2" applyNumberFormat="1" applyFont="1" applyFill="1" applyBorder="1" applyAlignment="1">
      <alignment vertical="center"/>
    </xf>
    <xf numFmtId="49" fontId="7" fillId="8" borderId="27" xfId="0" applyNumberFormat="1" applyFont="1" applyFill="1" applyBorder="1" applyAlignment="1">
      <alignment horizontal="center" vertical="center"/>
    </xf>
    <xf numFmtId="192" fontId="7" fillId="8" borderId="27" xfId="0" applyNumberFormat="1" applyFont="1" applyFill="1" applyBorder="1" applyAlignment="1">
      <alignment horizontal="center" vertical="center"/>
    </xf>
    <xf numFmtId="4" fontId="13" fillId="8" borderId="27" xfId="0" applyNumberFormat="1" applyFont="1" applyFill="1" applyBorder="1" applyAlignment="1">
      <alignment horizontal="left" vertical="center"/>
    </xf>
    <xf numFmtId="4" fontId="13" fillId="8" borderId="24" xfId="0" applyNumberFormat="1" applyFont="1" applyFill="1" applyBorder="1" applyAlignment="1">
      <alignment horizontal="left" vertical="center" wrapText="1" indent="4"/>
    </xf>
    <xf numFmtId="4" fontId="3" fillId="0" borderId="24" xfId="0" applyNumberFormat="1" applyFont="1" applyFill="1" applyBorder="1" applyAlignment="1">
      <alignment horizontal="left" vertical="center" wrapText="1" indent="4"/>
    </xf>
    <xf numFmtId="43" fontId="3" fillId="0" borderId="25" xfId="2" applyNumberFormat="1" applyFont="1" applyFill="1" applyBorder="1" applyAlignment="1">
      <alignment horizontal="left" vertical="center"/>
    </xf>
    <xf numFmtId="192" fontId="7" fillId="0" borderId="26" xfId="2" applyNumberFormat="1" applyFont="1" applyFill="1" applyBorder="1" applyAlignment="1">
      <alignment vertical="center"/>
    </xf>
    <xf numFmtId="43" fontId="1" fillId="0" borderId="0" xfId="2" applyNumberFormat="1" applyFont="1" applyFill="1" applyBorder="1" applyAlignment="1">
      <alignment vertical="center"/>
    </xf>
    <xf numFmtId="4" fontId="63" fillId="8" borderId="24" xfId="0" applyNumberFormat="1" applyFont="1" applyFill="1" applyBorder="1" applyAlignment="1">
      <alignment horizontal="left" vertical="center" wrapText="1" indent="4"/>
    </xf>
    <xf numFmtId="178" fontId="13" fillId="8" borderId="1" xfId="5" applyNumberFormat="1" applyFont="1" applyFill="1" applyBorder="1" applyAlignment="1" applyProtection="1">
      <alignment vertical="center"/>
      <protection locked="0"/>
    </xf>
    <xf numFmtId="178" fontId="13" fillId="8" borderId="1" xfId="5" applyNumberFormat="1" applyFont="1" applyFill="1" applyBorder="1" applyAlignment="1">
      <alignment vertical="center"/>
    </xf>
    <xf numFmtId="0" fontId="36" fillId="2" borderId="1" xfId="0" applyFont="1" applyFill="1" applyBorder="1" applyAlignment="1">
      <alignment horizontal="center" vertical="center" wrapText="1"/>
    </xf>
    <xf numFmtId="0" fontId="5" fillId="2" borderId="0" xfId="0" applyFont="1" applyFill="1" applyBorder="1" applyAlignment="1">
      <alignment horizontal="center" vertical="center"/>
    </xf>
    <xf numFmtId="0" fontId="7" fillId="2" borderId="1" xfId="0" applyFont="1" applyFill="1" applyBorder="1" applyAlignment="1" applyProtection="1">
      <alignment horizontal="center" wrapText="1"/>
      <protection locked="0"/>
    </xf>
    <xf numFmtId="0" fontId="3" fillId="0" borderId="1" xfId="0" applyFont="1" applyBorder="1" applyAlignment="1">
      <alignment horizontal="center" vertical="center" wrapText="1"/>
    </xf>
    <xf numFmtId="0" fontId="27" fillId="0" borderId="0" xfId="0" applyFont="1" applyFill="1" applyBorder="1" applyAlignment="1">
      <alignment horizontal="center" vertical="center"/>
    </xf>
    <xf numFmtId="0" fontId="49" fillId="2" borderId="1" xfId="0" applyFont="1" applyFill="1" applyBorder="1" applyAlignment="1">
      <alignment horizontal="center" vertical="center" wrapText="1"/>
    </xf>
    <xf numFmtId="0" fontId="102" fillId="2" borderId="1" xfId="0" applyFont="1" applyFill="1" applyBorder="1" applyAlignment="1">
      <alignment horizontal="center" vertical="center" wrapText="1"/>
    </xf>
    <xf numFmtId="0" fontId="40" fillId="0" borderId="8" xfId="0" applyFont="1" applyBorder="1" applyAlignment="1">
      <alignment horizontal="left" vertical="center"/>
    </xf>
    <xf numFmtId="44" fontId="23" fillId="3" borderId="1" xfId="5" applyNumberFormat="1" applyFont="1" applyFill="1" applyBorder="1" applyAlignment="1">
      <alignment horizontal="center" vertical="center" wrapText="1"/>
    </xf>
    <xf numFmtId="0" fontId="27" fillId="2" borderId="10" xfId="0" applyFont="1" applyFill="1" applyBorder="1" applyAlignment="1">
      <alignment horizontal="center" vertical="center"/>
    </xf>
    <xf numFmtId="0" fontId="27" fillId="2" borderId="0" xfId="0" applyFont="1" applyFill="1" applyBorder="1" applyAlignment="1">
      <alignment horizontal="center"/>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xf>
    <xf numFmtId="0" fontId="28" fillId="0" borderId="0" xfId="0" applyFont="1" applyBorder="1" applyAlignment="1">
      <alignment horizontal="left" vertical="center"/>
    </xf>
    <xf numFmtId="0" fontId="135" fillId="0" borderId="0" xfId="0" applyFont="1"/>
    <xf numFmtId="0" fontId="13" fillId="0" borderId="1" xfId="0" applyFont="1" applyBorder="1" applyAlignment="1" applyProtection="1">
      <alignment horizontal="center" wrapText="1"/>
      <protection locked="0"/>
    </xf>
    <xf numFmtId="0" fontId="28" fillId="0" borderId="1" xfId="0" applyFont="1" applyBorder="1" applyAlignment="1">
      <alignment horizontal="center" vertical="center" wrapText="1"/>
    </xf>
    <xf numFmtId="0" fontId="105" fillId="0" borderId="0" xfId="0" applyFont="1" applyFill="1" applyBorder="1" applyAlignment="1">
      <alignment horizontal="left" vertical="center"/>
    </xf>
    <xf numFmtId="0" fontId="56" fillId="0" borderId="1" xfId="0" applyFont="1" applyBorder="1" applyAlignment="1">
      <alignment horizontal="center" wrapText="1"/>
    </xf>
    <xf numFmtId="0" fontId="50" fillId="0" borderId="1" xfId="0" applyFont="1" applyBorder="1" applyAlignment="1">
      <alignment horizontal="center" wrapText="1"/>
    </xf>
    <xf numFmtId="0" fontId="103" fillId="2"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8" borderId="1" xfId="0" applyFont="1" applyFill="1" applyBorder="1" applyAlignment="1">
      <alignment vertical="center"/>
    </xf>
    <xf numFmtId="0" fontId="67" fillId="8" borderId="1" xfId="6" applyFont="1" applyFill="1" applyBorder="1" applyAlignment="1" applyProtection="1">
      <alignment horizontal="center" vertical="center"/>
    </xf>
    <xf numFmtId="0" fontId="10" fillId="8" borderId="1" xfId="0" applyFont="1" applyFill="1" applyBorder="1" applyAlignment="1">
      <alignment horizontal="center" vertical="center"/>
    </xf>
    <xf numFmtId="0" fontId="13" fillId="8" borderId="1" xfId="0" applyFont="1" applyFill="1" applyBorder="1" applyAlignment="1">
      <alignment vertical="center"/>
    </xf>
    <xf numFmtId="0" fontId="3" fillId="8" borderId="1" xfId="0" applyFont="1" applyFill="1" applyBorder="1" applyAlignment="1">
      <alignment horizontal="left" vertical="center" wrapText="1"/>
    </xf>
    <xf numFmtId="198" fontId="19" fillId="0" borderId="27" xfId="0" applyNumberFormat="1" applyFont="1" applyFill="1" applyBorder="1" applyAlignment="1">
      <alignment vertical="center"/>
    </xf>
    <xf numFmtId="4" fontId="13" fillId="8" borderId="24" xfId="0" applyNumberFormat="1" applyFont="1" applyFill="1" applyBorder="1" applyAlignment="1">
      <alignment vertical="center" wrapText="1"/>
    </xf>
    <xf numFmtId="43" fontId="3" fillId="8" borderId="25" xfId="2" applyNumberFormat="1" applyFont="1" applyFill="1" applyBorder="1" applyAlignment="1">
      <alignment horizontal="left" vertical="center"/>
    </xf>
    <xf numFmtId="192" fontId="7" fillId="8" borderId="26" xfId="2" applyNumberFormat="1" applyFont="1" applyFill="1" applyBorder="1" applyAlignment="1">
      <alignment vertical="center"/>
    </xf>
    <xf numFmtId="4" fontId="63" fillId="0" borderId="24" xfId="0" applyNumberFormat="1" applyFont="1" applyFill="1" applyBorder="1" applyAlignment="1">
      <alignment horizontal="left" vertical="center" wrapText="1" indent="4"/>
    </xf>
    <xf numFmtId="178" fontId="13" fillId="0" borderId="1" xfId="5" applyNumberFormat="1" applyFont="1" applyBorder="1" applyAlignment="1" applyProtection="1">
      <alignment vertical="center"/>
      <protection locked="0"/>
    </xf>
    <xf numFmtId="178" fontId="68" fillId="8" borderId="1" xfId="5" applyNumberFormat="1" applyFont="1" applyFill="1" applyBorder="1" applyAlignment="1" applyProtection="1">
      <alignment vertical="center"/>
      <protection locked="0"/>
    </xf>
    <xf numFmtId="178" fontId="10" fillId="8" borderId="1" xfId="5" applyNumberFormat="1" applyFont="1" applyFill="1" applyBorder="1" applyAlignment="1" applyProtection="1">
      <alignment vertical="center"/>
      <protection locked="0"/>
    </xf>
    <xf numFmtId="178" fontId="13" fillId="0" borderId="1" xfId="5" applyNumberFormat="1" applyFont="1" applyFill="1" applyBorder="1" applyAlignment="1" applyProtection="1">
      <alignment vertical="center"/>
      <protection locked="0"/>
    </xf>
    <xf numFmtId="178" fontId="111" fillId="8" borderId="1" xfId="5" applyNumberFormat="1" applyFont="1" applyFill="1" applyBorder="1" applyAlignment="1" applyProtection="1">
      <alignment vertical="center"/>
      <protection locked="0"/>
    </xf>
    <xf numFmtId="178" fontId="38" fillId="0" borderId="1" xfId="5" applyNumberFormat="1" applyFont="1" applyBorder="1" applyAlignment="1" applyProtection="1">
      <alignment vertical="center"/>
      <protection locked="0"/>
    </xf>
    <xf numFmtId="0" fontId="5" fillId="2" borderId="0" xfId="0" applyFont="1" applyFill="1" applyBorder="1" applyAlignment="1">
      <alignment horizontal="center" vertical="center"/>
    </xf>
    <xf numFmtId="0" fontId="69" fillId="8" borderId="1" xfId="6" applyFont="1" applyFill="1" applyBorder="1" applyAlignment="1" applyProtection="1">
      <alignment horizontal="center" vertical="center"/>
    </xf>
    <xf numFmtId="0" fontId="3" fillId="0"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44" applyFont="1" applyFill="1" applyBorder="1" applyAlignment="1" applyProtection="1">
      <alignment horizontal="left" vertical="center"/>
      <protection locked="0"/>
    </xf>
    <xf numFmtId="0" fontId="3" fillId="2" borderId="1" xfId="44" applyFont="1" applyFill="1" applyBorder="1" applyAlignment="1" applyProtection="1">
      <alignment horizontal="center" vertical="center"/>
      <protection locked="0"/>
    </xf>
    <xf numFmtId="43" fontId="5" fillId="0" borderId="0" xfId="0" applyNumberFormat="1" applyFont="1" applyFill="1" applyBorder="1" applyAlignment="1">
      <alignment horizontal="center" vertical="center"/>
    </xf>
    <xf numFmtId="0" fontId="5" fillId="0" borderId="0" xfId="0" applyFont="1" applyAlignment="1">
      <alignment horizontal="center" vertical="center"/>
    </xf>
    <xf numFmtId="31" fontId="3" fillId="0" borderId="0" xfId="0" applyNumberFormat="1" applyFont="1" applyBorder="1" applyAlignment="1">
      <alignment horizontal="left" vertical="center"/>
    </xf>
    <xf numFmtId="43" fontId="3" fillId="0" borderId="0" xfId="0" applyNumberFormat="1" applyFont="1" applyBorder="1" applyAlignment="1">
      <alignment horizontal="left" vertical="center"/>
    </xf>
    <xf numFmtId="43" fontId="27" fillId="0" borderId="0" xfId="0" applyNumberFormat="1" applyFont="1" applyAlignment="1">
      <alignment horizontal="center" vertical="center"/>
    </xf>
    <xf numFmtId="43" fontId="62" fillId="0" borderId="0" xfId="0" applyNumberFormat="1" applyFont="1" applyAlignment="1">
      <alignment horizontal="center" vertical="center"/>
    </xf>
    <xf numFmtId="43" fontId="7" fillId="0" borderId="16" xfId="0" applyNumberFormat="1" applyFont="1" applyBorder="1" applyAlignment="1">
      <alignment horizontal="center" vertical="center"/>
    </xf>
    <xf numFmtId="43" fontId="7" fillId="0" borderId="20" xfId="0" applyNumberFormat="1" applyFont="1" applyBorder="1" applyAlignment="1">
      <alignment horizontal="center" vertical="center"/>
    </xf>
    <xf numFmtId="192" fontId="7" fillId="0" borderId="18" xfId="2" applyNumberFormat="1" applyFont="1" applyBorder="1" applyAlignment="1">
      <alignment horizontal="center" vertical="center"/>
    </xf>
    <xf numFmtId="192" fontId="7" fillId="0" borderId="16" xfId="2" applyNumberFormat="1" applyFont="1" applyBorder="1" applyAlignment="1">
      <alignment horizontal="center" vertical="center"/>
    </xf>
    <xf numFmtId="192" fontId="7" fillId="0" borderId="22" xfId="2" applyNumberFormat="1" applyFont="1" applyBorder="1" applyAlignment="1">
      <alignment horizontal="center" vertical="center"/>
    </xf>
    <xf numFmtId="192" fontId="7" fillId="0" borderId="20" xfId="2" applyNumberFormat="1" applyFont="1" applyBorder="1" applyAlignment="1">
      <alignment horizontal="center" vertical="center"/>
    </xf>
    <xf numFmtId="192" fontId="7" fillId="0" borderId="19" xfId="2" applyNumberFormat="1" applyFont="1" applyBorder="1" applyAlignment="1">
      <alignment horizontal="center" vertical="center"/>
    </xf>
    <xf numFmtId="192" fontId="7" fillId="0" borderId="23" xfId="2" applyNumberFormat="1" applyFont="1" applyBorder="1" applyAlignment="1">
      <alignment horizontal="center" vertical="center"/>
    </xf>
    <xf numFmtId="43" fontId="3" fillId="0" borderId="0" xfId="46" applyNumberFormat="1" applyFont="1" applyBorder="1" applyAlignment="1">
      <alignment horizontal="left" vertical="center" wrapText="1"/>
    </xf>
    <xf numFmtId="43" fontId="5" fillId="0" borderId="0" xfId="46" applyNumberFormat="1" applyFont="1" applyBorder="1" applyAlignment="1">
      <alignment horizontal="center" vertical="center"/>
    </xf>
    <xf numFmtId="43" fontId="7" fillId="10" borderId="16" xfId="46" applyNumberFormat="1" applyFont="1" applyFill="1" applyBorder="1" applyAlignment="1">
      <alignment horizontal="center" vertical="center"/>
    </xf>
    <xf numFmtId="43" fontId="7" fillId="10" borderId="20" xfId="46" applyNumberFormat="1" applyFont="1" applyFill="1" applyBorder="1" applyAlignment="1">
      <alignment horizontal="center" vertical="center"/>
    </xf>
    <xf numFmtId="43" fontId="7" fillId="10" borderId="17" xfId="46" applyNumberFormat="1" applyFont="1" applyFill="1" applyBorder="1" applyAlignment="1">
      <alignment horizontal="center" vertical="center"/>
    </xf>
    <xf numFmtId="43" fontId="7" fillId="10" borderId="21" xfId="46" applyNumberFormat="1" applyFont="1" applyFill="1" applyBorder="1" applyAlignment="1">
      <alignment horizontal="center" vertical="center"/>
    </xf>
    <xf numFmtId="0" fontId="5" fillId="0" borderId="1" xfId="49" applyFont="1" applyFill="1" applyBorder="1" applyAlignment="1">
      <alignment horizontal="center" vertical="center" wrapText="1"/>
    </xf>
    <xf numFmtId="0" fontId="58" fillId="0" borderId="1" xfId="49" applyFont="1" applyFill="1" applyBorder="1" applyAlignment="1">
      <alignment horizontal="center" vertical="center" wrapText="1"/>
    </xf>
    <xf numFmtId="0" fontId="59" fillId="0" borderId="1" xfId="49" applyFont="1" applyFill="1" applyBorder="1" applyAlignment="1">
      <alignment horizontal="center" vertical="center" wrapText="1"/>
    </xf>
    <xf numFmtId="43" fontId="60" fillId="0" borderId="1" xfId="2" applyNumberFormat="1" applyFont="1" applyFill="1" applyBorder="1" applyAlignment="1">
      <alignment horizontal="center" vertical="center" wrapText="1"/>
    </xf>
    <xf numFmtId="0" fontId="5" fillId="0" borderId="1" xfId="49" applyFont="1" applyFill="1" applyBorder="1" applyAlignment="1">
      <alignment horizontal="center" vertical="center"/>
    </xf>
    <xf numFmtId="0" fontId="57" fillId="0" borderId="1" xfId="49" applyFont="1" applyFill="1" applyBorder="1" applyAlignment="1">
      <alignment horizontal="center" vertical="center"/>
    </xf>
    <xf numFmtId="49" fontId="5" fillId="0" borderId="1" xfId="49" applyNumberFormat="1" applyFont="1" applyFill="1" applyBorder="1" applyAlignment="1">
      <alignment horizontal="center" vertical="center"/>
    </xf>
    <xf numFmtId="182" fontId="7" fillId="2" borderId="1" xfId="5" applyFont="1" applyFill="1" applyBorder="1" applyAlignment="1">
      <alignment horizontal="center" vertical="center" wrapText="1"/>
    </xf>
    <xf numFmtId="182" fontId="7" fillId="2" borderId="1" xfId="5" applyFont="1" applyFill="1" applyBorder="1" applyAlignment="1">
      <alignment horizontal="center" vertical="center"/>
    </xf>
    <xf numFmtId="0" fontId="7" fillId="2" borderId="1" xfId="44" applyFont="1" applyFill="1" applyBorder="1" applyAlignment="1" applyProtection="1">
      <alignment horizontal="center" vertical="center"/>
    </xf>
    <xf numFmtId="43" fontId="7" fillId="2" borderId="1" xfId="5" applyNumberFormat="1"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6" xfId="44" applyFont="1" applyFill="1" applyBorder="1" applyAlignment="1" applyProtection="1">
      <alignment horizontal="center" vertical="center"/>
    </xf>
    <xf numFmtId="0" fontId="5" fillId="2" borderId="7" xfId="44" applyFont="1" applyFill="1" applyBorder="1" applyAlignment="1" applyProtection="1">
      <alignment horizontal="center" vertical="center"/>
    </xf>
    <xf numFmtId="0" fontId="3" fillId="2" borderId="1" xfId="0" applyFont="1" applyFill="1" applyBorder="1" applyAlignment="1">
      <alignment horizontal="center" vertical="center" wrapText="1"/>
    </xf>
    <xf numFmtId="0" fontId="3" fillId="0" borderId="8"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8"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6" fillId="0" borderId="1" xfId="0" applyFont="1" applyBorder="1" applyAlignment="1">
      <alignment horizontal="center" vertical="center"/>
    </xf>
    <xf numFmtId="0" fontId="56"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5" fillId="2" borderId="1" xfId="0" applyFont="1" applyFill="1" applyBorder="1" applyAlignment="1" applyProtection="1">
      <alignment horizontal="center" vertical="center" wrapText="1"/>
      <protection locked="0"/>
    </xf>
    <xf numFmtId="0" fontId="103" fillId="2" borderId="1" xfId="0" applyFont="1" applyFill="1" applyBorder="1" applyAlignment="1">
      <alignment horizontal="center" vertical="center" wrapText="1"/>
    </xf>
    <xf numFmtId="0" fontId="18" fillId="0" borderId="0" xfId="0" applyFont="1" applyBorder="1" applyAlignment="1">
      <alignment vertical="top" wrapText="1"/>
    </xf>
    <xf numFmtId="0" fontId="96" fillId="0" borderId="0" xfId="0" applyFont="1" applyBorder="1" applyAlignment="1">
      <alignment horizontal="left" wrapText="1"/>
    </xf>
    <xf numFmtId="0" fontId="22" fillId="2" borderId="1" xfId="0" applyFont="1" applyFill="1" applyBorder="1" applyAlignment="1">
      <alignment horizontal="center" vertical="center" wrapText="1"/>
    </xf>
    <xf numFmtId="0" fontId="22" fillId="2" borderId="1" xfId="0" applyFont="1" applyFill="1" applyBorder="1" applyAlignment="1">
      <alignment horizontal="center" vertical="top" wrapText="1"/>
    </xf>
    <xf numFmtId="0" fontId="23" fillId="0" borderId="8" xfId="0" applyFont="1" applyBorder="1" applyAlignment="1">
      <alignment horizontal="left" vertical="center"/>
    </xf>
    <xf numFmtId="0" fontId="23" fillId="0" borderId="9" xfId="0" applyFont="1" applyBorder="1" applyAlignment="1">
      <alignment horizontal="left" vertical="center"/>
    </xf>
    <xf numFmtId="0" fontId="23" fillId="0" borderId="5" xfId="0" applyFont="1" applyBorder="1" applyAlignment="1">
      <alignment horizontal="left" vertical="center"/>
    </xf>
    <xf numFmtId="0" fontId="35" fillId="0" borderId="2" xfId="0" applyFont="1" applyBorder="1" applyAlignment="1">
      <alignment horizontal="left" vertical="center" wrapText="1"/>
    </xf>
    <xf numFmtId="0" fontId="52" fillId="2" borderId="1"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26" fillId="0" borderId="0" xfId="0" applyFont="1" applyBorder="1" applyAlignment="1">
      <alignment horizontal="left" vertical="center"/>
    </xf>
    <xf numFmtId="0" fontId="26" fillId="0" borderId="0" xfId="0" applyFont="1" applyBorder="1" applyAlignment="1">
      <alignment horizontal="left" vertical="center" wrapText="1"/>
    </xf>
    <xf numFmtId="0" fontId="26" fillId="0" borderId="0" xfId="0" applyFont="1" applyBorder="1" applyAlignment="1">
      <alignment horizontal="center" vertical="center" wrapText="1"/>
    </xf>
    <xf numFmtId="0" fontId="36" fillId="2" borderId="1" xfId="0" applyFont="1" applyFill="1" applyBorder="1" applyAlignment="1">
      <alignment horizontal="center" vertical="center" wrapText="1"/>
    </xf>
    <xf numFmtId="0" fontId="35" fillId="0" borderId="0" xfId="0" applyFont="1" applyBorder="1" applyAlignment="1">
      <alignment horizontal="left" vertical="center"/>
    </xf>
    <xf numFmtId="0" fontId="35" fillId="0" borderId="0" xfId="0" applyFont="1" applyBorder="1" applyAlignment="1">
      <alignment horizontal="left" vertical="center" wrapText="1"/>
    </xf>
    <xf numFmtId="0" fontId="51" fillId="2" borderId="1" xfId="0" applyFont="1" applyFill="1" applyBorder="1" applyAlignment="1">
      <alignment horizontal="center" vertical="center" wrapText="1"/>
    </xf>
    <xf numFmtId="0" fontId="7" fillId="0" borderId="0" xfId="0" applyFont="1" applyFill="1" applyBorder="1" applyAlignment="1">
      <alignment horizontal="left"/>
    </xf>
    <xf numFmtId="0" fontId="36" fillId="2" borderId="1" xfId="0" applyFont="1" applyFill="1" applyBorder="1" applyAlignment="1" applyProtection="1">
      <alignment horizontal="center" vertical="center" wrapText="1"/>
    </xf>
    <xf numFmtId="0" fontId="22" fillId="2" borderId="1" xfId="0" applyFont="1" applyFill="1" applyBorder="1" applyAlignment="1" applyProtection="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horizontal="center" wrapText="1"/>
    </xf>
    <xf numFmtId="0" fontId="33" fillId="0" borderId="0" xfId="0" applyFont="1" applyBorder="1" applyAlignment="1">
      <alignment horizontal="left" vertical="center"/>
    </xf>
    <xf numFmtId="0" fontId="8" fillId="0" borderId="0" xfId="0" applyFont="1" applyBorder="1" applyAlignment="1">
      <alignment horizontal="left" vertical="center"/>
    </xf>
    <xf numFmtId="0" fontId="33" fillId="2" borderId="1" xfId="0" applyFont="1" applyFill="1" applyBorder="1" applyAlignment="1">
      <alignment horizontal="center" vertical="center" wrapText="1"/>
    </xf>
    <xf numFmtId="0" fontId="26" fillId="0" borderId="0" xfId="0" applyFont="1" applyBorder="1" applyAlignment="1">
      <alignment horizontal="center" vertical="center"/>
    </xf>
    <xf numFmtId="0" fontId="8" fillId="0" borderId="1" xfId="0" applyFont="1" applyBorder="1" applyAlignment="1">
      <alignment horizontal="center" vertical="center"/>
    </xf>
    <xf numFmtId="0" fontId="34" fillId="0" borderId="0" xfId="0" applyFont="1" applyBorder="1" applyAlignment="1">
      <alignment horizontal="left" vertical="center"/>
    </xf>
    <xf numFmtId="0" fontId="3" fillId="0" borderId="1" xfId="0" applyFont="1" applyBorder="1" applyAlignment="1">
      <alignment horizontal="left" vertical="center" wrapText="1"/>
    </xf>
    <xf numFmtId="0" fontId="5" fillId="2" borderId="4" xfId="0" applyFont="1" applyFill="1" applyBorder="1" applyAlignment="1">
      <alignment horizontal="center" vertical="center"/>
    </xf>
    <xf numFmtId="0" fontId="5" fillId="2" borderId="0" xfId="0" applyFont="1" applyFill="1" applyBorder="1" applyAlignment="1">
      <alignment horizontal="center" vertical="center"/>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5" xfId="0" applyFont="1" applyBorder="1" applyAlignment="1">
      <alignment horizontal="left"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5" xfId="0" applyFont="1" applyBorder="1" applyAlignment="1">
      <alignment horizontal="center" vertical="center" wrapText="1"/>
    </xf>
    <xf numFmtId="0" fontId="50" fillId="0" borderId="1" xfId="0" applyFont="1" applyBorder="1" applyAlignment="1">
      <alignment horizontal="left" vertical="center" wrapText="1"/>
    </xf>
    <xf numFmtId="0" fontId="35" fillId="0" borderId="1" xfId="0" applyFont="1" applyBorder="1" applyAlignment="1">
      <alignment horizontal="left" vertical="center" wrapText="1"/>
    </xf>
    <xf numFmtId="0" fontId="28" fillId="0" borderId="1" xfId="0" applyFont="1" applyBorder="1" applyAlignment="1">
      <alignment horizontal="left" vertical="center"/>
    </xf>
    <xf numFmtId="0" fontId="26" fillId="0" borderId="1" xfId="0" applyFont="1" applyBorder="1" applyAlignment="1">
      <alignment horizontal="left" vertical="center"/>
    </xf>
    <xf numFmtId="0" fontId="26" fillId="0" borderId="8" xfId="0" applyFont="1" applyBorder="1" applyAlignment="1">
      <alignment horizontal="left" vertical="center"/>
    </xf>
    <xf numFmtId="0" fontId="26" fillId="0" borderId="9" xfId="0" applyFont="1" applyBorder="1" applyAlignment="1">
      <alignment horizontal="left" vertical="center"/>
    </xf>
    <xf numFmtId="0" fontId="26" fillId="0" borderId="5" xfId="0" applyFont="1" applyBorder="1" applyAlignment="1">
      <alignment horizontal="left" vertical="center"/>
    </xf>
    <xf numFmtId="0" fontId="34" fillId="0" borderId="8" xfId="0" applyFont="1" applyBorder="1" applyAlignment="1">
      <alignment horizontal="left" vertical="center"/>
    </xf>
    <xf numFmtId="0" fontId="34" fillId="0" borderId="9" xfId="0" applyFont="1" applyBorder="1" applyAlignment="1">
      <alignment horizontal="left" vertical="center"/>
    </xf>
    <xf numFmtId="0" fontId="34" fillId="0" borderId="5" xfId="0" applyFont="1" applyBorder="1" applyAlignment="1">
      <alignment horizontal="left" vertical="center"/>
    </xf>
    <xf numFmtId="0" fontId="3" fillId="0" borderId="1" xfId="0" applyFont="1" applyBorder="1" applyAlignment="1" applyProtection="1">
      <alignment horizontal="left" vertical="center" wrapText="1"/>
      <protection locked="0"/>
    </xf>
    <xf numFmtId="0" fontId="7" fillId="2" borderId="1" xfId="0" applyFont="1" applyFill="1" applyBorder="1" applyAlignment="1" applyProtection="1">
      <alignment horizontal="center" wrapText="1"/>
      <protection locked="0"/>
    </xf>
    <xf numFmtId="0" fontId="3" fillId="0" borderId="1" xfId="0" applyFont="1" applyBorder="1" applyAlignment="1" applyProtection="1">
      <alignment horizontal="left"/>
      <protection locked="0"/>
    </xf>
    <xf numFmtId="0" fontId="3" fillId="0" borderId="1" xfId="0" applyFont="1" applyBorder="1" applyAlignment="1" applyProtection="1">
      <alignment horizontal="left" wrapText="1"/>
      <protection locked="0"/>
    </xf>
    <xf numFmtId="0" fontId="26" fillId="0" borderId="1" xfId="0" applyFont="1" applyBorder="1" applyAlignment="1" applyProtection="1">
      <alignment horizontal="left" vertical="center" wrapText="1"/>
      <protection locked="0"/>
    </xf>
    <xf numFmtId="0" fontId="19" fillId="2" borderId="1" xfId="0" applyFont="1" applyFill="1" applyBorder="1" applyAlignment="1" applyProtection="1">
      <alignment horizontal="center" wrapText="1"/>
      <protection locked="0"/>
    </xf>
    <xf numFmtId="0" fontId="22" fillId="2" borderId="1" xfId="0" applyFont="1" applyFill="1" applyBorder="1" applyAlignment="1" applyProtection="1">
      <alignment horizontal="center" wrapText="1"/>
      <protection locked="0"/>
    </xf>
    <xf numFmtId="0" fontId="22" fillId="2" borderId="1" xfId="0" applyFont="1" applyFill="1" applyBorder="1" applyAlignment="1" applyProtection="1">
      <alignment horizontal="center" vertical="center" wrapText="1"/>
      <protection locked="0"/>
    </xf>
    <xf numFmtId="0" fontId="3" fillId="0" borderId="0" xfId="0" applyFont="1" applyBorder="1" applyAlignment="1" applyProtection="1">
      <alignment horizontal="left" wrapText="1"/>
      <protection locked="0"/>
    </xf>
    <xf numFmtId="0" fontId="38" fillId="0" borderId="0" xfId="0" applyFont="1" applyBorder="1" applyAlignment="1" applyProtection="1">
      <alignment horizontal="left" wrapText="1"/>
      <protection locked="0"/>
    </xf>
    <xf numFmtId="0" fontId="22" fillId="2" borderId="1" xfId="0" applyFont="1" applyFill="1" applyBorder="1" applyAlignment="1">
      <alignment horizontal="center" vertical="center"/>
    </xf>
    <xf numFmtId="0" fontId="75" fillId="0" borderId="0" xfId="0" applyFont="1" applyBorder="1" applyAlignment="1" applyProtection="1">
      <alignment horizontal="left" wrapText="1"/>
      <protection locked="0"/>
    </xf>
    <xf numFmtId="0" fontId="26" fillId="0" borderId="0" xfId="0" applyFont="1" applyBorder="1" applyAlignment="1" applyProtection="1">
      <alignment horizontal="left" vertical="center" wrapText="1"/>
      <protection locked="0"/>
    </xf>
    <xf numFmtId="0" fontId="26" fillId="0" borderId="0" xfId="0" applyFont="1" applyBorder="1" applyAlignment="1" applyProtection="1">
      <alignment horizontal="left" wrapText="1"/>
      <protection locked="0"/>
    </xf>
    <xf numFmtId="0" fontId="28" fillId="0" borderId="0" xfId="0" applyFont="1" applyBorder="1" applyAlignment="1" applyProtection="1">
      <alignment horizontal="left" wrapText="1"/>
      <protection locked="0"/>
    </xf>
    <xf numFmtId="0" fontId="35" fillId="0" borderId="0" xfId="0" applyFont="1" applyBorder="1" applyAlignment="1" applyProtection="1">
      <alignment horizontal="left" wrapText="1"/>
      <protection locked="0"/>
    </xf>
    <xf numFmtId="0" fontId="8" fillId="0" borderId="0" xfId="0" applyFont="1" applyFill="1" applyBorder="1" applyAlignment="1">
      <alignment horizontal="center" vertical="center" wrapText="1"/>
    </xf>
    <xf numFmtId="0" fontId="28" fillId="0" borderId="0" xfId="0" applyFont="1" applyBorder="1" applyAlignment="1" applyProtection="1">
      <alignment horizontal="left" vertical="center" wrapText="1"/>
      <protection locked="0"/>
    </xf>
    <xf numFmtId="0" fontId="3" fillId="0" borderId="0" xfId="0" applyFont="1" applyBorder="1" applyAlignment="1">
      <alignment horizontal="left" vertical="center" wrapText="1"/>
    </xf>
    <xf numFmtId="0" fontId="3"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8" xfId="0" applyFont="1" applyFill="1" applyBorder="1" applyAlignment="1">
      <alignment horizontal="left" vertical="center" wrapText="1"/>
    </xf>
    <xf numFmtId="0" fontId="4" fillId="0" borderId="9" xfId="0" applyFont="1" applyFill="1" applyBorder="1" applyAlignment="1">
      <alignment horizontal="left" vertical="center" wrapText="1"/>
    </xf>
    <xf numFmtId="0" fontId="4" fillId="0" borderId="5" xfId="0" applyFont="1" applyFill="1" applyBorder="1" applyAlignment="1">
      <alignment horizontal="left" vertical="center" wrapText="1"/>
    </xf>
    <xf numFmtId="0" fontId="7" fillId="2" borderId="1" xfId="0" applyFont="1" applyFill="1" applyBorder="1" applyAlignment="1">
      <alignment horizontal="center" vertical="center"/>
    </xf>
    <xf numFmtId="0" fontId="3" fillId="0" borderId="1" xfId="0" applyFont="1" applyBorder="1" applyAlignment="1">
      <alignment horizontal="center" vertical="center"/>
    </xf>
    <xf numFmtId="0" fontId="21" fillId="0" borderId="8" xfId="0" applyFont="1" applyFill="1" applyBorder="1" applyAlignment="1">
      <alignment horizontal="left" vertical="center" wrapText="1"/>
    </xf>
    <xf numFmtId="0" fontId="19" fillId="2" borderId="1" xfId="0" applyFont="1" applyFill="1" applyBorder="1" applyAlignment="1">
      <alignment horizontal="center" vertical="center" wrapText="1"/>
    </xf>
    <xf numFmtId="0" fontId="14" fillId="0" borderId="0" xfId="0" applyFont="1" applyFill="1" applyBorder="1" applyAlignment="1">
      <alignment vertical="center" wrapText="1"/>
    </xf>
    <xf numFmtId="0" fontId="15" fillId="0" borderId="0" xfId="0" applyFont="1" applyBorder="1" applyAlignment="1">
      <alignment horizontal="left" vertical="center"/>
    </xf>
    <xf numFmtId="0" fontId="18" fillId="0" borderId="0" xfId="0" applyFont="1" applyFill="1" applyBorder="1" applyAlignment="1">
      <alignment vertical="center" wrapText="1"/>
    </xf>
    <xf numFmtId="0" fontId="3" fillId="0" borderId="1" xfId="0" applyFont="1" applyBorder="1" applyAlignment="1">
      <alignment vertical="center"/>
    </xf>
    <xf numFmtId="0" fontId="13" fillId="0" borderId="1" xfId="0" applyFont="1" applyBorder="1" applyAlignment="1">
      <alignment vertical="center"/>
    </xf>
    <xf numFmtId="0" fontId="12" fillId="2" borderId="1" xfId="0" applyFont="1" applyFill="1" applyBorder="1" applyAlignment="1">
      <alignment horizontal="center" vertical="center" wrapText="1"/>
    </xf>
    <xf numFmtId="0" fontId="3" fillId="0" borderId="0" xfId="0" applyFont="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0" xfId="0" applyFont="1" applyFill="1" applyBorder="1" applyAlignment="1">
      <alignment vertical="center" wrapText="1"/>
    </xf>
    <xf numFmtId="0" fontId="10" fillId="0" borderId="0" xfId="0" applyFont="1" applyFill="1" applyBorder="1" applyAlignment="1">
      <alignment horizontal="left" vertical="center" wrapText="1"/>
    </xf>
  </cellXfs>
  <cellStyles count="69">
    <cellStyle name="_A17 完成阶段分析性复核" xfId="15"/>
    <cellStyle name="_B9未审报表分析性复核" xfId="1"/>
    <cellStyle name="Black" xfId="16"/>
    <cellStyle name="Border" xfId="17"/>
    <cellStyle name="Calc Currency (0)" xfId="10"/>
    <cellStyle name="Comma [0]_1995" xfId="12"/>
    <cellStyle name="Comma_1995" xfId="13"/>
    <cellStyle name="Currency [0]_1995" xfId="18"/>
    <cellStyle name="Currency_1995" xfId="8"/>
    <cellStyle name="Dezimal [0]_laroux" xfId="19"/>
    <cellStyle name="Dezimal_laroux" xfId="20"/>
    <cellStyle name="entry" xfId="9"/>
    <cellStyle name="Followed Hyperlink_AheadBehind.xls Chart 23" xfId="4"/>
    <cellStyle name="Grey" xfId="21"/>
    <cellStyle name="Header1" xfId="22"/>
    <cellStyle name="Header2" xfId="23"/>
    <cellStyle name="Hyperlink_AheadBehind.xls Chart 23" xfId="24"/>
    <cellStyle name="Input [yellow]" xfId="27"/>
    <cellStyle name="Milliers [0]_laroux" xfId="28"/>
    <cellStyle name="Milliers_laroux" xfId="29"/>
    <cellStyle name="Non défini" xfId="30"/>
    <cellStyle name="Normal - Style1" xfId="31"/>
    <cellStyle name="Normal_#18-Internet" xfId="32"/>
    <cellStyle name="Percent [2]" xfId="33"/>
    <cellStyle name="price" xfId="35"/>
    <cellStyle name="Red" xfId="36"/>
    <cellStyle name="revised" xfId="37"/>
    <cellStyle name="section" xfId="39"/>
    <cellStyle name="t]_x000d__x000a_color schemes=默认 Windows_x000d__x000a__x000d__x000a_[color schemes]_x000d__x000a_Arizona=804000,FFFFFF,FFFFFF,0,FFFFFF,0,808040,C0C0C0,FFFFF" xfId="34"/>
    <cellStyle name="title" xfId="40"/>
    <cellStyle name="パーセント_laroux" xfId="42"/>
    <cellStyle name="百分比" xfId="7" builtinId="5"/>
    <cellStyle name="標準_１１月価格表" xfId="43"/>
    <cellStyle name="標準_CBC_データ収集表（FS用英語）_071030" xfId="44"/>
    <cellStyle name="常规" xfId="0" builtinId="0"/>
    <cellStyle name="常规 2" xfId="41"/>
    <cellStyle name="常规 3" xfId="45"/>
    <cellStyle name="常规_05华胜正式报表" xfId="46"/>
    <cellStyle name="常规_⒀A10客户确认的调整分录" xfId="47"/>
    <cellStyle name="常规_附件1：决算表式（后会签稿）--1008" xfId="3"/>
    <cellStyle name="常规_歌华试算表及附注-房山0706" xfId="48"/>
    <cellStyle name="常规_新会计准则财务报表" xfId="49"/>
    <cellStyle name="常规_新审定表_05天成应付票据" xfId="50"/>
    <cellStyle name="常规_中科软——现金流量表2001新)" xfId="51"/>
    <cellStyle name="超链接" xfId="6" builtinId="8"/>
    <cellStyle name="桁区切り [0.00]_１１月価格表" xfId="53"/>
    <cellStyle name="桁区切り_１１月価格表" xfId="11"/>
    <cellStyle name="霓付 [0]_97MBO" xfId="54"/>
    <cellStyle name="霓付_97MBO" xfId="55"/>
    <cellStyle name="烹拳 [0]_97MBO" xfId="52"/>
    <cellStyle name="烹拳_97MBO" xfId="56"/>
    <cellStyle name="普通_ 白土" xfId="57"/>
    <cellStyle name="普通_损益表_正式报表" xfId="25"/>
    <cellStyle name="普通_现金流量表" xfId="58"/>
    <cellStyle name="千分位[0]_ 白土" xfId="59"/>
    <cellStyle name="千分位_ 白土" xfId="60"/>
    <cellStyle name="千位[0]_1995" xfId="14"/>
    <cellStyle name="千位_1995" xfId="61"/>
    <cellStyle name="千位分隔" xfId="5" builtinId="3"/>
    <cellStyle name="千位分隔[0]" xfId="2" builtinId="6"/>
    <cellStyle name="钎霖_laroux" xfId="26"/>
    <cellStyle name="通貨 [0.00]_１１月価格表" xfId="38"/>
    <cellStyle name="通貨_１１月価格表" xfId="62"/>
    <cellStyle name="样式 1" xfId="63"/>
    <cellStyle name="콤마 [0]_BOILER-CO1" xfId="64"/>
    <cellStyle name="콤마_BOILER-CO1" xfId="65"/>
    <cellStyle name="통화 [0]_BOILER-CO1" xfId="66"/>
    <cellStyle name="통화_BOILER-CO1" xfId="67"/>
    <cellStyle name="표준_0N-HANDLING " xfId="68"/>
  </cellStyles>
  <dxfs count="0"/>
  <tableStyles count="0" defaultTableStyle="TableStyleMedium9" defaultPivotStyle="PivotStyleLight16"/>
  <colors>
    <mruColors>
      <color rgb="FF3333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externalLink" Target="externalLinks/externalLink10.xml"/><Relationship Id="rId128" Type="http://schemas.openxmlformats.org/officeDocument/2006/relationships/externalLink" Target="externalLinks/externalLink15.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externalLink" Target="externalLinks/externalLink5.xml"/><Relationship Id="rId126" Type="http://schemas.openxmlformats.org/officeDocument/2006/relationships/externalLink" Target="externalLinks/externalLink1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externalLink" Target="externalLinks/externalLink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externalLink" Target="externalLinks/externalLink3.xml"/><Relationship Id="rId124" Type="http://schemas.openxmlformats.org/officeDocument/2006/relationships/externalLink" Target="externalLinks/externalLink11.xml"/><Relationship Id="rId12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externalLink" Target="externalLinks/externalLink1.xml"/><Relationship Id="rId119" Type="http://schemas.openxmlformats.org/officeDocument/2006/relationships/externalLink" Target="externalLinks/externalLink6.xml"/><Relationship Id="rId127" Type="http://schemas.openxmlformats.org/officeDocument/2006/relationships/externalLink" Target="externalLinks/externalLink1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externalLink" Target="externalLinks/externalLink9.xml"/><Relationship Id="rId13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externalLink" Target="externalLinks/externalLink7.xml"/><Relationship Id="rId125" Type="http://schemas.openxmlformats.org/officeDocument/2006/relationships/externalLink" Target="externalLinks/externalLink12.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externalLink" Target="externalLinks/externalLink2.xml"/><Relationship Id="rId131"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My%20Documents\&#31119;&#30000;04&#24180;&#23457;\04&#24180;&#23457;&#32508;&#21512;&#31867;\&#31119;&#30000;2004&#20013;&#26399;\&#21335;&#38144;\&#38271;&#36710;-&#21046;&#36896;&#36153;&#29992;-04&#20013;&#263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my%20worksheet\&#31119;&#30000;\2003\&#35832;&#38144;03\&#24213;&#31295;\&#35832;&#38144;-&#23384;&#36135;&#12289;&#24212;&#2018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25105;&#30340;&#25991;&#26723;\&#31119;&#30000;\2003&#20013;&#26399;\&#35832;&#38144;\&#20027;&#33829;&#25910;&#2083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Temp\Rar$DI01.109\03&#27431;&#26364;-&#25910;&#20837;&#25104;&#264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25216;&#26415;&#25903;&#25345;&#31649;&#29702;&#37096;\&#23457;&#35745;&#31243;&#24207;&#25991;&#20214;\&#25253;&#21578;&#38454;&#27573;&#25991;&#20214;\&#19978;&#24066;&#20844;&#21496;&#27719;&#34920;&#31243;&#24207;\windows\TEMP\&#20013;&#40065;&#26126;&#32454;&#24080;j.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Program%20Files\Microsoft%20Office\Templates\&#30005;&#23376;&#34920;&#26684;&#27169;&#26495;\&#24037;&#19994;&#20225;&#19994;&#36130;&#21153;&#25253;&#34920;.xlt"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25105;&#30340;&#25991;&#26723;\&#31119;&#30000;03&#24180;&#20013;&#26399;&#23457;&#35745;\02&#24180;&#23457;&#26446;&#27915;\2002&#20313;&#39069;&#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w5\cb5d$\My%20Documents\&#26446;&#26149;&#38647;\2003\&#20869;&#37096;&#25253;&#34920;\200310\Book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My%20Documents\&#31119;&#30000;04&#24180;&#23457;\04&#24180;&#23457;&#32508;&#21512;&#31867;\&#25105;&#30340;&#25991;&#26723;\&#31119;&#30000;\2003&#20013;&#26399;\&#38738;&#24030;\&#38738;&#24030;&#25910;&#20837;&#25104;&#26412;&#39044;&#20184;&#3156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2002\&#31119;&#30000;&#20013;&#26399;\&#24037;&#20316;&#24213;&#31295;\&#31119;&#30000;2003&#20013;&#26399;\&#31119;&#30000;2003&#20013;&#26399;\&#31119;&#30000;&#20892;&#35013;2003.6.30-&#36127;&#2053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23458;&#25143;&#36164;&#26009;\&#31119;&#30000;\2005\05&#27431;&#26364;\04&#20013;&#25253;-&#27431;&#26364;&#38144;&#21806;&#24490;&#2961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My%20Documents\&#31119;&#30000;\&#23458;&#38144;--04&#65288;ELLEN&#65289;\7-11&#38144;&#218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23458;&#25143;&#26723;&#26696;\&#21271;&#27773;&#31119;&#30000;\2004-6-30\&#21335;&#38144;\&#23458;&#25143;&#26723;&#26696;\&#21271;&#27773;&#31119;&#30000;\2003&#24180;&#23457;\&#38271;&#36710;\03&#38271;&#36710;-&#25910;&#20837;&#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72.16.10.96\&#21326;&#32988;07&#20849;&#20139;\&#35797;&#31639;&#24179;&#34913;&#21450;&#21512;&#24182;&#34920;&#27169;&#29256;\2007\05&#21452;&#40548;&#33647;&#19994;2006\&#23457;&#35745;&#24213;&#31295;\00&#21452;&#40548;&#26412;&#37096;\&#21512;&#24182;&#38468;&#27880;\&#25216;&#26415;&#25903;&#25345;&#31649;&#29702;&#37096;\&#23457;&#35745;&#31243;&#24207;&#25991;&#20214;\&#25253;&#21578;&#38454;&#27573;&#25991;&#20214;\&#19978;&#24066;&#20844;&#21496;&#27719;&#34920;&#31243;&#24207;\Program%20Files\Microsoft%20Office\Templates\&#30005;&#23376;&#34920;&#26684;&#27169;&#26495;\&#24037;&#19994;&#20225;&#19994;&#36130;&#21153;&#25253;&#34920;.xlt"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16.10.96\&#21326;&#32988;07&#20849;&#20139;\Documents%20and%20Settings\bjcpauser\My%20Documents\&#25105;&#25509;&#25910;&#21040;&#30340;&#25991;&#20214;\&#23458;&#25143;&#26723;&#26696;\&#21271;&#27773;&#31119;&#30000;\2004-6-30\&#21335;&#38144;\&#23458;&#25143;&#26723;&#26696;\&#21271;&#27773;&#31119;&#30000;\2004-6-30\&#38271;&#36710;\&#38271;&#36710;&#38144;&#21806;&#24490;&#29615;2004-6-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工资"/>
      <sheetName val="福利费"/>
      <sheetName val="折旧"/>
      <sheetName val="业务招待费"/>
      <sheetName val="低值易耗品"/>
      <sheetName val="机"/>
      <sheetName val="水电费"/>
      <sheetName val="办公费"/>
      <sheetName val="通迅费"/>
      <sheetName val="差"/>
      <sheetName val="劳保"/>
      <sheetName val="修"/>
      <sheetName val="劳务费"/>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存货审计程序C10"/>
      <sheetName val="存货审定表C10-1（新）"/>
      <sheetName val="商品进销差价"/>
      <sheetName val="配件"/>
      <sheetName val="退库车"/>
      <sheetName val="Sheet1"/>
      <sheetName val="样车"/>
      <sheetName val="12进销存"/>
      <sheetName val="12进销存 (2)"/>
      <sheetName val="应付帐款程序D3 "/>
      <sheetName val="应付账款审定表D3-1（新）"/>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主营业务收入审定表F1-1（新）"/>
      <sheetName val="合同"/>
      <sheetName val="收入成本对比"/>
      <sheetName val="主营业务成本审定表F2-1（新）"/>
      <sheetName val="累计销售"/>
      <sheetName val="5月销售分析"/>
      <sheetName val="4月销售分析"/>
      <sheetName val="主营业务收入月分析F1-2"/>
      <sheetName val="以前年度损益调整审定表F12-1（新）"/>
      <sheetName val="折旧测算"/>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信息"/>
      <sheetName val="主营业务收入审计程序（销售商品）F1"/>
      <sheetName val="主营业务收入审定表F1-1（新）"/>
      <sheetName val="销售数量"/>
      <sheetName val="主营业务收入"/>
      <sheetName val="营业收入月分析F1-2 (2)"/>
      <sheetName val="Sheet3"/>
      <sheetName val="单价趋势分析"/>
      <sheetName val="营业收入月分析F1-2"/>
      <sheetName val="毛利1"/>
      <sheetName val="毛利2"/>
      <sheetName val="毛利3"/>
      <sheetName val="三兴1"/>
      <sheetName val="三兴2"/>
      <sheetName val="主营业务收入抽查表F1-4"/>
      <sheetName val="主营业务收入抽查表F1-4 (2)"/>
      <sheetName val="主营业务收入截止性测试F1-5"/>
      <sheetName val="主营业务成本审定表F2-1（新）"/>
      <sheetName val="营业成本月分析F2-2"/>
      <sheetName val="主营业务税金及附加审定表F3-1（新）"/>
      <sheetName val="主营税金"/>
      <sheetName val="其他业务利润审计程序F4"/>
      <sheetName val="其他业务利润审定表F4-1（新）"/>
      <sheetName val="其他业务利润"/>
      <sheetName val="其他业务利润明细表F4-2"/>
      <sheetName val="其他材料收入重复"/>
      <sheetName val="其他材料收入账"/>
      <sheetName val="大额及其他业务收支抽查F4-3"/>
      <sheetName val="补贴收入审计程序F9"/>
      <sheetName val="补贴收入审定表F9-1（新）"/>
      <sheetName val="补贴收入明细"/>
      <sheetName val="营业外收入审定表F10-1（新）"/>
      <sheetName val="营业外支出审定表F11-1（新）"/>
      <sheetName val="营业外收入核查表10-2"/>
      <sheetName val="营业外支出核查表F11-2"/>
      <sheetName val="所得税审计程序F13"/>
      <sheetName val="所得税审定表F13-1（新）"/>
      <sheetName val="Sheet2"/>
      <sheetName val="所得税审定表F13-1"/>
      <sheetName val="预收帐款具体审计计划D4"/>
      <sheetName val="预收账款审定表D4-1（新）"/>
      <sheetName val="未回函的预收账款核查表D4-4"/>
      <sheetName val="长期挂帐预收帐款明细表D4-5"/>
      <sheetName val="预收账款测试 (3)"/>
      <sheetName val="预收"/>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外协配件"/>
      <sheetName val="配件"/>
      <sheetName val="运费"/>
      <sheetName val="余额表1-12 (2)"/>
      <sheetName val="余额表1-12"/>
      <sheetName val="库存商品明细账"/>
      <sheetName val="150T2"/>
      <sheetName val="2310"/>
      <sheetName val="150TP4"/>
      <sheetName val="150T1"/>
      <sheetName val="库存商品明细表分类汇总"/>
      <sheetName val="库存商品"/>
      <sheetName val="150T-1cost"/>
      <sheetName val="150T-2cost"/>
      <sheetName val="2310cost"/>
      <sheetName val="主营业务成本"/>
      <sheetName val="1"/>
      <sheetName val="2"/>
      <sheetName val="3"/>
      <sheetName val="4"/>
      <sheetName val="5"/>
      <sheetName val="6"/>
      <sheetName val="7"/>
      <sheetName val="8"/>
      <sheetName val="9"/>
      <sheetName val="10"/>
      <sheetName val="11"/>
      <sheetName val="12"/>
      <sheetName val="销售汇总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累计产销存"/>
      <sheetName val="6汇总(6.7)"/>
      <sheetName val="7汇总(6.7)"/>
      <sheetName val="Sheet1"/>
    </sheetNames>
    <sheetDataSet>
      <sheetData sheetId="0"/>
      <sheetData sheetId="1"/>
      <sheetData sheetId="2"/>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收入个月"/>
      <sheetName val="营业收入月分析F1-2"/>
      <sheetName val="产销存"/>
      <sheetName val="主营业务收入审定表F1-1（新）"/>
      <sheetName val="毛利比较"/>
      <sheetName val="1-6累计销售"/>
      <sheetName val="2002"/>
      <sheetName val="主营业务收入月分析F1-2"/>
      <sheetName val="主营业务成本审定表F2-1（新）"/>
      <sheetName val="在建工程审定表C23-1（新）"/>
      <sheetName val="预付账款审定表C8-1（新）"/>
      <sheetName val="预付货款函证明细表C8-3"/>
    </sheetNames>
    <sheetDataSet>
      <sheetData sheetId="0"/>
      <sheetData sheetId="1" refreshError="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负债类底稿目录D"/>
      <sheetName val="表头信息"/>
      <sheetName val="短期借款审定表D1-1（新）"/>
      <sheetName val="函证汇总D1-4"/>
      <sheetName val="应付票据审定表D2-1（新）"/>
      <sheetName val="应付账款审定表D3-1（新）"/>
      <sheetName val="应付帐款"/>
      <sheetName val="应付帐款函证汇总D3-3"/>
      <sheetName val="暂估"/>
      <sheetName val="应付帐款替代程序D3-4"/>
      <sheetName val="暂估应付D3-6"/>
      <sheetName val="预收账款审定表D4-1（新）"/>
      <sheetName val="预收账款"/>
      <sheetName val="预收帐款函证汇总D4-3(1)"/>
      <sheetName val="预收帐款函证汇总D4-3(2)"/>
      <sheetName val="未回函的预收账款核查表D4-4"/>
      <sheetName val="应付工资审定表D5-1（新）"/>
      <sheetName val="应付工资明细表D5-2-1"/>
      <sheetName val="工资"/>
      <sheetName val="奖金"/>
      <sheetName val="应付福利费审定表D6-1（新）"/>
      <sheetName val="应付福利费明细表"/>
      <sheetName val="应付福利费D6-2"/>
      <sheetName val="其他应付款审定表D10-1（新）"/>
      <sheetName val="工程往来明细表"/>
      <sheetName val="临时工押金"/>
      <sheetName val="备用金"/>
      <sheetName val="函证汇总D10-3"/>
      <sheetName val="预提费用审定表D11-1（新）"/>
      <sheetName val="长期借款审定表D16-1（新）"/>
      <sheetName val="长期借款函证情况表D16-3"/>
      <sheetName val="固定资产及累计折旧审定表C21-1（新）"/>
      <sheetName val="原值明细表"/>
      <sheetName val="折旧明细表"/>
      <sheetName val="汇总折旧"/>
      <sheetName val="计提房屋"/>
      <sheetName val="计提专用"/>
      <sheetName val="计提通用"/>
      <sheetName val="计提运输"/>
      <sheetName val="计提办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信息"/>
      <sheetName val="主营业务收入审计程序（销售商品）F1"/>
      <sheetName val="主营业务收入审定表F1-1（新）"/>
      <sheetName val="销售数量"/>
      <sheetName val="主营业务收入"/>
      <sheetName val="营业收入月分析F1-2 (2)"/>
      <sheetName val="Sheet3"/>
      <sheetName val="单价趋势分析"/>
      <sheetName val="营业收入月分析F1-2"/>
      <sheetName val="毛利1"/>
      <sheetName val="毛利2"/>
      <sheetName val="毛利3"/>
      <sheetName val="三兴1"/>
      <sheetName val="三兴2"/>
      <sheetName val="主营业务收入抽查表F1-4"/>
      <sheetName val="主营业务收入抽查表F1-4 (2)"/>
      <sheetName val="主营业务收入截止性测试F1-5"/>
      <sheetName val="主营业务成本审定表F2-1（新）"/>
      <sheetName val="营业成本月分析F2-2"/>
      <sheetName val="主营业务税金及附加审定表F3-1（新）"/>
      <sheetName val="主营税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图-1"/>
      <sheetName val="1-6销售"/>
      <sheetName val="7-11销售"/>
    </sheetNames>
    <sheetDataSet>
      <sheetData sheetId="0"/>
      <sheetData sheetId="1" refreshError="1"/>
      <sheetData sheetId="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主营业务收入审计程序（销售商品）F1"/>
      <sheetName val="主营业务收入审定表F1-1（新）"/>
      <sheetName val="累计销售明细表"/>
      <sheetName val="分类毛利比较"/>
      <sheetName val="小型车毛利分析"/>
      <sheetName val="营业收入月分析F1-2"/>
      <sheetName val="营业收入月分析细车型"/>
      <sheetName val="营业收入月分析细车型 (2)"/>
      <sheetName val="收入数量分析"/>
      <sheetName val="营业收入分析性复核F1-3  (2)"/>
      <sheetName val="主营业务收入抽查表F1-4"/>
      <sheetName val="营业收入截止性测试F1-5"/>
      <sheetName val="销售退回与折让抽查F1-6"/>
      <sheetName val="供应商退车统计"/>
      <sheetName val="12月售供应商统计 "/>
      <sheetName val="主营成本审计程序（销售商品）F2"/>
      <sheetName val="主营业务成本审定表F2-1（新）"/>
      <sheetName val="营业成本月分析F2-2"/>
      <sheetName val="营业成本分析性复核F2-3 "/>
      <sheetName val="预收帐款具体审计计划D4"/>
      <sheetName val="预收账款审定表D4-1（新）"/>
      <sheetName val="预收帐款函证汇总D4-3"/>
      <sheetName val="应收帐款审计程序C6"/>
      <sheetName val="应收账款审定表C6-1（新）"/>
      <sheetName val="应收账款余额表"/>
      <sheetName val="应收帐款函证明细表C6-3"/>
      <sheetName val="应收账款测试"/>
      <sheetName val="应收帐款审计替代程C6-4"/>
      <sheetName val="销售收入前5名"/>
      <sheetName val="所得税审计程序F13"/>
      <sheetName val="所得税审定表F13-1（新）"/>
      <sheetName val="所得税明细表"/>
      <sheetName val="应交所得税所得额审查表D8-11"/>
      <sheetName val="所得税核查表D8-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销售与收款循环程序B2.8-1"/>
      <sheetName val="发票合规性检查B2.8-1-b"/>
      <sheetName val="销售退回、折让、折扣的检查B2.8-1-d"/>
      <sheetName val="收款凭证的测试B2.8-1-e"/>
      <sheetName val="应收票据审计程序C3"/>
      <sheetName val="应收票据审定表C3-1"/>
      <sheetName val="应收票据盘点表C3-2"/>
      <sheetName val="应收帐款审计程序C6"/>
      <sheetName val="应收帐款及坏帐准备审定表C6-1"/>
      <sheetName val="应收账款余额表"/>
      <sheetName val="应收账款借方余额表"/>
      <sheetName val="帐龄及发生额分析表C6-2"/>
      <sheetName val="应收帐款函证明细表C6-3"/>
      <sheetName val="应收函证"/>
      <sheetName val="销售前五名C6-5"/>
      <sheetName val="坏帐准备审计程序C6-C7"/>
      <sheetName val="坏帐准备核查表C6-7"/>
      <sheetName val="预收帐款具体审计计划D4"/>
      <sheetName val="预收帐款审定表D4-1"/>
      <sheetName val="应收账款贷方余额表"/>
      <sheetName val="帐龄及发生额分析表D4-2"/>
      <sheetName val="预收帐款函证汇总D4-3"/>
      <sheetName val="应交税金具体审计计划D8"/>
      <sheetName val="应交税金审定表D8-1"/>
      <sheetName val="应交税金明细表"/>
      <sheetName val="企业纳税情况表D8-2"/>
      <sheetName val="应交增值税核查表D8-3"/>
      <sheetName val="增值税测算"/>
      <sheetName val="土地使用税审查表D8-7"/>
      <sheetName val="房产税核查表D8-8"/>
      <sheetName val="所得税核查表D8-10"/>
      <sheetName val="应交所得税所得额审查表D8-11"/>
      <sheetName val="纳税调整"/>
      <sheetName val="所得税核查表D8-10 (2)"/>
      <sheetName val="应交所得税所得额审查表D8-11 (2)"/>
      <sheetName val="纳税调整 (2)"/>
      <sheetName val="其他应交款审计程序D9"/>
      <sheetName val="其他应交款审定表D9-1"/>
      <sheetName val="其他应交款审查表D9-2"/>
      <sheetName val="主营业务收入审计程序（销售商品）F1"/>
      <sheetName val="营业收入审定表F1-1"/>
      <sheetName val="营业收入月分析F1-2"/>
      <sheetName val="营业收入分析性复核F1-3"/>
      <sheetName val="营业收入截止性测试F1-5"/>
      <sheetName val="销售退回与折让抽查F1-6"/>
      <sheetName val="营业收入月分析细车型"/>
      <sheetName val="营业收入月分析细车型 (2)"/>
      <sheetName val="营业收入月分析细车型 (3)"/>
      <sheetName val="6月南方累计"/>
      <sheetName val="6月时代累计"/>
      <sheetName val="内部交易"/>
      <sheetName val="营业税金审计程序F3"/>
      <sheetName val="营业税金及附加审定表F3-1"/>
      <sheetName val="所得税审计程序F13"/>
      <sheetName val="所得税审定表F13-1（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0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6.bin"/></Relationships>
</file>

<file path=xl/worksheets/_rels/sheet10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7.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C000"/>
    <pageSetUpPr fitToPage="1"/>
  </sheetPr>
  <dimension ref="A2:E122"/>
  <sheetViews>
    <sheetView tabSelected="1" view="pageBreakPreview" zoomScale="110" zoomScaleNormal="100" zoomScaleSheetLayoutView="110" workbookViewId="0">
      <pane xSplit="2" ySplit="4" topLeftCell="C5" activePane="bottomRight" state="frozen"/>
      <selection activeCell="A19" sqref="A19:K22"/>
      <selection pane="topRight" activeCell="A19" sqref="A19:K22"/>
      <selection pane="bottomLeft" activeCell="A19" sqref="A19:K22"/>
      <selection pane="bottomRight"/>
    </sheetView>
  </sheetViews>
  <sheetFormatPr defaultColWidth="9" defaultRowHeight="20.100000000000001" customHeight="1"/>
  <cols>
    <col min="1" max="1" width="6" style="917" customWidth="1"/>
    <col min="2" max="2" width="45.19921875" style="908" customWidth="1"/>
    <col min="3" max="5" width="16.59765625" style="908" customWidth="1"/>
    <col min="6" max="16384" width="9" style="908"/>
  </cols>
  <sheetData>
    <row r="2" spans="1:5" ht="24.9" customHeight="1">
      <c r="A2" s="918" t="s">
        <v>0</v>
      </c>
      <c r="B2" s="919"/>
      <c r="E2" s="920" t="s">
        <v>2137</v>
      </c>
    </row>
    <row r="3" spans="1:5" ht="20.100000000000001" customHeight="1">
      <c r="D3" s="641"/>
    </row>
    <row r="4" spans="1:5" s="640" customFormat="1" ht="20.100000000000001" customHeight="1">
      <c r="A4" s="10" t="s">
        <v>1</v>
      </c>
      <c r="B4" s="10" t="s">
        <v>2</v>
      </c>
      <c r="C4" s="20" t="s">
        <v>3</v>
      </c>
      <c r="D4" s="20" t="s">
        <v>4</v>
      </c>
      <c r="E4" s="20" t="s">
        <v>5</v>
      </c>
    </row>
    <row r="5" spans="1:5" s="907" customFormat="1" ht="20.100000000000001" customHeight="1">
      <c r="A5" s="59"/>
      <c r="B5" s="361" t="s">
        <v>6</v>
      </c>
      <c r="C5" s="921" t="s">
        <v>7</v>
      </c>
      <c r="D5" s="922" t="s">
        <v>8</v>
      </c>
      <c r="E5" s="97" t="s">
        <v>9</v>
      </c>
    </row>
    <row r="6" spans="1:5" s="907" customFormat="1" ht="20.100000000000001" customHeight="1">
      <c r="A6" s="59">
        <f>1+A5</f>
        <v>1</v>
      </c>
      <c r="B6" s="361" t="s">
        <v>10</v>
      </c>
      <c r="C6" s="921" t="s">
        <v>7</v>
      </c>
      <c r="D6" s="923" t="s">
        <v>11</v>
      </c>
      <c r="E6" s="97" t="s">
        <v>9</v>
      </c>
    </row>
    <row r="7" spans="1:5" s="907" customFormat="1" ht="20.100000000000001" customHeight="1">
      <c r="A7" s="931">
        <v>2.1</v>
      </c>
      <c r="B7" s="993" t="s">
        <v>12</v>
      </c>
      <c r="C7" s="989" t="s">
        <v>13</v>
      </c>
      <c r="D7" s="990" t="s">
        <v>14</v>
      </c>
      <c r="E7" s="991" t="s">
        <v>9</v>
      </c>
    </row>
    <row r="8" spans="1:5" s="907" customFormat="1" ht="20.100000000000001" customHeight="1">
      <c r="A8" s="931">
        <v>2.2000000000000002</v>
      </c>
      <c r="B8" s="993" t="s">
        <v>12</v>
      </c>
      <c r="C8" s="989" t="s">
        <v>13</v>
      </c>
      <c r="D8" s="990" t="s">
        <v>15</v>
      </c>
      <c r="E8" s="991" t="s">
        <v>9</v>
      </c>
    </row>
    <row r="9" spans="1:5" s="907" customFormat="1" ht="20.100000000000001" customHeight="1">
      <c r="A9" s="931">
        <v>3</v>
      </c>
      <c r="B9" s="993" t="s">
        <v>16</v>
      </c>
      <c r="C9" s="989" t="s">
        <v>13</v>
      </c>
      <c r="D9" s="990" t="s">
        <v>17</v>
      </c>
      <c r="E9" s="991" t="s">
        <v>9</v>
      </c>
    </row>
    <row r="10" spans="1:5" s="907" customFormat="1" ht="20.100000000000001" customHeight="1">
      <c r="A10" s="59">
        <f>A9+1</f>
        <v>4</v>
      </c>
      <c r="B10" s="361" t="s">
        <v>18</v>
      </c>
      <c r="C10" s="921" t="s">
        <v>13</v>
      </c>
      <c r="D10" s="923" t="s">
        <v>19</v>
      </c>
      <c r="E10" s="97" t="s">
        <v>9</v>
      </c>
    </row>
    <row r="11" spans="1:5" s="907" customFormat="1" ht="20.100000000000001" customHeight="1">
      <c r="A11" s="988">
        <f t="shared" ref="A11:A18" si="0">A10+1</f>
        <v>5</v>
      </c>
      <c r="B11" s="361" t="s">
        <v>20</v>
      </c>
      <c r="C11" s="921" t="s">
        <v>13</v>
      </c>
      <c r="D11" s="923" t="s">
        <v>21</v>
      </c>
      <c r="E11" s="97" t="s">
        <v>9</v>
      </c>
    </row>
    <row r="12" spans="1:5" s="907" customFormat="1" ht="20.100000000000001" customHeight="1">
      <c r="A12" s="988">
        <f t="shared" si="0"/>
        <v>6</v>
      </c>
      <c r="B12" s="361" t="s">
        <v>22</v>
      </c>
      <c r="C12" s="921" t="s">
        <v>23</v>
      </c>
      <c r="D12" s="923" t="s">
        <v>24</v>
      </c>
      <c r="E12" s="97" t="s">
        <v>9</v>
      </c>
    </row>
    <row r="13" spans="1:5" s="907" customFormat="1" ht="20.100000000000001" customHeight="1">
      <c r="A13" s="988">
        <f t="shared" si="0"/>
        <v>7</v>
      </c>
      <c r="B13" s="361" t="s">
        <v>25</v>
      </c>
      <c r="C13" s="924" t="s">
        <v>26</v>
      </c>
      <c r="D13" s="923" t="s">
        <v>27</v>
      </c>
      <c r="E13" s="97" t="s">
        <v>9</v>
      </c>
    </row>
    <row r="14" spans="1:5" s="907" customFormat="1" ht="20.100000000000001" customHeight="1">
      <c r="A14" s="988">
        <f t="shared" si="0"/>
        <v>8</v>
      </c>
      <c r="B14" s="361" t="s">
        <v>28</v>
      </c>
      <c r="C14" s="924" t="s">
        <v>26</v>
      </c>
      <c r="D14" s="923" t="s">
        <v>29</v>
      </c>
      <c r="E14" s="97" t="s">
        <v>9</v>
      </c>
    </row>
    <row r="15" spans="1:5" s="907" customFormat="1" ht="20.100000000000001" customHeight="1">
      <c r="A15" s="988">
        <f t="shared" si="0"/>
        <v>9</v>
      </c>
      <c r="B15" s="361" t="s">
        <v>30</v>
      </c>
      <c r="C15" s="924" t="s">
        <v>31</v>
      </c>
      <c r="D15" s="923" t="s">
        <v>32</v>
      </c>
      <c r="E15" s="97" t="s">
        <v>9</v>
      </c>
    </row>
    <row r="16" spans="1:5" s="907" customFormat="1" ht="20.100000000000001" customHeight="1">
      <c r="A16" s="988">
        <f t="shared" si="0"/>
        <v>10</v>
      </c>
      <c r="B16" s="361" t="s">
        <v>33</v>
      </c>
      <c r="C16" s="924" t="s">
        <v>31</v>
      </c>
      <c r="D16" s="923" t="s">
        <v>34</v>
      </c>
      <c r="E16" s="97" t="s">
        <v>9</v>
      </c>
    </row>
    <row r="17" spans="1:5" s="907" customFormat="1" ht="20.100000000000001" customHeight="1">
      <c r="A17" s="988">
        <f t="shared" si="0"/>
        <v>11</v>
      </c>
      <c r="B17" s="361" t="s">
        <v>35</v>
      </c>
      <c r="C17" s="924" t="s">
        <v>26</v>
      </c>
      <c r="D17" s="923" t="s">
        <v>36</v>
      </c>
      <c r="E17" s="97" t="s">
        <v>9</v>
      </c>
    </row>
    <row r="18" spans="1:5" s="907" customFormat="1" ht="20.100000000000001" customHeight="1">
      <c r="A18" s="988">
        <f t="shared" si="0"/>
        <v>12</v>
      </c>
      <c r="B18" s="361" t="s">
        <v>37</v>
      </c>
      <c r="C18" s="921" t="s">
        <v>38</v>
      </c>
      <c r="D18" s="923" t="s">
        <v>39</v>
      </c>
      <c r="E18" s="97" t="s">
        <v>9</v>
      </c>
    </row>
    <row r="19" spans="1:5" s="932" customFormat="1" ht="20.100000000000001" customHeight="1">
      <c r="A19" s="931">
        <f>A18+1</f>
        <v>13</v>
      </c>
      <c r="B19" s="933" t="s">
        <v>2061</v>
      </c>
      <c r="C19" s="989" t="s">
        <v>38</v>
      </c>
      <c r="D19" s="990" t="s">
        <v>2075</v>
      </c>
      <c r="E19" s="991" t="s">
        <v>9</v>
      </c>
    </row>
    <row r="20" spans="1:5" s="907" customFormat="1" ht="20.100000000000001" customHeight="1">
      <c r="A20" s="59">
        <f>A19+1</f>
        <v>14</v>
      </c>
      <c r="B20" s="361" t="s">
        <v>40</v>
      </c>
      <c r="C20" s="921" t="s">
        <v>38</v>
      </c>
      <c r="D20" s="923" t="s">
        <v>2076</v>
      </c>
      <c r="E20" s="97" t="s">
        <v>9</v>
      </c>
    </row>
    <row r="21" spans="1:5" s="907" customFormat="1" ht="20.100000000000001" customHeight="1">
      <c r="A21" s="59">
        <f t="shared" ref="A21:A25" si="1">1+A20</f>
        <v>15</v>
      </c>
      <c r="B21" s="361" t="s">
        <v>41</v>
      </c>
      <c r="C21" s="921" t="s">
        <v>38</v>
      </c>
      <c r="D21" s="923" t="s">
        <v>2077</v>
      </c>
      <c r="E21" s="97" t="s">
        <v>9</v>
      </c>
    </row>
    <row r="22" spans="1:5" s="907" customFormat="1" ht="20.100000000000001" customHeight="1">
      <c r="A22" s="931">
        <f t="shared" si="1"/>
        <v>16</v>
      </c>
      <c r="B22" s="933" t="s">
        <v>2145</v>
      </c>
      <c r="C22" s="989" t="s">
        <v>38</v>
      </c>
      <c r="D22" s="990" t="s">
        <v>2305</v>
      </c>
      <c r="E22" s="991" t="s">
        <v>9</v>
      </c>
    </row>
    <row r="23" spans="1:5" s="907" customFormat="1" ht="20.100000000000001" customHeight="1">
      <c r="A23" s="931">
        <f t="shared" si="1"/>
        <v>17</v>
      </c>
      <c r="B23" s="933" t="s">
        <v>2146</v>
      </c>
      <c r="C23" s="989" t="s">
        <v>38</v>
      </c>
      <c r="D23" s="1006" t="s">
        <v>2160</v>
      </c>
      <c r="E23" s="991" t="s">
        <v>9</v>
      </c>
    </row>
    <row r="24" spans="1:5" s="907" customFormat="1" ht="20.100000000000001" customHeight="1">
      <c r="A24" s="931">
        <f t="shared" si="1"/>
        <v>18</v>
      </c>
      <c r="B24" s="933" t="s">
        <v>2150</v>
      </c>
      <c r="C24" s="989" t="s">
        <v>38</v>
      </c>
      <c r="D24" s="1006" t="s">
        <v>2161</v>
      </c>
      <c r="E24" s="991" t="s">
        <v>9</v>
      </c>
    </row>
    <row r="25" spans="1:5" s="907" customFormat="1" ht="20.100000000000001" customHeight="1">
      <c r="A25" s="988">
        <f t="shared" si="1"/>
        <v>19</v>
      </c>
      <c r="B25" s="361" t="s">
        <v>44</v>
      </c>
      <c r="C25" s="921" t="s">
        <v>38</v>
      </c>
      <c r="D25" s="927" t="s">
        <v>2162</v>
      </c>
      <c r="E25" s="97" t="s">
        <v>9</v>
      </c>
    </row>
    <row r="26" spans="1:5" s="907" customFormat="1" ht="20.100000000000001" customHeight="1">
      <c r="A26" s="988">
        <f>1+A25</f>
        <v>20</v>
      </c>
      <c r="B26" s="925" t="s">
        <v>45</v>
      </c>
      <c r="C26" s="921" t="s">
        <v>38</v>
      </c>
      <c r="D26" s="927" t="s">
        <v>2163</v>
      </c>
      <c r="E26" s="926" t="s">
        <v>43</v>
      </c>
    </row>
    <row r="27" spans="1:5" s="907" customFormat="1" ht="20.100000000000001" customHeight="1">
      <c r="A27" s="59">
        <f>A26+0.1</f>
        <v>20.100000000000001</v>
      </c>
      <c r="B27" s="925" t="s">
        <v>46</v>
      </c>
      <c r="C27" s="921" t="s">
        <v>38</v>
      </c>
      <c r="D27" s="927" t="s">
        <v>2164</v>
      </c>
      <c r="E27" s="97" t="s">
        <v>9</v>
      </c>
    </row>
    <row r="28" spans="1:5" s="907" customFormat="1" ht="20.100000000000001" customHeight="1">
      <c r="A28" s="59">
        <f>A27+0.1</f>
        <v>20.2</v>
      </c>
      <c r="B28" s="925" t="s">
        <v>47</v>
      </c>
      <c r="C28" s="921" t="s">
        <v>38</v>
      </c>
      <c r="D28" s="927" t="s">
        <v>2165</v>
      </c>
      <c r="E28" s="97" t="s">
        <v>9</v>
      </c>
    </row>
    <row r="29" spans="1:5" s="907" customFormat="1" ht="20.100000000000001" customHeight="1">
      <c r="A29" s="59">
        <f>A28+0.1</f>
        <v>20.3</v>
      </c>
      <c r="B29" s="925" t="s">
        <v>48</v>
      </c>
      <c r="C29" s="921" t="s">
        <v>38</v>
      </c>
      <c r="D29" s="927" t="s">
        <v>2166</v>
      </c>
      <c r="E29" s="97" t="s">
        <v>9</v>
      </c>
    </row>
    <row r="30" spans="1:5" s="907" customFormat="1" ht="20.100000000000001" customHeight="1">
      <c r="A30" s="59">
        <f>A26+1</f>
        <v>21</v>
      </c>
      <c r="B30" s="361" t="s">
        <v>49</v>
      </c>
      <c r="C30" s="921" t="s">
        <v>38</v>
      </c>
      <c r="D30" s="927" t="s">
        <v>2167</v>
      </c>
      <c r="E30" s="97" t="s">
        <v>9</v>
      </c>
    </row>
    <row r="31" spans="1:5" s="907" customFormat="1" ht="20.100000000000001" customHeight="1">
      <c r="A31" s="931">
        <f>A30+1</f>
        <v>22</v>
      </c>
      <c r="B31" s="933" t="s">
        <v>2062</v>
      </c>
      <c r="C31" s="989" t="s">
        <v>38</v>
      </c>
      <c r="D31" s="1006" t="s">
        <v>2168</v>
      </c>
      <c r="E31" s="991" t="s">
        <v>9</v>
      </c>
    </row>
    <row r="32" spans="1:5" s="907" customFormat="1" ht="20.100000000000001" customHeight="1">
      <c r="A32" s="978">
        <f t="shared" ref="A32:A45" si="2">A31+1</f>
        <v>23</v>
      </c>
      <c r="B32" s="925" t="s">
        <v>2153</v>
      </c>
      <c r="C32" s="921" t="s">
        <v>38</v>
      </c>
      <c r="D32" s="927" t="s">
        <v>2169</v>
      </c>
      <c r="E32" s="97" t="s">
        <v>9</v>
      </c>
    </row>
    <row r="33" spans="1:5" s="907" customFormat="1" ht="20.100000000000001" customHeight="1">
      <c r="A33" s="978">
        <f t="shared" si="2"/>
        <v>24</v>
      </c>
      <c r="B33" s="925" t="s">
        <v>2147</v>
      </c>
      <c r="C33" s="921" t="s">
        <v>38</v>
      </c>
      <c r="D33" s="927" t="s">
        <v>2170</v>
      </c>
      <c r="E33" s="97" t="s">
        <v>9</v>
      </c>
    </row>
    <row r="34" spans="1:5" s="907" customFormat="1" ht="20.100000000000001" customHeight="1">
      <c r="A34" s="978">
        <f t="shared" si="2"/>
        <v>25</v>
      </c>
      <c r="B34" s="361" t="s">
        <v>51</v>
      </c>
      <c r="C34" s="921" t="s">
        <v>38</v>
      </c>
      <c r="D34" s="927" t="s">
        <v>2171</v>
      </c>
      <c r="E34" s="97" t="s">
        <v>9</v>
      </c>
    </row>
    <row r="35" spans="1:5" s="932" customFormat="1" ht="20.100000000000001" customHeight="1">
      <c r="A35" s="931">
        <f t="shared" si="2"/>
        <v>26</v>
      </c>
      <c r="B35" s="933" t="s">
        <v>2063</v>
      </c>
      <c r="C35" s="992" t="s">
        <v>2154</v>
      </c>
      <c r="D35" s="1006" t="s">
        <v>2172</v>
      </c>
      <c r="E35" s="991" t="s">
        <v>9</v>
      </c>
    </row>
    <row r="36" spans="1:5" s="907" customFormat="1" ht="20.100000000000001" customHeight="1">
      <c r="A36" s="978">
        <f t="shared" si="2"/>
        <v>27</v>
      </c>
      <c r="B36" s="361" t="s">
        <v>52</v>
      </c>
      <c r="C36" s="921" t="s">
        <v>38</v>
      </c>
      <c r="D36" s="927" t="s">
        <v>2307</v>
      </c>
      <c r="E36" s="97" t="s">
        <v>9</v>
      </c>
    </row>
    <row r="37" spans="1:5" s="907" customFormat="1" ht="20.100000000000001" customHeight="1">
      <c r="A37" s="931">
        <f t="shared" si="2"/>
        <v>28</v>
      </c>
      <c r="B37" s="933" t="s">
        <v>2064</v>
      </c>
      <c r="C37" s="992" t="s">
        <v>2155</v>
      </c>
      <c r="D37" s="1006" t="s">
        <v>2173</v>
      </c>
      <c r="E37" s="991" t="s">
        <v>9</v>
      </c>
    </row>
    <row r="38" spans="1:5" s="907" customFormat="1" ht="20.100000000000001" customHeight="1">
      <c r="A38" s="978">
        <f t="shared" si="2"/>
        <v>29</v>
      </c>
      <c r="B38" s="361" t="s">
        <v>53</v>
      </c>
      <c r="C38" s="921" t="s">
        <v>38</v>
      </c>
      <c r="D38" s="927" t="s">
        <v>2174</v>
      </c>
      <c r="E38" s="97" t="s">
        <v>9</v>
      </c>
    </row>
    <row r="39" spans="1:5" s="907" customFormat="1" ht="20.100000000000001" customHeight="1">
      <c r="A39" s="978">
        <f t="shared" si="2"/>
        <v>30</v>
      </c>
      <c r="B39" s="361" t="s">
        <v>54</v>
      </c>
      <c r="C39" s="921" t="s">
        <v>38</v>
      </c>
      <c r="D39" s="927" t="s">
        <v>2175</v>
      </c>
      <c r="E39" s="97" t="s">
        <v>9</v>
      </c>
    </row>
    <row r="40" spans="1:5" s="907" customFormat="1" ht="20.100000000000001" customHeight="1">
      <c r="A40" s="978">
        <f t="shared" si="2"/>
        <v>31</v>
      </c>
      <c r="B40" s="361" t="s">
        <v>55</v>
      </c>
      <c r="C40" s="921" t="s">
        <v>38</v>
      </c>
      <c r="D40" s="927" t="s">
        <v>2176</v>
      </c>
      <c r="E40" s="97" t="s">
        <v>9</v>
      </c>
    </row>
    <row r="41" spans="1:5" s="907" customFormat="1" ht="20.100000000000001" customHeight="1">
      <c r="A41" s="978">
        <f t="shared" si="2"/>
        <v>32</v>
      </c>
      <c r="B41" s="361" t="s">
        <v>56</v>
      </c>
      <c r="C41" s="921" t="s">
        <v>38</v>
      </c>
      <c r="D41" s="927" t="s">
        <v>2177</v>
      </c>
      <c r="E41" s="97" t="s">
        <v>9</v>
      </c>
    </row>
    <row r="42" spans="1:5" s="907" customFormat="1" ht="20.100000000000001" customHeight="1">
      <c r="A42" s="931">
        <f t="shared" si="2"/>
        <v>33</v>
      </c>
      <c r="B42" s="933" t="s">
        <v>2140</v>
      </c>
      <c r="C42" s="989" t="s">
        <v>38</v>
      </c>
      <c r="D42" s="1006" t="s">
        <v>2178</v>
      </c>
      <c r="E42" s="991" t="s">
        <v>9</v>
      </c>
    </row>
    <row r="43" spans="1:5" s="907" customFormat="1" ht="20.100000000000001" customHeight="1">
      <c r="A43" s="931">
        <f t="shared" si="2"/>
        <v>34</v>
      </c>
      <c r="B43" s="933" t="s">
        <v>2141</v>
      </c>
      <c r="C43" s="989" t="s">
        <v>38</v>
      </c>
      <c r="D43" s="1006" t="s">
        <v>2179</v>
      </c>
      <c r="E43" s="991" t="s">
        <v>9</v>
      </c>
    </row>
    <row r="44" spans="1:5" s="907" customFormat="1" ht="20.100000000000001" customHeight="1">
      <c r="A44" s="978">
        <f t="shared" si="2"/>
        <v>35</v>
      </c>
      <c r="B44" s="361" t="s">
        <v>57</v>
      </c>
      <c r="C44" s="921" t="s">
        <v>38</v>
      </c>
      <c r="D44" s="927" t="s">
        <v>2180</v>
      </c>
      <c r="E44" s="97" t="s">
        <v>9</v>
      </c>
    </row>
    <row r="45" spans="1:5" s="907" customFormat="1" ht="20.100000000000001" customHeight="1">
      <c r="A45" s="978">
        <f t="shared" si="2"/>
        <v>36</v>
      </c>
      <c r="B45" s="925" t="s">
        <v>58</v>
      </c>
      <c r="C45" s="921" t="s">
        <v>38</v>
      </c>
      <c r="D45" s="927" t="s">
        <v>2181</v>
      </c>
      <c r="E45" s="97" t="s">
        <v>9</v>
      </c>
    </row>
    <row r="46" spans="1:5" s="907" customFormat="1" ht="20.100000000000001" customHeight="1">
      <c r="A46" s="59">
        <f>A45+0.1</f>
        <v>36.1</v>
      </c>
      <c r="B46" s="925" t="s">
        <v>59</v>
      </c>
      <c r="C46" s="921" t="s">
        <v>38</v>
      </c>
      <c r="D46" s="927" t="s">
        <v>2182</v>
      </c>
      <c r="E46" s="97" t="s">
        <v>9</v>
      </c>
    </row>
    <row r="47" spans="1:5" s="907" customFormat="1" ht="20.100000000000001" customHeight="1">
      <c r="A47" s="59">
        <f>A46+0.1</f>
        <v>36.200000000000003</v>
      </c>
      <c r="B47" s="925" t="s">
        <v>60</v>
      </c>
      <c r="C47" s="921" t="s">
        <v>38</v>
      </c>
      <c r="D47" s="927" t="s">
        <v>2183</v>
      </c>
      <c r="E47" s="97" t="s">
        <v>9</v>
      </c>
    </row>
    <row r="48" spans="1:5" s="907" customFormat="1" ht="20.100000000000001" customHeight="1">
      <c r="A48" s="59">
        <f>A45+1</f>
        <v>37</v>
      </c>
      <c r="B48" s="925" t="s">
        <v>61</v>
      </c>
      <c r="C48" s="921" t="s">
        <v>38</v>
      </c>
      <c r="D48" s="927" t="s">
        <v>2184</v>
      </c>
      <c r="E48" s="97" t="s">
        <v>9</v>
      </c>
    </row>
    <row r="49" spans="1:5" s="907" customFormat="1" ht="20.100000000000001" customHeight="1">
      <c r="A49" s="59">
        <f>1+A46</f>
        <v>37.1</v>
      </c>
      <c r="B49" s="925" t="s">
        <v>62</v>
      </c>
      <c r="C49" s="921" t="s">
        <v>38</v>
      </c>
      <c r="D49" s="927" t="s">
        <v>2185</v>
      </c>
      <c r="E49" s="97" t="s">
        <v>9</v>
      </c>
    </row>
    <row r="50" spans="1:5" s="907" customFormat="1" ht="20.100000000000001" customHeight="1">
      <c r="A50" s="59">
        <f>A49+0.1</f>
        <v>37.200000000000003</v>
      </c>
      <c r="B50" s="925" t="s">
        <v>63</v>
      </c>
      <c r="C50" s="921" t="s">
        <v>38</v>
      </c>
      <c r="D50" s="927" t="s">
        <v>2186</v>
      </c>
      <c r="E50" s="97" t="s">
        <v>9</v>
      </c>
    </row>
    <row r="51" spans="1:5" s="907" customFormat="1" ht="20.100000000000001" customHeight="1">
      <c r="A51" s="59">
        <f>A48+1</f>
        <v>38</v>
      </c>
      <c r="B51" s="361" t="s">
        <v>64</v>
      </c>
      <c r="C51" s="921" t="s">
        <v>38</v>
      </c>
      <c r="D51" s="927" t="s">
        <v>2187</v>
      </c>
      <c r="E51" s="97" t="s">
        <v>9</v>
      </c>
    </row>
    <row r="52" spans="1:5" s="907" customFormat="1" ht="20.100000000000001" customHeight="1">
      <c r="A52" s="988">
        <f>A51+1</f>
        <v>39</v>
      </c>
      <c r="B52" s="925" t="s">
        <v>2148</v>
      </c>
      <c r="C52" s="921" t="s">
        <v>38</v>
      </c>
      <c r="D52" s="927" t="s">
        <v>2188</v>
      </c>
      <c r="E52" s="97" t="s">
        <v>9</v>
      </c>
    </row>
    <row r="53" spans="1:5" s="907" customFormat="1" ht="20.100000000000001" customHeight="1">
      <c r="A53" s="931">
        <f>A52+1</f>
        <v>40</v>
      </c>
      <c r="B53" s="933" t="s">
        <v>2149</v>
      </c>
      <c r="C53" s="989" t="s">
        <v>38</v>
      </c>
      <c r="D53" s="1006" t="s">
        <v>2189</v>
      </c>
      <c r="E53" s="991" t="s">
        <v>9</v>
      </c>
    </row>
    <row r="54" spans="1:5" s="907" customFormat="1" ht="20.100000000000001" customHeight="1">
      <c r="A54" s="59">
        <f>A53+1</f>
        <v>41</v>
      </c>
      <c r="B54" s="361" t="s">
        <v>65</v>
      </c>
      <c r="C54" s="921" t="s">
        <v>38</v>
      </c>
      <c r="D54" s="927" t="s">
        <v>2190</v>
      </c>
      <c r="E54" s="97" t="s">
        <v>9</v>
      </c>
    </row>
    <row r="55" spans="1:5" s="907" customFormat="1" ht="20.100000000000001" customHeight="1">
      <c r="A55" s="59">
        <f t="shared" ref="A55:A65" si="3">1+A54</f>
        <v>42</v>
      </c>
      <c r="B55" s="361" t="s">
        <v>66</v>
      </c>
      <c r="C55" s="921" t="s">
        <v>38</v>
      </c>
      <c r="D55" s="927" t="s">
        <v>2191</v>
      </c>
      <c r="E55" s="97" t="s">
        <v>9</v>
      </c>
    </row>
    <row r="56" spans="1:5" s="907" customFormat="1" ht="20.100000000000001" customHeight="1">
      <c r="A56" s="59">
        <f t="shared" si="3"/>
        <v>43</v>
      </c>
      <c r="B56" s="361" t="s">
        <v>67</v>
      </c>
      <c r="C56" s="921" t="s">
        <v>38</v>
      </c>
      <c r="D56" s="927" t="s">
        <v>2192</v>
      </c>
      <c r="E56" s="97" t="s">
        <v>9</v>
      </c>
    </row>
    <row r="57" spans="1:5" s="907" customFormat="1" ht="20.100000000000001" customHeight="1">
      <c r="A57" s="59">
        <f t="shared" si="3"/>
        <v>44</v>
      </c>
      <c r="B57" s="361" t="s">
        <v>68</v>
      </c>
      <c r="C57" s="921" t="s">
        <v>38</v>
      </c>
      <c r="D57" s="927" t="s">
        <v>2193</v>
      </c>
      <c r="E57" s="97" t="s">
        <v>9</v>
      </c>
    </row>
    <row r="58" spans="1:5" s="907" customFormat="1" ht="20.100000000000001" customHeight="1">
      <c r="A58" s="59">
        <f t="shared" si="3"/>
        <v>45</v>
      </c>
      <c r="B58" s="361" t="s">
        <v>69</v>
      </c>
      <c r="C58" s="921" t="s">
        <v>38</v>
      </c>
      <c r="D58" s="927" t="s">
        <v>2194</v>
      </c>
      <c r="E58" s="97" t="s">
        <v>9</v>
      </c>
    </row>
    <row r="59" spans="1:5" s="907" customFormat="1" ht="20.100000000000001" customHeight="1">
      <c r="A59" s="59">
        <f t="shared" si="3"/>
        <v>46</v>
      </c>
      <c r="B59" s="361" t="s">
        <v>70</v>
      </c>
      <c r="C59" s="921" t="s">
        <v>38</v>
      </c>
      <c r="D59" s="927" t="s">
        <v>2195</v>
      </c>
      <c r="E59" s="97" t="s">
        <v>9</v>
      </c>
    </row>
    <row r="60" spans="1:5" s="907" customFormat="1" ht="20.100000000000001" customHeight="1">
      <c r="A60" s="59">
        <f t="shared" si="3"/>
        <v>47</v>
      </c>
      <c r="B60" s="361" t="s">
        <v>71</v>
      </c>
      <c r="C60" s="921" t="s">
        <v>38</v>
      </c>
      <c r="D60" s="927" t="s">
        <v>2196</v>
      </c>
      <c r="E60" s="97" t="s">
        <v>9</v>
      </c>
    </row>
    <row r="61" spans="1:5" s="907" customFormat="1" ht="20.100000000000001" customHeight="1">
      <c r="A61" s="59">
        <f t="shared" si="3"/>
        <v>48</v>
      </c>
      <c r="B61" s="361" t="s">
        <v>72</v>
      </c>
      <c r="C61" s="921" t="s">
        <v>38</v>
      </c>
      <c r="D61" s="927" t="s">
        <v>2197</v>
      </c>
      <c r="E61" s="97" t="s">
        <v>9</v>
      </c>
    </row>
    <row r="62" spans="1:5" s="907" customFormat="1" ht="20.100000000000001" customHeight="1">
      <c r="A62" s="59">
        <f t="shared" si="3"/>
        <v>49</v>
      </c>
      <c r="B62" s="361" t="s">
        <v>73</v>
      </c>
      <c r="C62" s="921" t="s">
        <v>38</v>
      </c>
      <c r="D62" s="927" t="s">
        <v>2198</v>
      </c>
      <c r="E62" s="97" t="s">
        <v>9</v>
      </c>
    </row>
    <row r="63" spans="1:5" s="907" customFormat="1" ht="20.100000000000001" customHeight="1">
      <c r="A63" s="931">
        <f t="shared" si="3"/>
        <v>50</v>
      </c>
      <c r="B63" s="933" t="s">
        <v>2067</v>
      </c>
      <c r="C63" s="989" t="s">
        <v>38</v>
      </c>
      <c r="D63" s="1006" t="s">
        <v>2199</v>
      </c>
      <c r="E63" s="991" t="s">
        <v>9</v>
      </c>
    </row>
    <row r="64" spans="1:5" s="907" customFormat="1" ht="20.100000000000001" customHeight="1">
      <c r="A64" s="59">
        <f>1+A63</f>
        <v>51</v>
      </c>
      <c r="B64" s="361" t="s">
        <v>74</v>
      </c>
      <c r="C64" s="921" t="s">
        <v>38</v>
      </c>
      <c r="D64" s="927" t="s">
        <v>2200</v>
      </c>
      <c r="E64" s="97" t="s">
        <v>9</v>
      </c>
    </row>
    <row r="65" spans="1:5" s="907" customFormat="1" ht="20.100000000000001" customHeight="1">
      <c r="A65" s="59">
        <f t="shared" si="3"/>
        <v>52</v>
      </c>
      <c r="B65" s="361" t="s">
        <v>75</v>
      </c>
      <c r="C65" s="921" t="s">
        <v>38</v>
      </c>
      <c r="D65" s="927" t="s">
        <v>2201</v>
      </c>
      <c r="E65" s="97" t="s">
        <v>9</v>
      </c>
    </row>
    <row r="66" spans="1:5" s="907" customFormat="1" ht="20.100000000000001" customHeight="1">
      <c r="A66" s="931">
        <f t="shared" ref="A66:A72" si="4">A65+1</f>
        <v>53</v>
      </c>
      <c r="B66" s="933" t="s">
        <v>2151</v>
      </c>
      <c r="C66" s="989" t="s">
        <v>38</v>
      </c>
      <c r="D66" s="1006" t="s">
        <v>2202</v>
      </c>
      <c r="E66" s="991" t="s">
        <v>9</v>
      </c>
    </row>
    <row r="67" spans="1:5" s="907" customFormat="1" ht="20.100000000000001" customHeight="1">
      <c r="A67" s="931">
        <f t="shared" si="4"/>
        <v>54</v>
      </c>
      <c r="B67" s="933" t="s">
        <v>2152</v>
      </c>
      <c r="C67" s="989" t="s">
        <v>38</v>
      </c>
      <c r="D67" s="1006" t="s">
        <v>2203</v>
      </c>
      <c r="E67" s="991" t="s">
        <v>9</v>
      </c>
    </row>
    <row r="68" spans="1:5" s="907" customFormat="1" ht="20.100000000000001" customHeight="1">
      <c r="A68" s="59">
        <f t="shared" si="4"/>
        <v>55</v>
      </c>
      <c r="B68" s="361" t="s">
        <v>76</v>
      </c>
      <c r="C68" s="921" t="s">
        <v>38</v>
      </c>
      <c r="D68" s="927" t="s">
        <v>2204</v>
      </c>
      <c r="E68" s="97" t="s">
        <v>9</v>
      </c>
    </row>
    <row r="69" spans="1:5" s="907" customFormat="1" ht="20.100000000000001" customHeight="1">
      <c r="A69" s="931">
        <f t="shared" si="4"/>
        <v>56</v>
      </c>
      <c r="B69" s="933" t="s">
        <v>2144</v>
      </c>
      <c r="C69" s="989" t="s">
        <v>38</v>
      </c>
      <c r="D69" s="1006" t="s">
        <v>2205</v>
      </c>
      <c r="E69" s="991" t="s">
        <v>9</v>
      </c>
    </row>
    <row r="70" spans="1:5" s="907" customFormat="1" ht="20.100000000000001" customHeight="1">
      <c r="A70" s="59">
        <f t="shared" si="4"/>
        <v>57</v>
      </c>
      <c r="B70" s="361" t="s">
        <v>77</v>
      </c>
      <c r="C70" s="921" t="s">
        <v>38</v>
      </c>
      <c r="D70" s="927" t="s">
        <v>2206</v>
      </c>
      <c r="E70" s="97" t="s">
        <v>9</v>
      </c>
    </row>
    <row r="71" spans="1:5" s="907" customFormat="1" ht="20.100000000000001" customHeight="1">
      <c r="A71" s="59">
        <f t="shared" si="4"/>
        <v>58</v>
      </c>
      <c r="B71" s="361" t="s">
        <v>78</v>
      </c>
      <c r="C71" s="921" t="s">
        <v>38</v>
      </c>
      <c r="D71" s="927" t="s">
        <v>2207</v>
      </c>
      <c r="E71" s="97" t="s">
        <v>9</v>
      </c>
    </row>
    <row r="72" spans="1:5" s="907" customFormat="1" ht="20.100000000000001" customHeight="1">
      <c r="A72" s="59">
        <f t="shared" si="4"/>
        <v>59</v>
      </c>
      <c r="B72" s="925" t="s">
        <v>79</v>
      </c>
      <c r="C72" s="921" t="s">
        <v>38</v>
      </c>
      <c r="D72" s="927" t="s">
        <v>2208</v>
      </c>
      <c r="E72" s="97" t="s">
        <v>9</v>
      </c>
    </row>
    <row r="73" spans="1:5" s="907" customFormat="1" ht="20.100000000000001" customHeight="1">
      <c r="A73" s="59">
        <f>A72+0.1</f>
        <v>59.1</v>
      </c>
      <c r="B73" s="925" t="s">
        <v>80</v>
      </c>
      <c r="C73" s="921" t="s">
        <v>38</v>
      </c>
      <c r="D73" s="927" t="s">
        <v>2209</v>
      </c>
      <c r="E73" s="97" t="s">
        <v>9</v>
      </c>
    </row>
    <row r="74" spans="1:5" s="907" customFormat="1" ht="20.100000000000001" customHeight="1">
      <c r="A74" s="59">
        <f>A73+0.1</f>
        <v>59.2</v>
      </c>
      <c r="B74" s="925" t="s">
        <v>81</v>
      </c>
      <c r="C74" s="921" t="s">
        <v>38</v>
      </c>
      <c r="D74" s="927" t="s">
        <v>2210</v>
      </c>
      <c r="E74" s="97" t="s">
        <v>9</v>
      </c>
    </row>
    <row r="75" spans="1:5" s="907" customFormat="1" ht="20.100000000000001" customHeight="1">
      <c r="A75" s="59">
        <f>A74+0.1</f>
        <v>59.3</v>
      </c>
      <c r="B75" s="925" t="s">
        <v>82</v>
      </c>
      <c r="C75" s="921" t="s">
        <v>38</v>
      </c>
      <c r="D75" s="927" t="s">
        <v>2211</v>
      </c>
      <c r="E75" s="97" t="s">
        <v>9</v>
      </c>
    </row>
    <row r="76" spans="1:5" s="907" customFormat="1" ht="20.100000000000001" customHeight="1">
      <c r="A76" s="59">
        <f>A72+1</f>
        <v>60</v>
      </c>
      <c r="B76" s="361" t="s">
        <v>50</v>
      </c>
      <c r="C76" s="921" t="s">
        <v>38</v>
      </c>
      <c r="D76" s="927" t="s">
        <v>2212</v>
      </c>
      <c r="E76" s="97" t="s">
        <v>9</v>
      </c>
    </row>
    <row r="77" spans="1:5" s="907" customFormat="1" ht="20.100000000000001" customHeight="1">
      <c r="A77" s="59">
        <f t="shared" ref="A77:A79" si="5">1+A76</f>
        <v>61</v>
      </c>
      <c r="B77" s="361" t="s">
        <v>83</v>
      </c>
      <c r="C77" s="921" t="s">
        <v>38</v>
      </c>
      <c r="D77" s="927" t="s">
        <v>2213</v>
      </c>
      <c r="E77" s="97" t="s">
        <v>9</v>
      </c>
    </row>
    <row r="78" spans="1:5" s="907" customFormat="1" ht="20.100000000000001" customHeight="1">
      <c r="A78" s="59">
        <f t="shared" si="5"/>
        <v>62</v>
      </c>
      <c r="B78" s="361" t="s">
        <v>84</v>
      </c>
      <c r="C78" s="921" t="s">
        <v>38</v>
      </c>
      <c r="D78" s="927" t="s">
        <v>2214</v>
      </c>
      <c r="E78" s="97" t="s">
        <v>9</v>
      </c>
    </row>
    <row r="79" spans="1:5" s="907" customFormat="1" ht="20.100000000000001" customHeight="1">
      <c r="A79" s="59">
        <f t="shared" si="5"/>
        <v>63</v>
      </c>
      <c r="B79" s="361" t="s">
        <v>85</v>
      </c>
      <c r="C79" s="921" t="s">
        <v>38</v>
      </c>
      <c r="D79" s="927" t="s">
        <v>2215</v>
      </c>
      <c r="E79" s="97" t="s">
        <v>9</v>
      </c>
    </row>
    <row r="80" spans="1:5" s="907" customFormat="1" ht="20.100000000000001" customHeight="1">
      <c r="A80" s="931">
        <f>A79+1</f>
        <v>64</v>
      </c>
      <c r="B80" s="933" t="s">
        <v>2156</v>
      </c>
      <c r="C80" s="989" t="s">
        <v>38</v>
      </c>
      <c r="D80" s="1006" t="s">
        <v>2216</v>
      </c>
      <c r="E80" s="991" t="s">
        <v>9</v>
      </c>
    </row>
    <row r="81" spans="1:5" s="907" customFormat="1" ht="20.100000000000001" customHeight="1">
      <c r="A81" s="59">
        <f>A80+1</f>
        <v>65</v>
      </c>
      <c r="B81" s="925" t="s">
        <v>86</v>
      </c>
      <c r="C81" s="921" t="s">
        <v>38</v>
      </c>
      <c r="D81" s="927" t="s">
        <v>2217</v>
      </c>
      <c r="E81" s="97" t="s">
        <v>9</v>
      </c>
    </row>
    <row r="82" spans="1:5" s="907" customFormat="1" ht="20.100000000000001" customHeight="1">
      <c r="A82" s="59">
        <f>A81+0.1</f>
        <v>65.099999999999994</v>
      </c>
      <c r="B82" s="925" t="s">
        <v>87</v>
      </c>
      <c r="C82" s="921" t="s">
        <v>38</v>
      </c>
      <c r="D82" s="927" t="s">
        <v>2218</v>
      </c>
      <c r="E82" s="97" t="s">
        <v>9</v>
      </c>
    </row>
    <row r="83" spans="1:5" s="907" customFormat="1" ht="20.100000000000001" customHeight="1">
      <c r="A83" s="59">
        <f>A82+0.1</f>
        <v>65.2</v>
      </c>
      <c r="B83" s="925" t="s">
        <v>88</v>
      </c>
      <c r="C83" s="921" t="s">
        <v>38</v>
      </c>
      <c r="D83" s="927" t="s">
        <v>2219</v>
      </c>
      <c r="E83" s="97" t="s">
        <v>9</v>
      </c>
    </row>
    <row r="84" spans="1:5" s="907" customFormat="1" ht="20.100000000000001" customHeight="1">
      <c r="A84" s="59">
        <f>A81+1</f>
        <v>66</v>
      </c>
      <c r="B84" s="361" t="s">
        <v>89</v>
      </c>
      <c r="C84" s="921" t="s">
        <v>38</v>
      </c>
      <c r="D84" s="927" t="s">
        <v>2220</v>
      </c>
      <c r="E84" s="97" t="s">
        <v>9</v>
      </c>
    </row>
    <row r="85" spans="1:5" s="907" customFormat="1" ht="20.100000000000001" customHeight="1">
      <c r="A85" s="59">
        <f>A84+1</f>
        <v>67</v>
      </c>
      <c r="B85" s="361" t="s">
        <v>90</v>
      </c>
      <c r="C85" s="921" t="s">
        <v>38</v>
      </c>
      <c r="D85" s="927" t="s">
        <v>2221</v>
      </c>
      <c r="E85" s="97" t="s">
        <v>9</v>
      </c>
    </row>
    <row r="86" spans="1:5" s="907" customFormat="1" ht="20.100000000000001" customHeight="1">
      <c r="A86" s="59">
        <f t="shared" ref="A86:A93" si="6">1+A85</f>
        <v>68</v>
      </c>
      <c r="B86" s="361" t="s">
        <v>91</v>
      </c>
      <c r="C86" s="921" t="s">
        <v>38</v>
      </c>
      <c r="D86" s="927" t="s">
        <v>2222</v>
      </c>
      <c r="E86" s="97" t="s">
        <v>9</v>
      </c>
    </row>
    <row r="87" spans="1:5" s="907" customFormat="1" ht="20.100000000000001" customHeight="1">
      <c r="A87" s="59">
        <f t="shared" si="6"/>
        <v>69</v>
      </c>
      <c r="B87" s="361" t="s">
        <v>92</v>
      </c>
      <c r="C87" s="921" t="s">
        <v>38</v>
      </c>
      <c r="D87" s="927" t="s">
        <v>2223</v>
      </c>
      <c r="E87" s="97" t="s">
        <v>9</v>
      </c>
    </row>
    <row r="88" spans="1:5" s="907" customFormat="1" ht="20.100000000000001" customHeight="1">
      <c r="A88" s="59">
        <f t="shared" si="6"/>
        <v>70</v>
      </c>
      <c r="B88" s="361" t="s">
        <v>93</v>
      </c>
      <c r="C88" s="921" t="s">
        <v>38</v>
      </c>
      <c r="D88" s="927" t="s">
        <v>2224</v>
      </c>
      <c r="E88" s="97" t="s">
        <v>9</v>
      </c>
    </row>
    <row r="89" spans="1:5" s="907" customFormat="1" ht="20.100000000000001" customHeight="1">
      <c r="A89" s="59">
        <f t="shared" si="6"/>
        <v>71</v>
      </c>
      <c r="B89" s="925" t="s">
        <v>94</v>
      </c>
      <c r="C89" s="921" t="s">
        <v>38</v>
      </c>
      <c r="D89" s="927" t="s">
        <v>2225</v>
      </c>
      <c r="E89" s="97" t="s">
        <v>9</v>
      </c>
    </row>
    <row r="90" spans="1:5" s="907" customFormat="1" ht="20.100000000000001" customHeight="1">
      <c r="A90" s="59">
        <f t="shared" si="6"/>
        <v>72</v>
      </c>
      <c r="B90" s="361" t="s">
        <v>95</v>
      </c>
      <c r="C90" s="921" t="s">
        <v>38</v>
      </c>
      <c r="D90" s="927" t="s">
        <v>2226</v>
      </c>
      <c r="E90" s="97" t="s">
        <v>9</v>
      </c>
    </row>
    <row r="91" spans="1:5" s="907" customFormat="1" ht="20.100000000000001" customHeight="1">
      <c r="A91" s="59">
        <f t="shared" si="6"/>
        <v>73</v>
      </c>
      <c r="B91" s="361" t="s">
        <v>96</v>
      </c>
      <c r="C91" s="921" t="s">
        <v>38</v>
      </c>
      <c r="D91" s="927" t="s">
        <v>2227</v>
      </c>
      <c r="E91" s="97" t="s">
        <v>9</v>
      </c>
    </row>
    <row r="92" spans="1:5" s="907" customFormat="1" ht="20.100000000000001" customHeight="1">
      <c r="A92" s="59">
        <f t="shared" si="6"/>
        <v>74</v>
      </c>
      <c r="B92" s="925" t="s">
        <v>97</v>
      </c>
      <c r="C92" s="921" t="s">
        <v>38</v>
      </c>
      <c r="D92" s="927" t="s">
        <v>2228</v>
      </c>
      <c r="E92" s="97" t="s">
        <v>9</v>
      </c>
    </row>
    <row r="93" spans="1:5" s="907" customFormat="1" ht="20.100000000000001" customHeight="1">
      <c r="A93" s="988">
        <f t="shared" si="6"/>
        <v>75</v>
      </c>
      <c r="B93" s="361" t="s">
        <v>98</v>
      </c>
      <c r="C93" s="921" t="s">
        <v>38</v>
      </c>
      <c r="D93" s="927" t="s">
        <v>2229</v>
      </c>
      <c r="E93" s="97" t="s">
        <v>9</v>
      </c>
    </row>
    <row r="94" spans="1:5" s="907" customFormat="1" ht="20.100000000000001" customHeight="1">
      <c r="A94" s="988">
        <f>1+A93</f>
        <v>76</v>
      </c>
      <c r="B94" s="925" t="s">
        <v>100</v>
      </c>
      <c r="C94" s="921" t="s">
        <v>38</v>
      </c>
      <c r="D94" s="927" t="s">
        <v>2230</v>
      </c>
      <c r="E94" s="97" t="s">
        <v>9</v>
      </c>
    </row>
    <row r="95" spans="1:5" s="907" customFormat="1" ht="20.100000000000001" customHeight="1">
      <c r="A95" s="59">
        <f>1+A94</f>
        <v>77</v>
      </c>
      <c r="B95" s="361" t="s">
        <v>101</v>
      </c>
      <c r="C95" s="921" t="s">
        <v>38</v>
      </c>
      <c r="D95" s="927" t="s">
        <v>2231</v>
      </c>
      <c r="E95" s="97" t="s">
        <v>9</v>
      </c>
    </row>
    <row r="96" spans="1:5" s="907" customFormat="1" ht="20.100000000000001" customHeight="1">
      <c r="A96" s="931">
        <f t="shared" ref="A96:A116" si="7">1+A95</f>
        <v>78</v>
      </c>
      <c r="B96" s="933" t="s">
        <v>2157</v>
      </c>
      <c r="C96" s="989" t="s">
        <v>38</v>
      </c>
      <c r="D96" s="1006" t="s">
        <v>2232</v>
      </c>
      <c r="E96" s="991" t="s">
        <v>9</v>
      </c>
    </row>
    <row r="97" spans="1:5" s="907" customFormat="1" ht="20.100000000000001" customHeight="1">
      <c r="A97" s="978">
        <f t="shared" si="7"/>
        <v>79</v>
      </c>
      <c r="B97" s="925" t="s">
        <v>2158</v>
      </c>
      <c r="C97" s="921" t="s">
        <v>38</v>
      </c>
      <c r="D97" s="927" t="s">
        <v>2233</v>
      </c>
      <c r="E97" s="97" t="s">
        <v>9</v>
      </c>
    </row>
    <row r="98" spans="1:5" s="907" customFormat="1" ht="20.100000000000001" customHeight="1">
      <c r="A98" s="931">
        <f>A97+1</f>
        <v>80</v>
      </c>
      <c r="B98" s="933" t="s">
        <v>2069</v>
      </c>
      <c r="C98" s="989" t="s">
        <v>38</v>
      </c>
      <c r="D98" s="1006" t="s">
        <v>2234</v>
      </c>
      <c r="E98" s="991" t="s">
        <v>9</v>
      </c>
    </row>
    <row r="99" spans="1:5" s="907" customFormat="1" ht="20.100000000000001" customHeight="1">
      <c r="A99" s="931">
        <f>A98+1</f>
        <v>81</v>
      </c>
      <c r="B99" s="993" t="s">
        <v>99</v>
      </c>
      <c r="C99" s="989" t="s">
        <v>38</v>
      </c>
      <c r="D99" s="1006" t="s">
        <v>2235</v>
      </c>
      <c r="E99" s="991" t="s">
        <v>9</v>
      </c>
    </row>
    <row r="100" spans="1:5" s="907" customFormat="1" ht="20.100000000000001" customHeight="1">
      <c r="A100" s="978">
        <f>A99+1</f>
        <v>82</v>
      </c>
      <c r="B100" s="925" t="s">
        <v>102</v>
      </c>
      <c r="C100" s="921" t="s">
        <v>38</v>
      </c>
      <c r="D100" s="927" t="s">
        <v>2236</v>
      </c>
      <c r="E100" s="97" t="s">
        <v>9</v>
      </c>
    </row>
    <row r="101" spans="1:5" s="907" customFormat="1" ht="20.100000000000001" customHeight="1">
      <c r="A101" s="978">
        <f t="shared" si="7"/>
        <v>83</v>
      </c>
      <c r="B101" s="361" t="s">
        <v>103</v>
      </c>
      <c r="C101" s="921" t="s">
        <v>38</v>
      </c>
      <c r="D101" s="927" t="s">
        <v>2237</v>
      </c>
      <c r="E101" s="97" t="s">
        <v>9</v>
      </c>
    </row>
    <row r="102" spans="1:5" s="907" customFormat="1" ht="20.100000000000001" customHeight="1">
      <c r="A102" s="978">
        <f t="shared" si="7"/>
        <v>84</v>
      </c>
      <c r="B102" s="361" t="s">
        <v>104</v>
      </c>
      <c r="C102" s="921" t="s">
        <v>38</v>
      </c>
      <c r="D102" s="927" t="s">
        <v>2238</v>
      </c>
      <c r="E102" s="97" t="s">
        <v>9</v>
      </c>
    </row>
    <row r="103" spans="1:5" s="907" customFormat="1" ht="20.100000000000001" customHeight="1">
      <c r="A103" s="978">
        <f t="shared" si="7"/>
        <v>85</v>
      </c>
      <c r="B103" s="361" t="s">
        <v>105</v>
      </c>
      <c r="C103" s="921" t="s">
        <v>38</v>
      </c>
      <c r="D103" s="927" t="s">
        <v>2239</v>
      </c>
      <c r="E103" s="97" t="s">
        <v>9</v>
      </c>
    </row>
    <row r="104" spans="1:5" s="907" customFormat="1" ht="20.100000000000001" customHeight="1">
      <c r="A104" s="978">
        <f t="shared" si="7"/>
        <v>86</v>
      </c>
      <c r="B104" s="361" t="s">
        <v>106</v>
      </c>
      <c r="C104" s="921" t="s">
        <v>38</v>
      </c>
      <c r="D104" s="927" t="s">
        <v>2240</v>
      </c>
      <c r="E104" s="97" t="s">
        <v>9</v>
      </c>
    </row>
    <row r="105" spans="1:5" s="907" customFormat="1" ht="20.100000000000001" customHeight="1">
      <c r="A105" s="978">
        <f t="shared" si="7"/>
        <v>87</v>
      </c>
      <c r="B105" s="361" t="s">
        <v>107</v>
      </c>
      <c r="C105" s="921" t="s">
        <v>38</v>
      </c>
      <c r="D105" s="927" t="s">
        <v>2241</v>
      </c>
      <c r="E105" s="97" t="s">
        <v>9</v>
      </c>
    </row>
    <row r="106" spans="1:5" s="907" customFormat="1" ht="20.100000000000001" customHeight="1">
      <c r="A106" s="978">
        <f t="shared" si="7"/>
        <v>88</v>
      </c>
      <c r="B106" s="361" t="s">
        <v>108</v>
      </c>
      <c r="C106" s="921" t="s">
        <v>38</v>
      </c>
      <c r="D106" s="927" t="s">
        <v>2242</v>
      </c>
      <c r="E106" s="97" t="s">
        <v>9</v>
      </c>
    </row>
    <row r="107" spans="1:5" s="907" customFormat="1" ht="20.100000000000001" customHeight="1">
      <c r="A107" s="978">
        <f t="shared" si="7"/>
        <v>89</v>
      </c>
      <c r="B107" s="361" t="s">
        <v>109</v>
      </c>
      <c r="C107" s="921" t="s">
        <v>38</v>
      </c>
      <c r="D107" s="927" t="s">
        <v>2243</v>
      </c>
      <c r="E107" s="97" t="s">
        <v>9</v>
      </c>
    </row>
    <row r="108" spans="1:5" s="907" customFormat="1" ht="20.100000000000001" customHeight="1">
      <c r="A108" s="978">
        <f t="shared" si="7"/>
        <v>90</v>
      </c>
      <c r="B108" s="361" t="s">
        <v>110</v>
      </c>
      <c r="C108" s="921" t="s">
        <v>38</v>
      </c>
      <c r="D108" s="927" t="s">
        <v>2244</v>
      </c>
      <c r="E108" s="97" t="s">
        <v>9</v>
      </c>
    </row>
    <row r="109" spans="1:5" s="907" customFormat="1" ht="20.100000000000001" customHeight="1">
      <c r="A109" s="978">
        <f t="shared" si="7"/>
        <v>91</v>
      </c>
      <c r="B109" s="361" t="s">
        <v>111</v>
      </c>
      <c r="C109" s="921" t="s">
        <v>38</v>
      </c>
      <c r="D109" s="927" t="s">
        <v>2245</v>
      </c>
      <c r="E109" s="97" t="s">
        <v>9</v>
      </c>
    </row>
    <row r="110" spans="1:5" s="907" customFormat="1" ht="20.100000000000001" customHeight="1">
      <c r="A110" s="978">
        <f t="shared" si="7"/>
        <v>92</v>
      </c>
      <c r="B110" s="361" t="s">
        <v>112</v>
      </c>
      <c r="C110" s="921" t="s">
        <v>38</v>
      </c>
      <c r="D110" s="927" t="s">
        <v>2246</v>
      </c>
      <c r="E110" s="97" t="s">
        <v>9</v>
      </c>
    </row>
    <row r="111" spans="1:5" s="907" customFormat="1" ht="20.100000000000001" customHeight="1">
      <c r="A111" s="978">
        <f t="shared" si="7"/>
        <v>93</v>
      </c>
      <c r="B111" s="361" t="s">
        <v>113</v>
      </c>
      <c r="C111" s="921" t="s">
        <v>38</v>
      </c>
      <c r="D111" s="927" t="s">
        <v>2247</v>
      </c>
      <c r="E111" s="97" t="s">
        <v>9</v>
      </c>
    </row>
    <row r="112" spans="1:5" s="907" customFormat="1" ht="20.100000000000001" customHeight="1">
      <c r="A112" s="978">
        <f t="shared" si="7"/>
        <v>94</v>
      </c>
      <c r="B112" s="361" t="s">
        <v>114</v>
      </c>
      <c r="C112" s="921" t="s">
        <v>38</v>
      </c>
      <c r="D112" s="927" t="s">
        <v>2248</v>
      </c>
      <c r="E112" s="97" t="s">
        <v>9</v>
      </c>
    </row>
    <row r="113" spans="1:5" s="907" customFormat="1" ht="20.100000000000001" customHeight="1">
      <c r="A113" s="978">
        <f t="shared" si="7"/>
        <v>95</v>
      </c>
      <c r="B113" s="361" t="s">
        <v>115</v>
      </c>
      <c r="C113" s="921" t="s">
        <v>38</v>
      </c>
      <c r="D113" s="927" t="s">
        <v>2249</v>
      </c>
      <c r="E113" s="97" t="s">
        <v>9</v>
      </c>
    </row>
    <row r="114" spans="1:5" s="907" customFormat="1" ht="20.100000000000001" customHeight="1">
      <c r="A114" s="978">
        <f t="shared" si="7"/>
        <v>96</v>
      </c>
      <c r="B114" s="361" t="s">
        <v>116</v>
      </c>
      <c r="C114" s="921" t="s">
        <v>38</v>
      </c>
      <c r="D114" s="927" t="s">
        <v>2250</v>
      </c>
      <c r="E114" s="97" t="s">
        <v>9</v>
      </c>
    </row>
    <row r="115" spans="1:5" s="907" customFormat="1" ht="20.100000000000001" customHeight="1">
      <c r="A115" s="978">
        <f t="shared" si="7"/>
        <v>97</v>
      </c>
      <c r="B115" s="361" t="s">
        <v>117</v>
      </c>
      <c r="C115" s="921" t="s">
        <v>38</v>
      </c>
      <c r="D115" s="927" t="s">
        <v>2251</v>
      </c>
      <c r="E115" s="97" t="s">
        <v>9</v>
      </c>
    </row>
    <row r="116" spans="1:5" s="907" customFormat="1" ht="20.100000000000001" customHeight="1">
      <c r="A116" s="978">
        <f t="shared" si="7"/>
        <v>98</v>
      </c>
      <c r="B116" s="361" t="s">
        <v>118</v>
      </c>
      <c r="C116" s="921" t="s">
        <v>38</v>
      </c>
      <c r="D116" s="927" t="s">
        <v>2252</v>
      </c>
      <c r="E116" s="97" t="s">
        <v>9</v>
      </c>
    </row>
    <row r="117" spans="1:5" s="907" customFormat="1" ht="20.100000000000001" customHeight="1">
      <c r="A117" s="59">
        <f t="shared" ref="A117:A118" si="8">1+A116</f>
        <v>99</v>
      </c>
      <c r="B117" s="361"/>
      <c r="C117" s="921"/>
      <c r="D117" s="923"/>
      <c r="E117" s="33"/>
    </row>
    <row r="118" spans="1:5" s="907" customFormat="1" ht="20.100000000000001" customHeight="1">
      <c r="A118" s="59">
        <f t="shared" si="8"/>
        <v>100</v>
      </c>
      <c r="B118" s="361"/>
      <c r="C118" s="921"/>
      <c r="D118" s="927"/>
      <c r="E118" s="33"/>
    </row>
    <row r="119" spans="1:5" s="907" customFormat="1" ht="20.100000000000001" customHeight="1">
      <c r="A119" s="59"/>
      <c r="B119" s="361"/>
      <c r="C119" s="921"/>
      <c r="D119" s="927"/>
      <c r="E119" s="33"/>
    </row>
    <row r="120" spans="1:5" s="907" customFormat="1" ht="20.100000000000001" customHeight="1">
      <c r="A120" s="59"/>
      <c r="B120" s="361"/>
      <c r="C120" s="921"/>
      <c r="D120" s="96"/>
      <c r="E120" s="33"/>
    </row>
    <row r="121" spans="1:5" s="907" customFormat="1" ht="20.100000000000001" customHeight="1">
      <c r="A121" s="928" t="s">
        <v>119</v>
      </c>
      <c r="B121" s="28"/>
      <c r="C121" s="1"/>
      <c r="D121" s="1"/>
    </row>
    <row r="122" spans="1:5" ht="20.100000000000001" customHeight="1">
      <c r="A122" s="110"/>
      <c r="B122" s="929"/>
      <c r="C122" s="929"/>
      <c r="E122" s="929"/>
    </row>
  </sheetData>
  <phoneticPr fontId="78" type="noConversion"/>
  <hyperlinks>
    <hyperlink ref="D6" location="'RP 001'!Print_Area" display="RP 001"/>
    <hyperlink ref="D5" location="基础信息!A1" display="基础信息"/>
    <hyperlink ref="D7" location="'RP 002-1'!A1" display="RP 002-1"/>
    <hyperlink ref="D9" location="'RP 003 '!A1" display="RP 003"/>
    <hyperlink ref="D10" location="'RP 004 '!A1" display="RP 004"/>
    <hyperlink ref="D11" location="'RP 005'!A1" display="RP 005"/>
    <hyperlink ref="D12" location="'RP 006'!A1" display="RP 006"/>
    <hyperlink ref="D13" location="'RP 007'!A1" display="RP 007"/>
    <hyperlink ref="D14:D15" location="'11'!A1" display="RP 008"/>
    <hyperlink ref="D16:D17" location="'11'!A1" display="RP 010"/>
    <hyperlink ref="D14" location="'RP 008'!A1" display="RP 008"/>
    <hyperlink ref="D15" location="'RP 009'!A1" display="RP 009"/>
    <hyperlink ref="D16" location="'RP 010'!A1" display="RP 010"/>
    <hyperlink ref="D17" location="'RP 011'!A1" display="RP 011"/>
    <hyperlink ref="D18" location="'RP 012'!A1" display="RP 012"/>
    <hyperlink ref="D20" location="'RP 014'!A1" display="RP 014"/>
    <hyperlink ref="D23" location="'RP 017'!A1" display="RP 017"/>
    <hyperlink ref="D25" location="'RP 019'!A1" display="RP 019"/>
    <hyperlink ref="D28" location="'RP 020-2'!A1" display="RP 020-2"/>
    <hyperlink ref="D29" location="'RP 020-3'!A1" display="RP 020-3"/>
    <hyperlink ref="D30" location="'RP 021'!A1" display="RP 021"/>
    <hyperlink ref="D34" location="'RP 025'!A1" display="RP 025"/>
    <hyperlink ref="D36" location="'RP 027'!A1" display="RP 027"/>
    <hyperlink ref="D38" location="'RP 029'!A1" display="RP 029"/>
    <hyperlink ref="D39" location="'RP 030'!A1" display="RP 030"/>
    <hyperlink ref="D41" location="'RP 032'!A1" display="RP 032"/>
    <hyperlink ref="D44" location="'RP 035'!A1" display="RP 035"/>
    <hyperlink ref="D46" location="'RP 036-1'!A1" display="RP 036-1"/>
    <hyperlink ref="D54" location="'RP 041'!A1" display="RP 041"/>
    <hyperlink ref="D55" location="'RP 042'!A1" display="RP 042"/>
    <hyperlink ref="D56" location="'RP 043'!A1" display="RP 043"/>
    <hyperlink ref="D57" location="'RP 044'!A1" display="RP 044"/>
    <hyperlink ref="D58" location="'RP 045'!A1" display="RP 045"/>
    <hyperlink ref="D59" location="'RP 046'!A1" display="RP 046"/>
    <hyperlink ref="D60" location="'RP 047'!A1" display="RP 047"/>
    <hyperlink ref="D61" location="'RP 048'!A1" display="RP 048"/>
    <hyperlink ref="D62" location="'RP 049'!A1" display="RP 049"/>
    <hyperlink ref="D64" location="'RP 051'!A1" display="RP 051"/>
    <hyperlink ref="D66" location="'RP 053'!A1" display="RP 053"/>
    <hyperlink ref="D67" location="'RP 054'!A1" display="RP 054"/>
    <hyperlink ref="D68" location="'RP 055'!A1" display="RP 055"/>
    <hyperlink ref="D70" location="'RP 057'!A1" display="RP 057"/>
    <hyperlink ref="D71" location="'RP 058'!A1" display="RP 058"/>
    <hyperlink ref="D74" location="'RP 059-2'!A1" display="RP 059-2"/>
    <hyperlink ref="D75" location="'RP 059-3'!A1" display="RP 059-3"/>
    <hyperlink ref="D76" location="'RP 060'!A1" display="RP 060"/>
    <hyperlink ref="D78" location="'RP 062'!A1" display="RP 062"/>
    <hyperlink ref="D79" location="'RP 063'!A1" display="RP 063"/>
    <hyperlink ref="D82" location="'RP 065-1'!A1" display="RP 065-1"/>
    <hyperlink ref="D84" location="'RP 066'!A1" display="RP 066"/>
    <hyperlink ref="D87" location="'RP 069'!A1" display="RP 069"/>
    <hyperlink ref="D88" location="'RP 070'!A1" display="RP 070"/>
    <hyperlink ref="D91" location="'RP 073'!A1" display="RP 073"/>
    <hyperlink ref="D93" location="'RP 075'!A1" display="RP 075"/>
    <hyperlink ref="D99" location="'RP 081'!A1" display="RP 081"/>
    <hyperlink ref="D21" location="'RP 015'!A1" display="RP 015"/>
    <hyperlink ref="D27" location="'RP 020-1'!A1" display="RP 020-1"/>
    <hyperlink ref="D32" location="'RP 023'!A1" display="RP 023"/>
    <hyperlink ref="D33" location="'RP 024'!A1" display="RP 024"/>
    <hyperlink ref="D40" location="'RP 031'!A1" display="RP 031"/>
    <hyperlink ref="D49:D50" location="'RP 026'!A1" display="RP 029-1"/>
    <hyperlink ref="D51" location="'RP 038'!A1" display="RP 038"/>
    <hyperlink ref="D65" location="'RP 052'!A1" display="RP 052"/>
    <hyperlink ref="D77" location="'RP 061'!A1" display="RP 061"/>
    <hyperlink ref="D85" location="'RP 067'!A1" display="RP 067"/>
    <hyperlink ref="D86" location="'RP 068'!A1" display="RP 068"/>
    <hyperlink ref="D89:D90" location="'RP 051'!A1" display="RP 057"/>
    <hyperlink ref="D73" location="'RP 059-1'!A1" display="RP 059-1"/>
    <hyperlink ref="D49" location="'RP 037-1'!A1" display="RP 037-1"/>
    <hyperlink ref="D50" location="'RP 037-2'!A1" display="RP 037-2"/>
    <hyperlink ref="D89" location="'RP 071'!A1" display="RP 071"/>
    <hyperlink ref="D90" location="'RP 072'!A1" display="RP 072"/>
    <hyperlink ref="D94" location="'RP 076'!A1" display="RP 076"/>
    <hyperlink ref="D26" location="'RP 020'!A1" display="RP 020"/>
    <hyperlink ref="D47" location="'RP 036-2'!A1" display="RP 036-2"/>
    <hyperlink ref="D83" location="'RP 065-2'!A1" display="RP 065-2"/>
    <hyperlink ref="D8" location="'RP 002-2'!A1" display="RP 002-2"/>
    <hyperlink ref="D45" location="'RP 036'!A1" display="RP 036"/>
    <hyperlink ref="D48" location="'RP 037'!A1" display="RP 037"/>
    <hyperlink ref="D72" location="'RP 059'!A1" display="RP 059"/>
    <hyperlink ref="D81" location="'RP 065'!A1" display="RP 065"/>
    <hyperlink ref="D92" location="'RP 074'!A1" display="RP 074"/>
    <hyperlink ref="D95" location="'RP 077'!A1" display="RP 077"/>
    <hyperlink ref="D97" location="'RP 079'!A1" display="RP 079"/>
    <hyperlink ref="D31" location="'RP 022'!A1" display="RP 022"/>
    <hyperlink ref="D35" location="'RP 026'!A1" display="RP 026"/>
    <hyperlink ref="D37" location="'RP 028'!A1" display="RP 028"/>
    <hyperlink ref="D42" location="'RP 033'!A1" display="RP 033"/>
    <hyperlink ref="D43" location="'RP 034'!A1" display="RP 034"/>
    <hyperlink ref="D63" location="'RP 050'!A1" display="RP 050"/>
    <hyperlink ref="D69" location="'RP 056'!A1" display="RP 056"/>
    <hyperlink ref="D98" location="'RP 080'!A1" display="RP 080"/>
    <hyperlink ref="D96" location="'RP 078'!A1" display="RP 078"/>
    <hyperlink ref="D19" location="'RP 013'!A1" display="RP 013"/>
    <hyperlink ref="D52" location="'RP 039'!A1" display="RP 039"/>
    <hyperlink ref="D53" location="'RP 040'!A1" display="RP 040"/>
    <hyperlink ref="D24" location="'RP 018'!A1" display="RP 018"/>
    <hyperlink ref="D80" location="'RP 064'!A1" display="RP 064"/>
    <hyperlink ref="D22" location="'RP 016'!A1" display="RP 016"/>
    <hyperlink ref="D116" location="'RP 098'!Print_Area" display="RP 098"/>
    <hyperlink ref="D115" location="'RP 097'!Print_Area" display="RP 097"/>
    <hyperlink ref="D114" location="'RP 096'!Print_Area" display="RP 096"/>
    <hyperlink ref="D113" location="'RP 095'!Print_Area" display="RP 095"/>
    <hyperlink ref="D112" location="'RP 094'!Print_Area" display="RP 094"/>
    <hyperlink ref="D111" location="'RP 093'!Print_Titles" display="RP 093"/>
    <hyperlink ref="D110" location="'RP 092'!Print_Titles" display="RP 092"/>
    <hyperlink ref="D109" location="'RP 091'!A1" display="RP 091"/>
    <hyperlink ref="D108" location="'RP 090'!A1" display="RP 090"/>
    <hyperlink ref="D107" location="'RP 089'!A1" display="RP 089"/>
    <hyperlink ref="D106" location="'RP 088'!A1" display="RP 088"/>
    <hyperlink ref="D105" location="'RP 087'!A1" display="RP 087"/>
    <hyperlink ref="D104" location="'RP 086'!A1" display="RP 086"/>
    <hyperlink ref="D103" location="'RP 085'!A1" display="RP 085"/>
    <hyperlink ref="D102" location="'RP 084'!A1" display="RP 084"/>
    <hyperlink ref="D101" location="'RP 083'!A1" display="RP 083"/>
    <hyperlink ref="D100" location="'RP 082'!A1" display="RP 082"/>
  </hyperlinks>
  <printOptions horizontalCentered="1"/>
  <pageMargins left="0.74791666666666701" right="0.74791666666666701" top="0.98402777777777795" bottom="0.98402777777777795" header="0.51180555555555596" footer="0.51180555555555596"/>
  <pageSetup paperSize="9" scale="80" fitToHeight="0" orientation="portrait" blackAndWhite="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46"/>
  <sheetViews>
    <sheetView view="pageBreakPreview" zoomScaleNormal="100" zoomScaleSheetLayoutView="100" workbookViewId="0">
      <selection activeCell="B6" sqref="B6:D6"/>
    </sheetView>
  </sheetViews>
  <sheetFormatPr defaultColWidth="9" defaultRowHeight="20.100000000000001" customHeight="1"/>
  <cols>
    <col min="1" max="1" width="44.3984375" style="908" customWidth="1"/>
    <col min="2" max="2" width="11.8984375" style="908" customWidth="1"/>
    <col min="3" max="3" width="9.3984375" style="908" customWidth="1"/>
    <col min="4" max="4" width="11" style="908" customWidth="1"/>
    <col min="5" max="16384" width="9" style="908"/>
  </cols>
  <sheetData>
    <row r="1" spans="1:8" s="906" customFormat="1" ht="24.9" customHeight="1">
      <c r="A1" s="619" t="s">
        <v>120</v>
      </c>
      <c r="G1" s="900" t="s">
        <v>146</v>
      </c>
      <c r="H1" s="910"/>
    </row>
    <row r="2" spans="1:8" s="906" customFormat="1" ht="24.75" customHeight="1">
      <c r="A2" s="619" t="s">
        <v>121</v>
      </c>
      <c r="G2" s="909"/>
      <c r="H2" s="910"/>
    </row>
    <row r="3" spans="1:8" s="907" customFormat="1" ht="20.100000000000001" customHeight="1">
      <c r="A3" s="911"/>
    </row>
    <row r="4" spans="1:8" s="907" customFormat="1" ht="20.100000000000001" customHeight="1">
      <c r="A4" s="912" t="s">
        <v>122</v>
      </c>
      <c r="B4" s="1009"/>
      <c r="C4" s="1009"/>
      <c r="D4" s="1009"/>
    </row>
    <row r="5" spans="1:8" s="907" customFormat="1" ht="20.100000000000001" customHeight="1">
      <c r="A5" s="912" t="s">
        <v>123</v>
      </c>
      <c r="B5" s="1009"/>
      <c r="C5" s="1009"/>
      <c r="D5" s="1009"/>
    </row>
    <row r="6" spans="1:8" s="907" customFormat="1" ht="20.100000000000001" customHeight="1">
      <c r="A6" s="912" t="s">
        <v>124</v>
      </c>
      <c r="B6" s="1009"/>
      <c r="C6" s="1009"/>
      <c r="D6" s="1009"/>
    </row>
    <row r="7" spans="1:8" s="907" customFormat="1" ht="20.100000000000001" customHeight="1">
      <c r="A7" s="912" t="s">
        <v>125</v>
      </c>
      <c r="B7" s="1009"/>
      <c r="C7" s="1009"/>
      <c r="D7" s="1009"/>
    </row>
    <row r="8" spans="1:8" s="907" customFormat="1" ht="20.100000000000001" customHeight="1">
      <c r="A8" s="912" t="s">
        <v>126</v>
      </c>
      <c r="B8" s="1009"/>
      <c r="C8" s="1009"/>
      <c r="D8" s="1009"/>
    </row>
    <row r="9" spans="1:8" s="907" customFormat="1" ht="20.100000000000001" customHeight="1">
      <c r="A9" s="912" t="s">
        <v>127</v>
      </c>
      <c r="B9" s="1009"/>
      <c r="C9" s="1009"/>
      <c r="D9" s="1009"/>
    </row>
    <row r="10" spans="1:8" s="907" customFormat="1" ht="20.100000000000001" customHeight="1">
      <c r="E10" s="913"/>
    </row>
    <row r="11" spans="1:8" s="907" customFormat="1" ht="20.100000000000001" customHeight="1">
      <c r="A11" s="913"/>
      <c r="B11" s="913"/>
      <c r="C11" s="913"/>
      <c r="D11" s="913"/>
      <c r="E11" s="914"/>
    </row>
    <row r="12" spans="1:8" s="907" customFormat="1" ht="20.100000000000001" customHeight="1">
      <c r="A12" s="912" t="s">
        <v>128</v>
      </c>
      <c r="B12" s="1009"/>
      <c r="C12" s="1009"/>
      <c r="D12" s="1009"/>
    </row>
    <row r="13" spans="1:8" s="907" customFormat="1" ht="20.100000000000001" customHeight="1">
      <c r="A13" s="912" t="s">
        <v>129</v>
      </c>
      <c r="B13" s="1009"/>
      <c r="C13" s="1009"/>
      <c r="D13" s="1009"/>
    </row>
    <row r="14" spans="1:8" s="907" customFormat="1" ht="20.100000000000001" customHeight="1">
      <c r="A14" s="912" t="s">
        <v>130</v>
      </c>
      <c r="B14" s="1009"/>
      <c r="C14" s="1009"/>
      <c r="D14" s="1009"/>
    </row>
    <row r="15" spans="1:8" s="907" customFormat="1" ht="20.100000000000001" customHeight="1">
      <c r="A15" s="912" t="s">
        <v>131</v>
      </c>
      <c r="B15" s="1009"/>
      <c r="C15" s="1009"/>
      <c r="D15" s="1009"/>
    </row>
    <row r="16" spans="1:8" s="907" customFormat="1" ht="20.100000000000001" customHeight="1">
      <c r="A16" s="912" t="s">
        <v>132</v>
      </c>
      <c r="B16" s="1009"/>
      <c r="C16" s="1009"/>
      <c r="D16" s="1009"/>
    </row>
    <row r="17" spans="1:5" s="907" customFormat="1" ht="20.100000000000001" customHeight="1">
      <c r="A17" s="912" t="s">
        <v>133</v>
      </c>
      <c r="B17" s="1009"/>
      <c r="C17" s="1009"/>
      <c r="D17" s="1009"/>
    </row>
    <row r="18" spans="1:5" s="907" customFormat="1" ht="20.100000000000001" customHeight="1">
      <c r="A18" s="912" t="s">
        <v>134</v>
      </c>
      <c r="B18" s="1009"/>
      <c r="C18" s="1009"/>
      <c r="D18" s="1009"/>
    </row>
    <row r="19" spans="1:5" s="907" customFormat="1" ht="20.100000000000001" customHeight="1">
      <c r="A19" s="912"/>
      <c r="B19" s="1009"/>
      <c r="C19" s="1009"/>
      <c r="D19" s="1009"/>
    </row>
    <row r="20" spans="1:5" s="907" customFormat="1" ht="20.100000000000001" customHeight="1">
      <c r="A20" s="912" t="s">
        <v>135</v>
      </c>
      <c r="B20" s="1009"/>
      <c r="C20" s="1009"/>
      <c r="D20" s="1009"/>
    </row>
    <row r="21" spans="1:5" s="907" customFormat="1" ht="20.100000000000001" customHeight="1">
      <c r="A21" s="912"/>
      <c r="B21" s="1009"/>
      <c r="C21" s="1009"/>
      <c r="D21" s="1009"/>
    </row>
    <row r="22" spans="1:5" s="907" customFormat="1" ht="20.100000000000001" customHeight="1">
      <c r="A22" s="912" t="s">
        <v>136</v>
      </c>
      <c r="B22" s="1009"/>
      <c r="C22" s="1009"/>
      <c r="D22" s="1009"/>
    </row>
    <row r="23" spans="1:5" s="907" customFormat="1" ht="20.100000000000001" customHeight="1">
      <c r="A23" s="913"/>
      <c r="B23" s="913"/>
      <c r="C23" s="913"/>
      <c r="D23" s="913"/>
      <c r="E23" s="913"/>
    </row>
    <row r="24" spans="1:5" s="907" customFormat="1" ht="20.100000000000001" customHeight="1">
      <c r="A24" s="913"/>
      <c r="B24" s="913"/>
      <c r="C24" s="913"/>
      <c r="D24" s="913"/>
      <c r="E24" s="913"/>
    </row>
    <row r="25" spans="1:5" s="907" customFormat="1" ht="20.100000000000001" customHeight="1">
      <c r="A25" s="915" t="s">
        <v>137</v>
      </c>
      <c r="B25" s="1010" t="s">
        <v>138</v>
      </c>
      <c r="C25" s="1010"/>
      <c r="D25" s="1010"/>
    </row>
    <row r="26" spans="1:5" s="907" customFormat="1" ht="20.100000000000001" customHeight="1">
      <c r="A26" s="912" t="s">
        <v>139</v>
      </c>
      <c r="B26" s="1009"/>
      <c r="C26" s="1009"/>
      <c r="D26" s="1009"/>
    </row>
    <row r="27" spans="1:5" s="907" customFormat="1" ht="20.100000000000001" customHeight="1">
      <c r="A27" s="912" t="s">
        <v>140</v>
      </c>
      <c r="B27" s="1009"/>
      <c r="C27" s="1009"/>
      <c r="D27" s="1009"/>
    </row>
    <row r="28" spans="1:5" s="907" customFormat="1" ht="20.100000000000001" customHeight="1">
      <c r="A28" s="912" t="s">
        <v>141</v>
      </c>
      <c r="B28" s="1009"/>
      <c r="C28" s="1009"/>
      <c r="D28" s="1009"/>
    </row>
    <row r="29" spans="1:5" s="907" customFormat="1" ht="20.100000000000001" customHeight="1">
      <c r="A29" s="912" t="s">
        <v>142</v>
      </c>
      <c r="B29" s="1009"/>
      <c r="C29" s="1009"/>
      <c r="D29" s="1009"/>
    </row>
    <row r="30" spans="1:5" s="907" customFormat="1" ht="20.100000000000001" customHeight="1">
      <c r="A30" s="912" t="s">
        <v>143</v>
      </c>
      <c r="B30" s="1009"/>
      <c r="C30" s="1009"/>
      <c r="D30" s="1009"/>
    </row>
    <row r="31" spans="1:5" s="907" customFormat="1" ht="20.100000000000001" customHeight="1">
      <c r="A31" s="912" t="s">
        <v>144</v>
      </c>
      <c r="B31" s="1009"/>
      <c r="C31" s="1009"/>
      <c r="D31" s="1009"/>
    </row>
    <row r="32" spans="1:5" ht="20.100000000000001" customHeight="1">
      <c r="A32" s="916"/>
      <c r="B32" s="916"/>
      <c r="C32" s="916"/>
      <c r="D32" s="916"/>
      <c r="E32" s="916"/>
    </row>
    <row r="33" spans="1:5" ht="20.100000000000001" customHeight="1">
      <c r="A33" s="916"/>
      <c r="B33" s="916"/>
      <c r="C33" s="916"/>
      <c r="D33" s="916"/>
      <c r="E33" s="916"/>
    </row>
    <row r="34" spans="1:5" ht="20.100000000000001" customHeight="1">
      <c r="A34" s="916"/>
      <c r="B34" s="916"/>
      <c r="C34" s="916"/>
      <c r="D34" s="916"/>
      <c r="E34" s="916"/>
    </row>
    <row r="35" spans="1:5" ht="20.100000000000001" customHeight="1">
      <c r="A35" s="916"/>
      <c r="B35" s="916"/>
      <c r="C35" s="916"/>
      <c r="D35" s="916"/>
      <c r="E35" s="916"/>
    </row>
    <row r="36" spans="1:5" ht="20.100000000000001" customHeight="1">
      <c r="A36" s="916"/>
      <c r="B36" s="916"/>
      <c r="C36" s="916"/>
      <c r="D36" s="916"/>
      <c r="E36" s="916"/>
    </row>
    <row r="37" spans="1:5" ht="20.100000000000001" customHeight="1">
      <c r="A37" s="916"/>
      <c r="B37" s="916"/>
      <c r="C37" s="916"/>
      <c r="D37" s="916"/>
      <c r="E37" s="916"/>
    </row>
    <row r="38" spans="1:5" ht="20.100000000000001" customHeight="1">
      <c r="A38" s="916"/>
      <c r="B38" s="916"/>
      <c r="C38" s="916"/>
      <c r="D38" s="916"/>
      <c r="E38" s="916"/>
    </row>
    <row r="39" spans="1:5" ht="20.100000000000001" customHeight="1">
      <c r="A39" s="916"/>
      <c r="B39" s="916"/>
      <c r="C39" s="916"/>
      <c r="D39" s="916"/>
      <c r="E39" s="916"/>
    </row>
    <row r="40" spans="1:5" ht="20.100000000000001" customHeight="1">
      <c r="A40" s="916"/>
      <c r="B40" s="916"/>
      <c r="C40" s="916"/>
      <c r="D40" s="916"/>
      <c r="E40" s="916"/>
    </row>
    <row r="41" spans="1:5" ht="20.100000000000001" customHeight="1">
      <c r="A41" s="916"/>
      <c r="B41" s="916"/>
      <c r="C41" s="916"/>
      <c r="D41" s="916"/>
      <c r="E41" s="916"/>
    </row>
    <row r="42" spans="1:5" ht="20.100000000000001" customHeight="1">
      <c r="A42" s="916"/>
      <c r="B42" s="916"/>
      <c r="C42" s="916"/>
      <c r="D42" s="916"/>
      <c r="E42" s="916"/>
    </row>
    <row r="43" spans="1:5" ht="20.100000000000001" customHeight="1">
      <c r="A43" s="916"/>
      <c r="B43" s="916"/>
      <c r="C43" s="916"/>
      <c r="D43" s="916"/>
      <c r="E43" s="916"/>
    </row>
    <row r="44" spans="1:5" ht="20.100000000000001" customHeight="1">
      <c r="A44" s="916"/>
      <c r="B44" s="916"/>
      <c r="C44" s="916"/>
      <c r="D44" s="916"/>
      <c r="E44" s="916"/>
    </row>
    <row r="45" spans="1:5" ht="20.100000000000001" customHeight="1">
      <c r="A45" s="916"/>
      <c r="B45" s="916"/>
      <c r="C45" s="916"/>
      <c r="D45" s="916"/>
      <c r="E45" s="916"/>
    </row>
    <row r="46" spans="1:5" ht="20.100000000000001" customHeight="1">
      <c r="A46" s="916"/>
      <c r="B46" s="916"/>
      <c r="C46" s="916"/>
      <c r="D46" s="916"/>
    </row>
  </sheetData>
  <mergeCells count="24">
    <mergeCell ref="B4:D4"/>
    <mergeCell ref="B5:D5"/>
    <mergeCell ref="B6:D6"/>
    <mergeCell ref="B7:D7"/>
    <mergeCell ref="B8:D8"/>
    <mergeCell ref="B9:D9"/>
    <mergeCell ref="B12:D12"/>
    <mergeCell ref="B13:D13"/>
    <mergeCell ref="B14:D14"/>
    <mergeCell ref="B15:D15"/>
    <mergeCell ref="B16:D16"/>
    <mergeCell ref="B17:D17"/>
    <mergeCell ref="B18:D18"/>
    <mergeCell ref="B19:D19"/>
    <mergeCell ref="B20:D20"/>
    <mergeCell ref="B28:D28"/>
    <mergeCell ref="B29:D29"/>
    <mergeCell ref="B30:D30"/>
    <mergeCell ref="B31:D31"/>
    <mergeCell ref="B21:D21"/>
    <mergeCell ref="B22:D22"/>
    <mergeCell ref="B25:D25"/>
    <mergeCell ref="B26:D26"/>
    <mergeCell ref="B27:D27"/>
  </mergeCells>
  <phoneticPr fontId="78" type="noConversion"/>
  <dataValidations count="3">
    <dataValidation allowBlank="1" showInputMessage="1" showErrorMessage="1" sqref="C6 B7 E11 B18:B22"/>
    <dataValidation type="list" allowBlank="1" showInputMessage="1" showErrorMessage="1" sqref="B8">
      <formula1>#REF!</formula1>
    </dataValidation>
    <dataValidation type="whole" operator="greaterThanOrEqual" allowBlank="1" showInputMessage="1" showErrorMessage="1" sqref="B26:C28 B30:C31">
      <formula1>0</formula1>
    </dataValidation>
  </dataValidations>
  <hyperlinks>
    <hyperlink ref="G1" location="目录!A1" display="BACK"/>
  </hyperlinks>
  <pageMargins left="0.74791666666666701" right="0.74791666666666701" top="0.98402777777777795" bottom="0.98402777777777795" header="0.51180555555555596" footer="0.51180555555555596"/>
  <pageSetup paperSize="9" fitToHeight="0" orientation="portrait" blackAndWhite="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E77"/>
  <sheetViews>
    <sheetView view="pageBreakPreview" topLeftCell="A25" zoomScaleNormal="100" zoomScaleSheetLayoutView="100" workbookViewId="0">
      <selection activeCell="E1" sqref="E1"/>
    </sheetView>
  </sheetViews>
  <sheetFormatPr defaultColWidth="9" defaultRowHeight="20.100000000000001" customHeight="1"/>
  <cols>
    <col min="1" max="1" width="11.09765625" style="898" customWidth="1"/>
    <col min="2" max="2" width="64.59765625" style="898" customWidth="1"/>
    <col min="3" max="16384" width="9" style="898"/>
  </cols>
  <sheetData>
    <row r="1" spans="1:5" ht="24.9" customHeight="1">
      <c r="A1" s="48" t="s">
        <v>145</v>
      </c>
      <c r="B1" s="899">
        <f>基础信息!C5</f>
        <v>0</v>
      </c>
      <c r="E1" s="900" t="s">
        <v>146</v>
      </c>
    </row>
    <row r="2" spans="1:5" ht="24.9" customHeight="1">
      <c r="A2" s="48" t="s">
        <v>147</v>
      </c>
      <c r="B2" s="899">
        <f>基础信息!B9</f>
        <v>0</v>
      </c>
    </row>
    <row r="3" spans="1:5" ht="24.9" customHeight="1">
      <c r="A3" s="58" t="s">
        <v>148</v>
      </c>
      <c r="B3" s="58" t="s">
        <v>149</v>
      </c>
    </row>
    <row r="4" spans="1:5" s="897" customFormat="1" ht="20.100000000000001" customHeight="1">
      <c r="A4" s="901">
        <v>1</v>
      </c>
      <c r="B4" s="902" t="s">
        <v>150</v>
      </c>
    </row>
    <row r="5" spans="1:5" s="897" customFormat="1" ht="20.100000000000001" customHeight="1">
      <c r="A5" s="143"/>
      <c r="B5" s="903" t="s">
        <v>151</v>
      </c>
    </row>
    <row r="6" spans="1:5" s="897" customFormat="1" ht="20.100000000000001" customHeight="1">
      <c r="A6" s="901">
        <v>2</v>
      </c>
      <c r="B6" s="902" t="s">
        <v>152</v>
      </c>
    </row>
    <row r="7" spans="1:5" s="897" customFormat="1" ht="20.100000000000001" customHeight="1">
      <c r="A7" s="143"/>
      <c r="B7" s="903"/>
    </row>
    <row r="8" spans="1:5" s="897" customFormat="1" ht="20.100000000000001" customHeight="1">
      <c r="A8" s="901">
        <v>3</v>
      </c>
      <c r="B8" s="902" t="s">
        <v>153</v>
      </c>
    </row>
    <row r="9" spans="1:5" s="897" customFormat="1" ht="20.100000000000001" customHeight="1">
      <c r="A9" s="143"/>
      <c r="B9" s="903" t="s">
        <v>151</v>
      </c>
    </row>
    <row r="10" spans="1:5" s="897" customFormat="1" ht="20.100000000000001" customHeight="1">
      <c r="A10" s="901">
        <v>4</v>
      </c>
      <c r="B10" s="902" t="s">
        <v>154</v>
      </c>
    </row>
    <row r="11" spans="1:5" s="897" customFormat="1" ht="20.100000000000001" customHeight="1">
      <c r="A11" s="143"/>
      <c r="B11" s="903"/>
    </row>
    <row r="12" spans="1:5" s="897" customFormat="1" ht="20.100000000000001" customHeight="1">
      <c r="A12" s="901">
        <v>5</v>
      </c>
      <c r="B12" s="902" t="s">
        <v>155</v>
      </c>
    </row>
    <row r="13" spans="1:5" s="897" customFormat="1" ht="20.100000000000001" customHeight="1">
      <c r="A13" s="143"/>
      <c r="B13" s="903"/>
    </row>
    <row r="14" spans="1:5" s="897" customFormat="1" ht="20.100000000000001" customHeight="1">
      <c r="A14" s="901">
        <v>6</v>
      </c>
      <c r="B14" s="902" t="s">
        <v>156</v>
      </c>
    </row>
    <row r="15" spans="1:5" s="897" customFormat="1" ht="20.100000000000001" customHeight="1">
      <c r="A15" s="143"/>
      <c r="B15" s="903"/>
    </row>
    <row r="16" spans="1:5" s="897" customFormat="1" ht="20.100000000000001" customHeight="1">
      <c r="A16" s="901">
        <v>7</v>
      </c>
      <c r="B16" s="902" t="s">
        <v>157</v>
      </c>
    </row>
    <row r="17" spans="1:2" s="897" customFormat="1" ht="20.100000000000001" customHeight="1">
      <c r="A17" s="143"/>
      <c r="B17" s="903" t="s">
        <v>151</v>
      </c>
    </row>
    <row r="18" spans="1:2" s="897" customFormat="1" ht="20.100000000000001" customHeight="1">
      <c r="A18" s="901">
        <v>8</v>
      </c>
      <c r="B18" s="902" t="s">
        <v>158</v>
      </c>
    </row>
    <row r="19" spans="1:2" s="897" customFormat="1" ht="20.100000000000001" customHeight="1">
      <c r="A19" s="143"/>
      <c r="B19" s="903" t="s">
        <v>151</v>
      </c>
    </row>
    <row r="20" spans="1:2" s="897" customFormat="1" ht="20.100000000000001" customHeight="1">
      <c r="A20" s="901">
        <v>9</v>
      </c>
      <c r="B20" s="902" t="s">
        <v>159</v>
      </c>
    </row>
    <row r="21" spans="1:2" s="897" customFormat="1" ht="20.100000000000001" customHeight="1">
      <c r="A21" s="143"/>
      <c r="B21" s="903" t="s">
        <v>151</v>
      </c>
    </row>
    <row r="22" spans="1:2" s="897" customFormat="1" ht="20.100000000000001" customHeight="1">
      <c r="A22" s="901">
        <v>10</v>
      </c>
      <c r="B22" s="902" t="s">
        <v>160</v>
      </c>
    </row>
    <row r="23" spans="1:2" s="897" customFormat="1" ht="20.100000000000001" customHeight="1">
      <c r="A23" s="143"/>
      <c r="B23" s="903"/>
    </row>
    <row r="24" spans="1:2" s="897" customFormat="1" ht="20.100000000000001" customHeight="1">
      <c r="A24" s="901">
        <v>11</v>
      </c>
      <c r="B24" s="902" t="s">
        <v>42</v>
      </c>
    </row>
    <row r="25" spans="1:2" s="897" customFormat="1" ht="20.100000000000001" customHeight="1">
      <c r="A25" s="143"/>
      <c r="B25" s="903" t="s">
        <v>151</v>
      </c>
    </row>
    <row r="26" spans="1:2" s="897" customFormat="1" ht="20.100000000000001" customHeight="1">
      <c r="A26" s="901">
        <v>12</v>
      </c>
      <c r="B26" s="902" t="s">
        <v>49</v>
      </c>
    </row>
    <row r="27" spans="1:2" s="897" customFormat="1" ht="20.100000000000001" customHeight="1">
      <c r="A27" s="143"/>
      <c r="B27" s="903" t="s">
        <v>151</v>
      </c>
    </row>
    <row r="28" spans="1:2" s="897" customFormat="1" ht="20.100000000000001" customHeight="1">
      <c r="A28" s="946">
        <v>13</v>
      </c>
      <c r="B28" s="948" t="s">
        <v>2072</v>
      </c>
    </row>
    <row r="29" spans="1:2" s="897" customFormat="1" ht="20.100000000000001" customHeight="1">
      <c r="A29" s="946"/>
      <c r="B29" s="947"/>
    </row>
    <row r="30" spans="1:2" s="897" customFormat="1" ht="20.100000000000001" customHeight="1">
      <c r="A30" s="901">
        <v>14</v>
      </c>
      <c r="B30" s="904" t="s">
        <v>161</v>
      </c>
    </row>
    <row r="31" spans="1:2" s="897" customFormat="1" ht="20.100000000000001" customHeight="1">
      <c r="A31" s="143"/>
      <c r="B31" s="903"/>
    </row>
    <row r="32" spans="1:2" s="897" customFormat="1" ht="20.100000000000001" customHeight="1">
      <c r="A32" s="946">
        <v>15</v>
      </c>
      <c r="B32" s="948" t="s">
        <v>2073</v>
      </c>
    </row>
    <row r="33" spans="1:2" s="897" customFormat="1" ht="20.100000000000001" customHeight="1">
      <c r="A33" s="946"/>
      <c r="B33" s="947"/>
    </row>
    <row r="34" spans="1:2" s="897" customFormat="1" ht="20.100000000000001" customHeight="1">
      <c r="A34" s="901">
        <v>16</v>
      </c>
      <c r="B34" s="902" t="s">
        <v>56</v>
      </c>
    </row>
    <row r="35" spans="1:2" s="897" customFormat="1" ht="20.100000000000001" customHeight="1">
      <c r="A35" s="143"/>
      <c r="B35" s="903" t="s">
        <v>151</v>
      </c>
    </row>
    <row r="36" spans="1:2" s="897" customFormat="1" ht="20.100000000000001" customHeight="1">
      <c r="A36" s="901">
        <v>17</v>
      </c>
      <c r="B36" s="902" t="s">
        <v>57</v>
      </c>
    </row>
    <row r="37" spans="1:2" s="897" customFormat="1" ht="20.100000000000001" customHeight="1">
      <c r="A37" s="143"/>
      <c r="B37" s="903" t="s">
        <v>151</v>
      </c>
    </row>
    <row r="38" spans="1:2" s="897" customFormat="1" ht="20.100000000000001" customHeight="1">
      <c r="A38" s="901">
        <v>18</v>
      </c>
      <c r="B38" s="902" t="s">
        <v>162</v>
      </c>
    </row>
    <row r="39" spans="1:2" s="897" customFormat="1" ht="20.100000000000001" customHeight="1">
      <c r="A39" s="143"/>
      <c r="B39" s="903" t="s">
        <v>151</v>
      </c>
    </row>
    <row r="40" spans="1:2" s="897" customFormat="1" ht="20.100000000000001" customHeight="1">
      <c r="A40" s="901">
        <v>19</v>
      </c>
      <c r="B40" s="902" t="s">
        <v>163</v>
      </c>
    </row>
    <row r="41" spans="1:2" s="897" customFormat="1" ht="20.100000000000001" customHeight="1">
      <c r="A41" s="143"/>
      <c r="B41" s="903" t="s">
        <v>151</v>
      </c>
    </row>
    <row r="42" spans="1:2" s="897" customFormat="1" ht="20.100000000000001" customHeight="1">
      <c r="A42" s="901">
        <v>20</v>
      </c>
      <c r="B42" s="902" t="s">
        <v>164</v>
      </c>
    </row>
    <row r="43" spans="1:2" s="897" customFormat="1" ht="20.100000000000001" customHeight="1">
      <c r="A43" s="143"/>
      <c r="B43" s="903"/>
    </row>
    <row r="44" spans="1:2" s="897" customFormat="1" ht="20.100000000000001" customHeight="1">
      <c r="A44" s="901">
        <v>21</v>
      </c>
      <c r="B44" s="902" t="s">
        <v>165</v>
      </c>
    </row>
    <row r="45" spans="1:2" s="897" customFormat="1" ht="20.100000000000001" customHeight="1">
      <c r="A45" s="143"/>
      <c r="B45" s="903"/>
    </row>
    <row r="46" spans="1:2" s="897" customFormat="1" ht="20.100000000000001" customHeight="1">
      <c r="A46" s="901">
        <v>22</v>
      </c>
      <c r="B46" s="902" t="s">
        <v>65</v>
      </c>
    </row>
    <row r="47" spans="1:2" s="897" customFormat="1" ht="20.100000000000001" customHeight="1">
      <c r="A47" s="143"/>
      <c r="B47" s="903" t="s">
        <v>151</v>
      </c>
    </row>
    <row r="48" spans="1:2" s="897" customFormat="1" ht="20.100000000000001" customHeight="1">
      <c r="A48" s="901">
        <v>23</v>
      </c>
      <c r="B48" s="902" t="s">
        <v>166</v>
      </c>
    </row>
    <row r="49" spans="1:2" s="897" customFormat="1" ht="20.100000000000001" customHeight="1">
      <c r="A49" s="143"/>
      <c r="B49" s="903"/>
    </row>
    <row r="50" spans="1:2" s="897" customFormat="1" ht="20.100000000000001" customHeight="1">
      <c r="A50" s="901">
        <v>24</v>
      </c>
      <c r="B50" s="902" t="s">
        <v>167</v>
      </c>
    </row>
    <row r="51" spans="1:2" s="897" customFormat="1" ht="20.100000000000001" customHeight="1">
      <c r="A51" s="143"/>
      <c r="B51" s="903" t="s">
        <v>151</v>
      </c>
    </row>
    <row r="52" spans="1:2" s="897" customFormat="1" ht="20.100000000000001" customHeight="1">
      <c r="A52" s="901">
        <v>25</v>
      </c>
      <c r="B52" s="902" t="s">
        <v>168</v>
      </c>
    </row>
    <row r="53" spans="1:2" s="897" customFormat="1" ht="20.100000000000001" customHeight="1">
      <c r="A53" s="143"/>
      <c r="B53" s="903" t="s">
        <v>151</v>
      </c>
    </row>
    <row r="54" spans="1:2" s="897" customFormat="1" ht="20.100000000000001" customHeight="1">
      <c r="A54" s="946">
        <v>26</v>
      </c>
      <c r="B54" s="948" t="s">
        <v>2074</v>
      </c>
    </row>
    <row r="55" spans="1:2" s="897" customFormat="1" ht="20.100000000000001" customHeight="1">
      <c r="A55" s="946"/>
      <c r="B55" s="947"/>
    </row>
    <row r="56" spans="1:2" s="897" customFormat="1" ht="20.100000000000001" customHeight="1">
      <c r="A56" s="901">
        <v>27</v>
      </c>
      <c r="B56" s="902" t="s">
        <v>169</v>
      </c>
    </row>
    <row r="57" spans="1:2" s="897" customFormat="1" ht="20.100000000000001" customHeight="1">
      <c r="A57" s="143"/>
      <c r="B57" s="903"/>
    </row>
    <row r="58" spans="1:2" s="897" customFormat="1" ht="20.100000000000001" customHeight="1">
      <c r="A58" s="901">
        <v>28</v>
      </c>
      <c r="B58" s="902" t="s">
        <v>90</v>
      </c>
    </row>
    <row r="59" spans="1:2" s="897" customFormat="1" ht="20.100000000000001" customHeight="1">
      <c r="A59" s="143"/>
      <c r="B59" s="903" t="s">
        <v>151</v>
      </c>
    </row>
    <row r="60" spans="1:2" s="897" customFormat="1" ht="20.100000000000001" customHeight="1">
      <c r="A60" s="901">
        <v>29</v>
      </c>
      <c r="B60" s="902" t="s">
        <v>113</v>
      </c>
    </row>
    <row r="61" spans="1:2" s="897" customFormat="1" ht="20.100000000000001" customHeight="1">
      <c r="A61" s="143"/>
      <c r="B61" s="903" t="s">
        <v>151</v>
      </c>
    </row>
    <row r="62" spans="1:2" s="897" customFormat="1" ht="20.100000000000001" customHeight="1">
      <c r="A62" s="901">
        <v>30</v>
      </c>
      <c r="B62" s="902" t="s">
        <v>170</v>
      </c>
    </row>
    <row r="63" spans="1:2" s="897" customFormat="1" ht="20.100000000000001" customHeight="1">
      <c r="A63" s="143"/>
      <c r="B63" s="903"/>
    </row>
    <row r="64" spans="1:2" s="897" customFormat="1" ht="20.100000000000001" customHeight="1">
      <c r="A64" s="901">
        <v>31</v>
      </c>
      <c r="B64" s="902" t="s">
        <v>171</v>
      </c>
    </row>
    <row r="65" spans="1:2" s="897" customFormat="1" ht="20.100000000000001" customHeight="1">
      <c r="A65" s="143"/>
      <c r="B65" s="903" t="s">
        <v>151</v>
      </c>
    </row>
    <row r="66" spans="1:2" s="897" customFormat="1" ht="20.100000000000001" customHeight="1">
      <c r="A66" s="901">
        <v>32</v>
      </c>
      <c r="B66" s="902" t="s">
        <v>172</v>
      </c>
    </row>
    <row r="67" spans="1:2" s="897" customFormat="1" ht="20.100000000000001" customHeight="1">
      <c r="A67" s="143"/>
      <c r="B67" s="903" t="s">
        <v>151</v>
      </c>
    </row>
    <row r="68" spans="1:2" s="897" customFormat="1" ht="20.100000000000001" customHeight="1">
      <c r="A68" s="901">
        <v>33</v>
      </c>
      <c r="B68" s="902" t="s">
        <v>173</v>
      </c>
    </row>
    <row r="69" spans="1:2" s="897" customFormat="1" ht="20.100000000000001" customHeight="1">
      <c r="A69" s="143"/>
      <c r="B69" s="903"/>
    </row>
    <row r="70" spans="1:2" s="897" customFormat="1" ht="20.100000000000001" customHeight="1">
      <c r="A70" s="901">
        <v>34</v>
      </c>
      <c r="B70" s="902" t="s">
        <v>174</v>
      </c>
    </row>
    <row r="71" spans="1:2" s="897" customFormat="1" ht="20.100000000000001" customHeight="1">
      <c r="A71" s="143"/>
      <c r="B71" s="903" t="s">
        <v>151</v>
      </c>
    </row>
    <row r="72" spans="1:2" s="897" customFormat="1" ht="20.100000000000001" customHeight="1">
      <c r="A72" s="901">
        <v>35</v>
      </c>
      <c r="B72" s="902" t="s">
        <v>175</v>
      </c>
    </row>
    <row r="73" spans="1:2" s="897" customFormat="1" ht="20.100000000000001" customHeight="1">
      <c r="A73" s="143"/>
      <c r="B73" s="903"/>
    </row>
    <row r="74" spans="1:2" s="897" customFormat="1" ht="20.100000000000001" customHeight="1">
      <c r="A74" s="901">
        <v>36</v>
      </c>
      <c r="B74" s="902" t="s">
        <v>176</v>
      </c>
    </row>
    <row r="75" spans="1:2" s="897" customFormat="1" ht="20.100000000000001" customHeight="1">
      <c r="A75" s="143"/>
      <c r="B75" s="903" t="s">
        <v>151</v>
      </c>
    </row>
    <row r="76" spans="1:2" s="897" customFormat="1" ht="20.100000000000001" customHeight="1">
      <c r="B76" s="905"/>
    </row>
    <row r="77" spans="1:2" s="897" customFormat="1" ht="20.100000000000001" customHeight="1"/>
  </sheetData>
  <autoFilter ref="A3:E6"/>
  <phoneticPr fontId="78" type="noConversion"/>
  <hyperlinks>
    <hyperlink ref="E1" location="目录!A1" display="BACK"/>
  </hyperlinks>
  <pageMargins left="0.47152777777777799" right="0.43263888888888902" top="0.98402777777777795" bottom="0.98402777777777795" header="0.51180555555555596" footer="0.51180555555555596"/>
  <pageSetup paperSize="9" fitToHeight="0" orientation="portrait" blackAndWhite="1" r:id="rId1"/>
  <headerFooter alignWithMargins="0"/>
  <rowBreaks count="1" manualBreakCount="1">
    <brk id="39" max="1"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rgb="FFFFC000"/>
    <pageSetUpPr fitToPage="1"/>
  </sheetPr>
  <dimension ref="A1:F48"/>
  <sheetViews>
    <sheetView showGridLines="0" showZeros="0" view="pageBreakPreview" zoomScaleNormal="100" zoomScaleSheetLayoutView="100" workbookViewId="0">
      <selection activeCell="F1" sqref="F1"/>
    </sheetView>
  </sheetViews>
  <sheetFormatPr defaultColWidth="13.3984375" defaultRowHeight="20.100000000000001" customHeight="1"/>
  <cols>
    <col min="1" max="1" width="26.09765625" style="880" customWidth="1"/>
    <col min="2" max="2" width="10.59765625" style="880" customWidth="1"/>
    <col min="3" max="4" width="25.59765625" style="880" customWidth="1"/>
    <col min="5" max="5" width="18.09765625" style="880" customWidth="1"/>
    <col min="6" max="6" width="19.09765625" style="880" customWidth="1"/>
    <col min="7" max="16384" width="13.3984375" style="880"/>
  </cols>
  <sheetData>
    <row r="1" spans="1:6" ht="24.9" customHeight="1">
      <c r="A1" s="1011" t="s">
        <v>177</v>
      </c>
      <c r="B1" s="1011"/>
      <c r="C1" s="1011"/>
      <c r="D1" s="1011"/>
      <c r="F1" s="900" t="s">
        <v>146</v>
      </c>
    </row>
    <row r="2" spans="1:6" s="876" customFormat="1" ht="20.100000000000001" customHeight="1">
      <c r="A2" s="63">
        <f>基础信息!B6</f>
        <v>0</v>
      </c>
      <c r="D2" s="881" t="s">
        <v>178</v>
      </c>
    </row>
    <row r="3" spans="1:6" s="876" customFormat="1" ht="20.100000000000001" customHeight="1">
      <c r="A3" s="882" t="s">
        <v>137</v>
      </c>
      <c r="B3" s="846" t="s">
        <v>179</v>
      </c>
      <c r="C3" s="846" t="s">
        <v>2255</v>
      </c>
      <c r="D3" s="846" t="s">
        <v>2256</v>
      </c>
    </row>
    <row r="4" spans="1:6" s="876" customFormat="1" ht="20.100000000000001" customHeight="1">
      <c r="A4" s="883" t="s">
        <v>180</v>
      </c>
      <c r="B4" s="883"/>
      <c r="C4" s="884"/>
      <c r="D4" s="884"/>
      <c r="F4" s="885"/>
    </row>
    <row r="5" spans="1:6" s="876" customFormat="1" ht="20.100000000000001" customHeight="1">
      <c r="A5" s="859" t="s">
        <v>37</v>
      </c>
      <c r="B5" s="859"/>
      <c r="C5" s="886">
        <f>'RP 006'!E6</f>
        <v>0</v>
      </c>
      <c r="D5" s="886"/>
      <c r="F5" s="27"/>
    </row>
    <row r="6" spans="1:6" s="876" customFormat="1" ht="20.100000000000001" customHeight="1">
      <c r="A6" s="889" t="s">
        <v>2061</v>
      </c>
      <c r="B6" s="856"/>
      <c r="C6" s="890"/>
      <c r="D6" s="890"/>
      <c r="F6" s="27"/>
    </row>
    <row r="7" spans="1:6" s="876" customFormat="1" ht="27.75" customHeight="1">
      <c r="A7" s="887" t="s">
        <v>40</v>
      </c>
      <c r="B7" s="859"/>
      <c r="C7" s="886">
        <f>'RP 006'!E8</f>
        <v>0</v>
      </c>
      <c r="D7" s="886"/>
      <c r="F7" s="27"/>
    </row>
    <row r="8" spans="1:6" s="876" customFormat="1" ht="26.25" customHeight="1">
      <c r="A8" s="888" t="s">
        <v>181</v>
      </c>
      <c r="B8" s="859"/>
      <c r="C8" s="886"/>
      <c r="D8" s="886"/>
      <c r="F8" s="27"/>
    </row>
    <row r="9" spans="1:6" s="877" customFormat="1" ht="20.100000000000001" customHeight="1">
      <c r="A9" s="889" t="s">
        <v>2145</v>
      </c>
      <c r="B9" s="856"/>
      <c r="C9" s="890">
        <f>'RP 006'!E13</f>
        <v>0</v>
      </c>
      <c r="D9" s="890"/>
    </row>
    <row r="10" spans="1:6" s="877" customFormat="1" ht="20.100000000000001" customHeight="1">
      <c r="A10" s="889" t="s">
        <v>2146</v>
      </c>
      <c r="B10" s="856"/>
      <c r="C10" s="890">
        <f>'RP 006'!E14</f>
        <v>0</v>
      </c>
      <c r="D10" s="890"/>
    </row>
    <row r="11" spans="1:6" s="877" customFormat="1" ht="20.100000000000001" customHeight="1">
      <c r="A11" s="889" t="s">
        <v>2150</v>
      </c>
      <c r="B11" s="856"/>
      <c r="C11" s="890">
        <f>'RP 006'!E15</f>
        <v>0</v>
      </c>
      <c r="D11" s="890"/>
    </row>
    <row r="12" spans="1:6" s="876" customFormat="1" ht="20.100000000000001" customHeight="1">
      <c r="A12" s="859" t="s">
        <v>44</v>
      </c>
      <c r="B12" s="859"/>
      <c r="C12" s="886">
        <f>'RP 006'!E17</f>
        <v>0</v>
      </c>
      <c r="D12" s="886"/>
    </row>
    <row r="13" spans="1:6" s="877" customFormat="1" ht="20.100000000000001" customHeight="1">
      <c r="A13" s="949" t="s">
        <v>182</v>
      </c>
      <c r="B13" s="859"/>
      <c r="C13" s="886"/>
      <c r="D13" s="886"/>
    </row>
    <row r="14" spans="1:6" s="876" customFormat="1" ht="20.100000000000001" customHeight="1">
      <c r="A14" s="859" t="s">
        <v>49</v>
      </c>
      <c r="B14" s="859"/>
      <c r="C14" s="886">
        <f>'RP 006'!E23</f>
        <v>0</v>
      </c>
      <c r="D14" s="886"/>
    </row>
    <row r="15" spans="1:6" s="876" customFormat="1" ht="20.100000000000001" customHeight="1">
      <c r="A15" s="889" t="s">
        <v>2071</v>
      </c>
      <c r="B15" s="856"/>
      <c r="C15" s="890"/>
      <c r="D15" s="890"/>
    </row>
    <row r="16" spans="1:6" s="876" customFormat="1" ht="22.5" customHeight="1">
      <c r="A16" s="888" t="s">
        <v>183</v>
      </c>
      <c r="B16" s="859"/>
      <c r="C16" s="886"/>
      <c r="D16" s="886"/>
    </row>
    <row r="17" spans="1:6" s="876" customFormat="1" ht="20.100000000000001" customHeight="1">
      <c r="A17" s="859" t="s">
        <v>184</v>
      </c>
      <c r="B17" s="859"/>
      <c r="C17" s="886">
        <f>'RP 006'!E28</f>
        <v>0</v>
      </c>
      <c r="D17" s="886"/>
    </row>
    <row r="18" spans="1:6" s="876" customFormat="1" ht="20.100000000000001" customHeight="1">
      <c r="A18" s="859" t="s">
        <v>51</v>
      </c>
      <c r="B18" s="859"/>
      <c r="C18" s="886">
        <f>'RP 006'!E39</f>
        <v>0</v>
      </c>
      <c r="D18" s="886"/>
    </row>
    <row r="19" spans="1:6" s="876" customFormat="1" ht="20.100000000000001" customHeight="1">
      <c r="A19" s="883" t="s">
        <v>185</v>
      </c>
      <c r="B19" s="883"/>
      <c r="C19" s="891">
        <f>SUM(C5:C18)</f>
        <v>0</v>
      </c>
      <c r="D19" s="891">
        <f>SUM(D5:D18)</f>
        <v>0</v>
      </c>
      <c r="F19" s="121"/>
    </row>
    <row r="20" spans="1:6" s="876" customFormat="1" ht="20.100000000000001" customHeight="1">
      <c r="A20" s="883" t="s">
        <v>186</v>
      </c>
      <c r="B20" s="883"/>
      <c r="C20" s="886"/>
      <c r="D20" s="886"/>
    </row>
    <row r="21" spans="1:6" s="876" customFormat="1" ht="20.100000000000001" customHeight="1">
      <c r="A21" s="889" t="s">
        <v>2063</v>
      </c>
      <c r="B21" s="956"/>
      <c r="C21" s="890"/>
      <c r="D21" s="890"/>
    </row>
    <row r="22" spans="1:6" s="878" customFormat="1" ht="20.100000000000001" customHeight="1">
      <c r="A22" s="859" t="s">
        <v>52</v>
      </c>
      <c r="B22" s="859"/>
      <c r="C22" s="886">
        <f>'RP 006'!E44</f>
        <v>0</v>
      </c>
      <c r="D22" s="891"/>
    </row>
    <row r="23" spans="1:6" s="878" customFormat="1" ht="20.100000000000001" customHeight="1">
      <c r="A23" s="889" t="s">
        <v>2064</v>
      </c>
      <c r="B23" s="856"/>
      <c r="C23" s="890"/>
      <c r="D23" s="957"/>
    </row>
    <row r="24" spans="1:6" s="876" customFormat="1" ht="20.100000000000001" customHeight="1">
      <c r="A24" s="859" t="s">
        <v>53</v>
      </c>
      <c r="B24" s="859"/>
      <c r="C24" s="886">
        <f>'RP 006'!E46</f>
        <v>0</v>
      </c>
      <c r="D24" s="886"/>
    </row>
    <row r="25" spans="1:6" s="876" customFormat="1" ht="20.100000000000001" customHeight="1">
      <c r="A25" s="859" t="s">
        <v>54</v>
      </c>
      <c r="B25" s="859"/>
      <c r="C25" s="886">
        <f>'RP 006'!E47</f>
        <v>0</v>
      </c>
      <c r="D25" s="886"/>
    </row>
    <row r="26" spans="1:6" s="876" customFormat="1" ht="25.5" customHeight="1">
      <c r="A26" s="888" t="s">
        <v>187</v>
      </c>
      <c r="B26" s="859"/>
      <c r="C26" s="886"/>
      <c r="D26" s="886"/>
    </row>
    <row r="27" spans="1:6" s="876" customFormat="1" ht="20.100000000000001" customHeight="1">
      <c r="A27" s="859" t="s">
        <v>56</v>
      </c>
      <c r="B27" s="859"/>
      <c r="C27" s="886">
        <f>'RP 006'!E51</f>
        <v>0</v>
      </c>
      <c r="D27" s="886"/>
    </row>
    <row r="28" spans="1:6" s="876" customFormat="1" ht="20.100000000000001" customHeight="1">
      <c r="A28" s="889" t="s">
        <v>2065</v>
      </c>
      <c r="B28" s="856"/>
      <c r="C28" s="890"/>
      <c r="D28" s="890"/>
    </row>
    <row r="29" spans="1:6" s="876" customFormat="1" ht="20.100000000000001" customHeight="1">
      <c r="A29" s="889" t="s">
        <v>2066</v>
      </c>
      <c r="B29" s="856"/>
      <c r="C29" s="890"/>
      <c r="D29" s="890"/>
    </row>
    <row r="30" spans="1:6" s="876" customFormat="1" ht="20.100000000000001" customHeight="1">
      <c r="A30" s="859" t="s">
        <v>57</v>
      </c>
      <c r="B30" s="859"/>
      <c r="C30" s="886">
        <f>'RP 006'!E56</f>
        <v>0</v>
      </c>
      <c r="D30" s="886"/>
    </row>
    <row r="31" spans="1:6" s="879" customFormat="1" ht="20.100000000000001" customHeight="1">
      <c r="A31" s="859" t="s">
        <v>188</v>
      </c>
      <c r="B31" s="859"/>
      <c r="C31" s="886">
        <f>'RP 006'!E61</f>
        <v>0</v>
      </c>
      <c r="D31" s="886"/>
      <c r="F31" s="877"/>
    </row>
    <row r="32" spans="1:6" s="877" customFormat="1" ht="20.100000000000001" customHeight="1">
      <c r="A32" s="859" t="s">
        <v>163</v>
      </c>
      <c r="B32" s="859"/>
      <c r="C32" s="886">
        <f>'RP 006'!E62</f>
        <v>0</v>
      </c>
      <c r="D32" s="886"/>
    </row>
    <row r="33" spans="1:6" s="876" customFormat="1" ht="20.100000000000001" customHeight="1">
      <c r="A33" s="859" t="s">
        <v>64</v>
      </c>
      <c r="B33" s="859"/>
      <c r="C33" s="886">
        <f>'RP 006'!E63</f>
        <v>0</v>
      </c>
      <c r="D33" s="886"/>
    </row>
    <row r="34" spans="1:6" s="876" customFormat="1" ht="20.100000000000001" customHeight="1">
      <c r="A34" s="859" t="s">
        <v>189</v>
      </c>
      <c r="B34" s="859"/>
      <c r="C34" s="886">
        <f>'RP 006'!E64</f>
        <v>0</v>
      </c>
      <c r="D34" s="886"/>
    </row>
    <row r="35" spans="1:6" s="876" customFormat="1" ht="20.100000000000001" customHeight="1">
      <c r="A35" s="889" t="s">
        <v>2254</v>
      </c>
      <c r="B35" s="856"/>
      <c r="C35" s="890">
        <f>'RP 006'!E67</f>
        <v>0</v>
      </c>
      <c r="D35" s="890"/>
    </row>
    <row r="36" spans="1:6" s="876" customFormat="1" ht="20.100000000000001" customHeight="1">
      <c r="A36" s="859" t="s">
        <v>65</v>
      </c>
      <c r="B36" s="859"/>
      <c r="C36" s="886">
        <f>'RP 006'!E68</f>
        <v>0</v>
      </c>
      <c r="D36" s="886"/>
    </row>
    <row r="37" spans="1:6" s="876" customFormat="1" ht="20.100000000000001" customHeight="1">
      <c r="A37" s="859" t="s">
        <v>66</v>
      </c>
      <c r="B37" s="859"/>
      <c r="C37" s="886">
        <f>'RP 006'!E69</f>
        <v>0</v>
      </c>
      <c r="D37" s="886"/>
    </row>
    <row r="38" spans="1:6" s="876" customFormat="1" ht="20.100000000000001" customHeight="1">
      <c r="A38" s="859" t="s">
        <v>67</v>
      </c>
      <c r="B38" s="859"/>
      <c r="C38" s="886">
        <f>'RP 006'!E70</f>
        <v>0</v>
      </c>
      <c r="D38" s="886"/>
    </row>
    <row r="39" spans="1:6" s="876" customFormat="1" ht="20.100000000000001" customHeight="1">
      <c r="A39" s="859" t="s">
        <v>68</v>
      </c>
      <c r="B39" s="859"/>
      <c r="C39" s="886">
        <f>'RP 006'!E71</f>
        <v>0</v>
      </c>
      <c r="D39" s="886"/>
    </row>
    <row r="40" spans="1:6" s="876" customFormat="1" ht="20.100000000000001" customHeight="1">
      <c r="A40" s="859" t="s">
        <v>190</v>
      </c>
      <c r="B40" s="859"/>
      <c r="C40" s="886">
        <f>'RP 006'!E72</f>
        <v>0</v>
      </c>
      <c r="D40" s="886"/>
    </row>
    <row r="41" spans="1:6" s="876" customFormat="1" ht="20.100000000000001" customHeight="1">
      <c r="A41" s="859" t="s">
        <v>70</v>
      </c>
      <c r="B41" s="859"/>
      <c r="C41" s="886">
        <f>'RP 006'!E73</f>
        <v>0</v>
      </c>
      <c r="D41" s="886"/>
    </row>
    <row r="42" spans="1:6" s="876" customFormat="1" ht="20.100000000000001" customHeight="1">
      <c r="A42" s="883" t="s">
        <v>191</v>
      </c>
      <c r="B42" s="883"/>
      <c r="C42" s="891">
        <f>SUM(C22:C41)</f>
        <v>0</v>
      </c>
      <c r="D42" s="891">
        <f>SUM(D22:D41)</f>
        <v>0</v>
      </c>
      <c r="F42" s="866"/>
    </row>
    <row r="43" spans="1:6" s="878" customFormat="1" ht="20.100000000000001" customHeight="1">
      <c r="A43" s="892" t="s">
        <v>192</v>
      </c>
      <c r="B43" s="892"/>
      <c r="C43" s="893">
        <f>C19+C42</f>
        <v>0</v>
      </c>
      <c r="D43" s="893">
        <f>D19+D42</f>
        <v>0</v>
      </c>
      <c r="F43" s="894"/>
    </row>
    <row r="44" spans="1:6" ht="20.100000000000001" customHeight="1">
      <c r="C44" s="895"/>
    </row>
    <row r="45" spans="1:6" ht="20.100000000000001" customHeight="1">
      <c r="C45" s="895"/>
    </row>
    <row r="46" spans="1:6" ht="20.100000000000001" customHeight="1">
      <c r="C46" s="895"/>
      <c r="D46" s="896"/>
    </row>
    <row r="47" spans="1:6" ht="20.100000000000001" customHeight="1">
      <c r="C47" s="895"/>
    </row>
    <row r="48" spans="1:6" ht="20.100000000000001" customHeight="1">
      <c r="C48" s="895"/>
    </row>
  </sheetData>
  <mergeCells count="1">
    <mergeCell ref="A1:D1"/>
  </mergeCells>
  <phoneticPr fontId="78" type="noConversion"/>
  <hyperlinks>
    <hyperlink ref="F1" location="目录!A1" display="BACK"/>
  </hyperlinks>
  <printOptions horizontalCentered="1" verticalCentered="1"/>
  <pageMargins left="0.43263888888888902" right="0.39305555555555599" top="0.78680555555555598" bottom="0.39305555555555599" header="0.51180555555555596" footer="0.51180555555555596"/>
  <pageSetup paperSize="9" scale="87" fitToWidth="0" orientation="portrait" blackAndWhite="1" horizontalDpi="36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FFC000"/>
    <pageSetUpPr fitToPage="1"/>
  </sheetPr>
  <dimension ref="A1:G50"/>
  <sheetViews>
    <sheetView showGridLines="0" showZeros="0" view="pageBreakPreview" topLeftCell="A25" zoomScaleNormal="100" zoomScaleSheetLayoutView="100" workbookViewId="0">
      <selection activeCell="F1" sqref="F1"/>
    </sheetView>
  </sheetViews>
  <sheetFormatPr defaultColWidth="14" defaultRowHeight="20.100000000000001" customHeight="1"/>
  <cols>
    <col min="1" max="1" width="29.09765625" style="763" customWidth="1"/>
    <col min="2" max="2" width="10.59765625" style="845" customWidth="1"/>
    <col min="3" max="4" width="30.59765625" style="763" customWidth="1"/>
    <col min="5" max="5" width="18.09765625" style="763" customWidth="1"/>
    <col min="6" max="6" width="23.09765625" style="763" customWidth="1"/>
    <col min="7" max="16384" width="14" style="763"/>
  </cols>
  <sheetData>
    <row r="1" spans="1:7" ht="24.9" customHeight="1">
      <c r="A1" s="1012" t="s">
        <v>193</v>
      </c>
      <c r="B1" s="1012"/>
      <c r="C1" s="1012"/>
      <c r="D1" s="1012"/>
      <c r="F1" s="900" t="s">
        <v>146</v>
      </c>
    </row>
    <row r="2" spans="1:7" s="795" customFormat="1" ht="20.100000000000001" customHeight="1">
      <c r="A2" s="1013"/>
      <c r="B2" s="1014"/>
      <c r="C2" s="1014"/>
      <c r="D2" s="1014"/>
    </row>
    <row r="3" spans="1:7" s="841" customFormat="1" ht="20.100000000000001" customHeight="1">
      <c r="A3" s="846" t="s">
        <v>137</v>
      </c>
      <c r="B3" s="846" t="s">
        <v>179</v>
      </c>
      <c r="C3" s="846" t="s">
        <v>2257</v>
      </c>
      <c r="D3" s="846" t="s">
        <v>2253</v>
      </c>
    </row>
    <row r="4" spans="1:7" s="841" customFormat="1" ht="20.100000000000001" customHeight="1">
      <c r="A4" s="847" t="s">
        <v>194</v>
      </c>
      <c r="B4" s="848"/>
      <c r="C4" s="849"/>
      <c r="D4" s="849"/>
    </row>
    <row r="5" spans="1:7" s="795" customFormat="1" ht="20.100000000000001" customHeight="1">
      <c r="A5" s="850" t="s">
        <v>73</v>
      </c>
      <c r="B5" s="851"/>
      <c r="C5" s="852">
        <f>'RP 006'!E81</f>
        <v>0</v>
      </c>
      <c r="D5" s="852"/>
      <c r="F5" s="841"/>
      <c r="G5" s="841"/>
    </row>
    <row r="6" spans="1:7" s="795" customFormat="1" ht="20.100000000000001" customHeight="1">
      <c r="A6" s="958" t="s">
        <v>2067</v>
      </c>
      <c r="B6" s="856"/>
      <c r="C6" s="857"/>
      <c r="D6" s="857"/>
      <c r="F6" s="841"/>
      <c r="G6" s="841"/>
    </row>
    <row r="7" spans="1:7" s="795" customFormat="1" ht="26.25" customHeight="1">
      <c r="A7" s="853" t="s">
        <v>74</v>
      </c>
      <c r="B7" s="851"/>
      <c r="C7" s="852">
        <f>'RP 006'!E83</f>
        <v>0</v>
      </c>
      <c r="D7" s="852"/>
      <c r="F7" s="841"/>
      <c r="G7" s="841"/>
    </row>
    <row r="8" spans="1:7" s="795" customFormat="1" ht="26.25" customHeight="1">
      <c r="A8" s="854" t="s">
        <v>195</v>
      </c>
      <c r="B8" s="851"/>
      <c r="C8" s="852"/>
      <c r="D8" s="852"/>
    </row>
    <row r="9" spans="1:7" s="842" customFormat="1" ht="20.100000000000001" customHeight="1">
      <c r="A9" s="855" t="s">
        <v>2151</v>
      </c>
      <c r="B9" s="856"/>
      <c r="C9" s="857">
        <f>'RP 006'!E84</f>
        <v>0</v>
      </c>
      <c r="D9" s="857"/>
    </row>
    <row r="10" spans="1:7" s="842" customFormat="1" ht="20.100000000000001" customHeight="1">
      <c r="A10" s="855" t="s">
        <v>2258</v>
      </c>
      <c r="B10" s="856"/>
      <c r="C10" s="857">
        <f>'RP 006'!E85</f>
        <v>0</v>
      </c>
      <c r="D10" s="857"/>
    </row>
    <row r="11" spans="1:7" s="795" customFormat="1" ht="20.100000000000001" customHeight="1">
      <c r="A11" s="858" t="s">
        <v>76</v>
      </c>
      <c r="B11" s="859"/>
      <c r="C11" s="950">
        <f>'RP 006'!E87</f>
        <v>0</v>
      </c>
      <c r="D11" s="950"/>
    </row>
    <row r="12" spans="1:7" s="795" customFormat="1" ht="20.100000000000001" customHeight="1">
      <c r="A12" s="855" t="s">
        <v>2068</v>
      </c>
      <c r="B12" s="856"/>
      <c r="C12" s="857"/>
      <c r="D12" s="857"/>
    </row>
    <row r="13" spans="1:7" s="795" customFormat="1" ht="20.100000000000001" customHeight="1">
      <c r="A13" s="858" t="s">
        <v>77</v>
      </c>
      <c r="B13" s="859"/>
      <c r="C13" s="950">
        <f>'RP 006'!E89</f>
        <v>0</v>
      </c>
      <c r="D13" s="950"/>
    </row>
    <row r="14" spans="1:7" s="795" customFormat="1" ht="20.100000000000001" customHeight="1">
      <c r="A14" s="858" t="s">
        <v>78</v>
      </c>
      <c r="B14" s="859"/>
      <c r="C14" s="950">
        <f>'RP 006'!E90</f>
        <v>0</v>
      </c>
      <c r="D14" s="950"/>
    </row>
    <row r="15" spans="1:7" s="842" customFormat="1" ht="20.100000000000001" customHeight="1">
      <c r="A15" s="858" t="s">
        <v>196</v>
      </c>
      <c r="B15" s="859"/>
      <c r="C15" s="950">
        <f>'RP 006'!E91</f>
        <v>0</v>
      </c>
      <c r="D15" s="950"/>
    </row>
    <row r="16" spans="1:7" s="795" customFormat="1" ht="26.25" customHeight="1">
      <c r="A16" s="854" t="s">
        <v>197</v>
      </c>
      <c r="B16" s="859"/>
      <c r="C16" s="950"/>
      <c r="D16" s="950"/>
    </row>
    <row r="17" spans="1:7" s="795" customFormat="1" ht="20.100000000000001" customHeight="1">
      <c r="A17" s="858" t="s">
        <v>50</v>
      </c>
      <c r="B17" s="851"/>
      <c r="C17" s="852">
        <f>'RP 006'!E93</f>
        <v>0</v>
      </c>
      <c r="D17" s="852"/>
    </row>
    <row r="18" spans="1:7" s="795" customFormat="1" ht="20.100000000000001" customHeight="1">
      <c r="A18" s="858" t="s">
        <v>83</v>
      </c>
      <c r="B18" s="851"/>
      <c r="C18" s="852">
        <f>'RP 006'!E102</f>
        <v>0</v>
      </c>
      <c r="D18" s="852"/>
    </row>
    <row r="19" spans="1:7" s="795" customFormat="1" ht="20.100000000000001" customHeight="1">
      <c r="A19" s="860" t="s">
        <v>198</v>
      </c>
      <c r="B19" s="851"/>
      <c r="C19" s="861">
        <f>SUM(C5:C18)</f>
        <v>0</v>
      </c>
      <c r="D19" s="861">
        <f>SUM(D5:D18)</f>
        <v>0</v>
      </c>
      <c r="F19" s="862"/>
    </row>
    <row r="20" spans="1:7" s="795" customFormat="1" ht="20.100000000000001" customHeight="1">
      <c r="A20" s="860" t="s">
        <v>199</v>
      </c>
      <c r="B20" s="851"/>
      <c r="C20" s="852"/>
      <c r="D20" s="852"/>
    </row>
    <row r="21" spans="1:7" s="795" customFormat="1" ht="20.100000000000001" customHeight="1">
      <c r="A21" s="858" t="s">
        <v>84</v>
      </c>
      <c r="B21" s="851"/>
      <c r="C21" s="852">
        <f>'RP 006'!E105</f>
        <v>0</v>
      </c>
      <c r="D21" s="852"/>
    </row>
    <row r="22" spans="1:7" s="795" customFormat="1" ht="20.100000000000001" customHeight="1">
      <c r="A22" s="858" t="s">
        <v>85</v>
      </c>
      <c r="B22" s="859"/>
      <c r="C22" s="852">
        <f>'RP 006'!E106</f>
        <v>0</v>
      </c>
      <c r="D22" s="852"/>
    </row>
    <row r="23" spans="1:7" s="795" customFormat="1" ht="20.100000000000001" customHeight="1">
      <c r="A23" s="863" t="s">
        <v>200</v>
      </c>
      <c r="B23" s="859"/>
      <c r="C23" s="852"/>
      <c r="D23" s="852"/>
    </row>
    <row r="24" spans="1:7" s="795" customFormat="1" ht="20.100000000000001" customHeight="1">
      <c r="A24" s="864" t="s">
        <v>201</v>
      </c>
      <c r="B24" s="859"/>
      <c r="C24" s="852"/>
      <c r="D24" s="852"/>
    </row>
    <row r="25" spans="1:7" s="842" customFormat="1" ht="20.100000000000001" customHeight="1">
      <c r="A25" s="855" t="s">
        <v>2259</v>
      </c>
      <c r="B25" s="856"/>
      <c r="C25" s="857">
        <f>'RP 006'!E106</f>
        <v>0</v>
      </c>
      <c r="D25" s="857"/>
    </row>
    <row r="26" spans="1:7" s="842" customFormat="1" ht="20.100000000000001" customHeight="1">
      <c r="A26" s="858" t="s">
        <v>202</v>
      </c>
      <c r="B26" s="859"/>
      <c r="C26" s="950">
        <f>'RP 006'!E108</f>
        <v>0</v>
      </c>
      <c r="D26" s="950"/>
    </row>
    <row r="27" spans="1:7" s="795" customFormat="1" ht="20.100000000000001" customHeight="1">
      <c r="A27" s="865" t="s">
        <v>203</v>
      </c>
      <c r="B27" s="851"/>
      <c r="C27" s="852"/>
      <c r="D27" s="852"/>
    </row>
    <row r="28" spans="1:7" s="843" customFormat="1" ht="20.100000000000001" customHeight="1">
      <c r="A28" s="858" t="s">
        <v>90</v>
      </c>
      <c r="B28" s="851"/>
      <c r="C28" s="861">
        <f>'RP 006'!E111</f>
        <v>0</v>
      </c>
      <c r="D28" s="861"/>
    </row>
    <row r="29" spans="1:7" s="843" customFormat="1" ht="20.100000000000001" customHeight="1">
      <c r="A29" s="858" t="s">
        <v>91</v>
      </c>
      <c r="B29" s="851"/>
      <c r="C29" s="861"/>
      <c r="D29" s="861"/>
    </row>
    <row r="30" spans="1:7" s="795" customFormat="1" ht="20.100000000000001" customHeight="1">
      <c r="A30" s="858" t="s">
        <v>204</v>
      </c>
      <c r="B30" s="851"/>
      <c r="C30" s="852">
        <f>'RP 006'!E113</f>
        <v>0</v>
      </c>
      <c r="D30" s="852"/>
    </row>
    <row r="31" spans="1:7" s="795" customFormat="1" ht="20.100000000000001" customHeight="1">
      <c r="A31" s="858" t="s">
        <v>92</v>
      </c>
      <c r="B31" s="851"/>
      <c r="C31" s="852">
        <f>'RP 006'!E114</f>
        <v>0</v>
      </c>
      <c r="D31" s="852"/>
      <c r="G31" s="841"/>
    </row>
    <row r="32" spans="1:7" s="795" customFormat="1" ht="20.100000000000001" customHeight="1">
      <c r="A32" s="860" t="s">
        <v>205</v>
      </c>
      <c r="B32" s="851"/>
      <c r="C32" s="861">
        <f>SUM(C21:C31)</f>
        <v>0</v>
      </c>
      <c r="D32" s="861">
        <f>SUM(D21:D31)</f>
        <v>0</v>
      </c>
      <c r="F32" s="866"/>
      <c r="G32" s="841"/>
    </row>
    <row r="33" spans="1:7" s="795" customFormat="1" ht="20.100000000000001" customHeight="1">
      <c r="A33" s="860" t="s">
        <v>206</v>
      </c>
      <c r="B33" s="851"/>
      <c r="C33" s="861">
        <f>C19+C32</f>
        <v>0</v>
      </c>
      <c r="D33" s="861">
        <f>D19+D32</f>
        <v>0</v>
      </c>
      <c r="F33" s="867"/>
      <c r="G33" s="841"/>
    </row>
    <row r="34" spans="1:7" s="795" customFormat="1" ht="20.100000000000001" customHeight="1">
      <c r="A34" s="994" t="s">
        <v>2261</v>
      </c>
      <c r="B34" s="851"/>
      <c r="C34" s="852"/>
      <c r="D34" s="852"/>
    </row>
    <row r="35" spans="1:7" s="795" customFormat="1" ht="20.100000000000001" customHeight="1">
      <c r="A35" s="858" t="s">
        <v>2260</v>
      </c>
      <c r="B35" s="859"/>
      <c r="C35" s="852">
        <f>'RP 006'!E118</f>
        <v>0</v>
      </c>
      <c r="D35" s="852"/>
    </row>
    <row r="36" spans="1:7" s="795" customFormat="1" ht="20.100000000000001" customHeight="1">
      <c r="A36" s="868" t="s">
        <v>207</v>
      </c>
      <c r="B36" s="859"/>
      <c r="C36" s="852"/>
      <c r="D36" s="852"/>
    </row>
    <row r="37" spans="1:7" s="795" customFormat="1" ht="20.100000000000001" customHeight="1">
      <c r="A37" s="858" t="s">
        <v>208</v>
      </c>
      <c r="B37" s="859"/>
      <c r="C37" s="852"/>
      <c r="D37" s="852"/>
    </row>
    <row r="38" spans="1:7" s="795" customFormat="1" ht="20.100000000000001" customHeight="1">
      <c r="A38" s="858" t="s">
        <v>209</v>
      </c>
      <c r="B38" s="859"/>
      <c r="C38" s="852"/>
      <c r="D38" s="852"/>
    </row>
    <row r="39" spans="1:7" s="843" customFormat="1" ht="20.100000000000001" customHeight="1">
      <c r="A39" s="858" t="s">
        <v>210</v>
      </c>
      <c r="B39" s="859"/>
      <c r="C39" s="852">
        <f>'RP 006'!E122</f>
        <v>0</v>
      </c>
      <c r="D39" s="852"/>
    </row>
    <row r="40" spans="1:7" s="843" customFormat="1" ht="20.100000000000001" customHeight="1">
      <c r="A40" s="858" t="s">
        <v>211</v>
      </c>
      <c r="B40" s="859"/>
      <c r="C40" s="861">
        <f>'RP 006'!E123</f>
        <v>0</v>
      </c>
      <c r="D40" s="861"/>
    </row>
    <row r="41" spans="1:7" s="843" customFormat="1" ht="20.100000000000001" customHeight="1">
      <c r="A41" s="869" t="s">
        <v>212</v>
      </c>
      <c r="B41" s="859"/>
      <c r="C41" s="861"/>
      <c r="D41" s="861"/>
    </row>
    <row r="42" spans="1:7" s="843" customFormat="1" ht="20.100000000000001" customHeight="1">
      <c r="A42" s="858" t="s">
        <v>213</v>
      </c>
      <c r="B42" s="859"/>
      <c r="C42" s="861"/>
      <c r="D42" s="861"/>
    </row>
    <row r="43" spans="1:7" s="795" customFormat="1" ht="20.100000000000001" customHeight="1">
      <c r="A43" s="858" t="s">
        <v>214</v>
      </c>
      <c r="B43" s="859"/>
      <c r="C43" s="852">
        <f>'RP 006'!E126</f>
        <v>0</v>
      </c>
      <c r="D43" s="852"/>
    </row>
    <row r="44" spans="1:7" s="795" customFormat="1" ht="20.100000000000001" customHeight="1">
      <c r="A44" s="858" t="s">
        <v>215</v>
      </c>
      <c r="B44" s="859"/>
      <c r="C44" s="852">
        <f>'RP 006'!E127</f>
        <v>0</v>
      </c>
      <c r="D44" s="852"/>
    </row>
    <row r="45" spans="1:7" s="843" customFormat="1" ht="20.100000000000001" customHeight="1">
      <c r="A45" s="869" t="s">
        <v>216</v>
      </c>
      <c r="B45" s="851"/>
      <c r="C45" s="852">
        <f>SUM(C35:C44)-C40-C40</f>
        <v>0</v>
      </c>
      <c r="D45" s="852">
        <f>SUM(D35:D44)-D40-D40</f>
        <v>0</v>
      </c>
    </row>
    <row r="46" spans="1:7" s="843" customFormat="1" ht="20.100000000000001" customHeight="1">
      <c r="A46" s="858" t="s">
        <v>217</v>
      </c>
      <c r="B46" s="851"/>
      <c r="C46" s="852">
        <f>'RP 006'!E129</f>
        <v>0</v>
      </c>
      <c r="D46" s="861"/>
    </row>
    <row r="47" spans="1:7" s="843" customFormat="1" ht="20.100000000000001" customHeight="1">
      <c r="A47" s="870" t="s">
        <v>2262</v>
      </c>
      <c r="B47" s="851"/>
      <c r="C47" s="861">
        <f>SUM(C45:C46)</f>
        <v>0</v>
      </c>
      <c r="D47" s="861">
        <f>SUM(D45:D46)</f>
        <v>0</v>
      </c>
    </row>
    <row r="48" spans="1:7" s="844" customFormat="1" ht="20.100000000000001" customHeight="1">
      <c r="A48" s="871" t="s">
        <v>2263</v>
      </c>
      <c r="B48" s="872"/>
      <c r="C48" s="873">
        <f>C33+C47</f>
        <v>0</v>
      </c>
      <c r="D48" s="873">
        <f>D33+D47</f>
        <v>0</v>
      </c>
    </row>
    <row r="49" spans="1:4" s="795" customFormat="1" ht="20.100000000000001" customHeight="1">
      <c r="A49" s="795" t="s">
        <v>218</v>
      </c>
      <c r="B49" s="796" t="s">
        <v>219</v>
      </c>
      <c r="D49" s="796" t="s">
        <v>220</v>
      </c>
    </row>
    <row r="50" spans="1:4" ht="20.100000000000001" customHeight="1">
      <c r="A50" s="874"/>
      <c r="B50" s="875"/>
      <c r="C50" s="874"/>
      <c r="D50" s="875"/>
    </row>
  </sheetData>
  <mergeCells count="2">
    <mergeCell ref="A1:D1"/>
    <mergeCell ref="A2:D2"/>
  </mergeCells>
  <phoneticPr fontId="78" type="noConversion"/>
  <hyperlinks>
    <hyperlink ref="F1" location="目录!A1" display="BACK"/>
  </hyperlinks>
  <printOptions horizontalCentered="1" verticalCentered="1"/>
  <pageMargins left="0.39305555555555599" right="0" top="0.59027777777777801" bottom="0.78680555555555598" header="0.51180555555555596" footer="0.51180555555555596"/>
  <pageSetup paperSize="9" scale="76" fitToWidth="0" orientation="portrait" blackAndWhite="1" horizontalDpi="360" r:id="rId1"/>
  <headerFooter alignWithMargins="0">
    <oddFooter>&amp;C2</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C000"/>
  </sheetPr>
  <dimension ref="A1:H65"/>
  <sheetViews>
    <sheetView showGridLines="0" showZeros="0" view="pageBreakPreview" topLeftCell="A64" zoomScaleNormal="100" zoomScaleSheetLayoutView="100" workbookViewId="0">
      <selection activeCell="H1" sqref="H1"/>
    </sheetView>
  </sheetViews>
  <sheetFormatPr defaultColWidth="14.5" defaultRowHeight="15.6"/>
  <cols>
    <col min="1" max="1" width="47.5" style="802" customWidth="1"/>
    <col min="2" max="2" width="6" style="803" customWidth="1"/>
    <col min="3" max="3" width="16.09765625" style="802" customWidth="1"/>
    <col min="4" max="4" width="3.5" style="802" customWidth="1"/>
    <col min="5" max="5" width="15.09765625" style="802" customWidth="1"/>
    <col min="6" max="6" width="3.5" style="802" customWidth="1"/>
    <col min="7" max="16384" width="14.5" style="802"/>
  </cols>
  <sheetData>
    <row r="1" spans="1:8" ht="24.9" customHeight="1">
      <c r="A1" s="1015" t="s">
        <v>221</v>
      </c>
      <c r="B1" s="1016"/>
      <c r="C1" s="1016"/>
      <c r="D1" s="1016"/>
      <c r="E1" s="1016"/>
      <c r="F1" s="1016"/>
      <c r="H1" s="900" t="s">
        <v>146</v>
      </c>
    </row>
    <row r="2" spans="1:8">
      <c r="A2" s="766">
        <f>基础信息!B6</f>
        <v>0</v>
      </c>
      <c r="C2" s="804"/>
      <c r="F2" s="805" t="s">
        <v>222</v>
      </c>
    </row>
    <row r="3" spans="1:8">
      <c r="A3" s="1017" t="s">
        <v>137</v>
      </c>
      <c r="B3" s="1017" t="s">
        <v>179</v>
      </c>
      <c r="C3" s="1019" t="s">
        <v>2264</v>
      </c>
      <c r="D3" s="1020"/>
      <c r="E3" s="1023" t="s">
        <v>2265</v>
      </c>
      <c r="F3" s="1023"/>
    </row>
    <row r="4" spans="1:8">
      <c r="A4" s="1018"/>
      <c r="B4" s="1018"/>
      <c r="C4" s="1021"/>
      <c r="D4" s="1022"/>
      <c r="E4" s="1024"/>
      <c r="F4" s="1024"/>
    </row>
    <row r="5" spans="1:8" s="799" customFormat="1" ht="20.100000000000001" customHeight="1">
      <c r="A5" s="806" t="s">
        <v>223</v>
      </c>
      <c r="B5" s="807"/>
      <c r="C5" s="808">
        <f>'RP 006'!E137</f>
        <v>0</v>
      </c>
      <c r="D5" s="809"/>
      <c r="E5" s="810"/>
      <c r="F5" s="810"/>
    </row>
    <row r="6" spans="1:8" ht="20.100000000000001" customHeight="1">
      <c r="A6" s="811" t="s">
        <v>224</v>
      </c>
      <c r="B6" s="807"/>
      <c r="C6" s="812">
        <f>'RP 006'!E138</f>
        <v>0</v>
      </c>
      <c r="D6" s="813"/>
      <c r="E6" s="810"/>
      <c r="F6" s="810"/>
    </row>
    <row r="7" spans="1:8" ht="20.100000000000001" customHeight="1">
      <c r="A7" s="811" t="s">
        <v>225</v>
      </c>
      <c r="B7" s="807"/>
      <c r="C7" s="812">
        <f>'RP 006'!E139</f>
        <v>0</v>
      </c>
      <c r="D7" s="813"/>
      <c r="E7" s="814"/>
      <c r="F7" s="814"/>
    </row>
    <row r="8" spans="1:8" ht="20.100000000000001" customHeight="1">
      <c r="A8" s="811" t="s">
        <v>226</v>
      </c>
      <c r="B8" s="815"/>
      <c r="C8" s="812">
        <f>'RP 006'!E140</f>
        <v>0</v>
      </c>
      <c r="D8" s="813"/>
      <c r="E8" s="814"/>
      <c r="F8" s="814"/>
    </row>
    <row r="9" spans="1:8" s="799" customFormat="1" ht="20.100000000000001" customHeight="1">
      <c r="A9" s="811" t="s">
        <v>227</v>
      </c>
      <c r="B9" s="815"/>
      <c r="C9" s="812">
        <f>'RP 006'!E141</f>
        <v>0</v>
      </c>
      <c r="D9" s="809"/>
      <c r="E9" s="810"/>
      <c r="F9" s="810"/>
    </row>
    <row r="10" spans="1:8" s="800" customFormat="1" ht="20.100000000000001" customHeight="1">
      <c r="A10" s="824" t="s">
        <v>228</v>
      </c>
      <c r="B10" s="807"/>
      <c r="C10" s="951"/>
      <c r="D10" s="952"/>
      <c r="E10" s="953"/>
      <c r="F10" s="953"/>
      <c r="G10" s="818"/>
    </row>
    <row r="11" spans="1:8" ht="20.100000000000001" customHeight="1">
      <c r="A11" s="811" t="s">
        <v>229</v>
      </c>
      <c r="B11" s="807"/>
      <c r="C11" s="951">
        <f>'RP 006'!E143</f>
        <v>0</v>
      </c>
      <c r="D11" s="954"/>
      <c r="E11" s="955"/>
      <c r="F11" s="955"/>
      <c r="G11" s="819"/>
    </row>
    <row r="12" spans="1:8" s="801" customFormat="1" ht="20.100000000000001" customHeight="1">
      <c r="A12" s="824" t="s">
        <v>2059</v>
      </c>
      <c r="B12" s="807"/>
      <c r="C12" s="951"/>
      <c r="D12" s="954"/>
      <c r="E12" s="955"/>
      <c r="F12" s="955"/>
      <c r="G12" s="822"/>
    </row>
    <row r="13" spans="1:8" s="801" customFormat="1" ht="20.100000000000001" customHeight="1">
      <c r="A13" s="811" t="s">
        <v>230</v>
      </c>
      <c r="B13" s="807"/>
      <c r="C13" s="951"/>
      <c r="D13" s="954"/>
      <c r="E13" s="955"/>
      <c r="F13" s="955"/>
      <c r="G13" s="822"/>
    </row>
    <row r="14" spans="1:8" s="801" customFormat="1" ht="20.100000000000001" customHeight="1">
      <c r="A14" s="824" t="s">
        <v>231</v>
      </c>
      <c r="B14" s="807"/>
      <c r="C14" s="951"/>
      <c r="D14" s="954"/>
      <c r="E14" s="955"/>
      <c r="F14" s="955"/>
    </row>
    <row r="15" spans="1:8" ht="20.100000000000001" customHeight="1">
      <c r="A15" s="811" t="s">
        <v>232</v>
      </c>
      <c r="B15" s="807"/>
      <c r="C15" s="812">
        <f>'RP 006'!E143</f>
        <v>0</v>
      </c>
      <c r="D15" s="813"/>
      <c r="E15" s="814"/>
      <c r="F15" s="814"/>
    </row>
    <row r="16" spans="1:8" ht="20.100000000000001" customHeight="1">
      <c r="A16" s="824" t="s">
        <v>233</v>
      </c>
      <c r="B16" s="815"/>
      <c r="C16" s="812">
        <f>'RP 006'!E153</f>
        <v>0</v>
      </c>
      <c r="D16" s="813"/>
      <c r="E16" s="814"/>
      <c r="F16" s="814"/>
    </row>
    <row r="17" spans="1:6" ht="24">
      <c r="A17" s="995" t="s">
        <v>2267</v>
      </c>
      <c r="B17" s="816"/>
      <c r="C17" s="817">
        <f>'RP 006'!E152</f>
        <v>0</v>
      </c>
      <c r="D17" s="820"/>
      <c r="E17" s="821"/>
      <c r="F17" s="821"/>
    </row>
    <row r="18" spans="1:6" ht="20.100000000000001" customHeight="1">
      <c r="A18" s="823" t="s">
        <v>2078</v>
      </c>
      <c r="B18" s="816"/>
      <c r="C18" s="817"/>
      <c r="D18" s="820"/>
      <c r="E18" s="821"/>
      <c r="F18" s="821"/>
    </row>
    <row r="19" spans="1:6" ht="20.100000000000001" customHeight="1">
      <c r="A19" s="811" t="s">
        <v>2268</v>
      </c>
      <c r="B19" s="807"/>
      <c r="C19" s="812">
        <f>'RP 006'!E147</f>
        <v>0</v>
      </c>
      <c r="D19" s="813"/>
      <c r="E19" s="814"/>
      <c r="F19" s="814"/>
    </row>
    <row r="20" spans="1:6" ht="20.100000000000001" customHeight="1">
      <c r="A20" s="823" t="s">
        <v>2270</v>
      </c>
      <c r="B20" s="816"/>
      <c r="C20" s="817"/>
      <c r="D20" s="820"/>
      <c r="E20" s="821"/>
      <c r="F20" s="821"/>
    </row>
    <row r="21" spans="1:6" ht="20.100000000000001" customHeight="1">
      <c r="A21" s="823" t="s">
        <v>2269</v>
      </c>
      <c r="B21" s="816"/>
      <c r="C21" s="817">
        <f>'RP 006'!E153</f>
        <v>0</v>
      </c>
      <c r="D21" s="820"/>
      <c r="E21" s="821"/>
      <c r="F21" s="821"/>
    </row>
    <row r="22" spans="1:6" ht="20.100000000000001" customHeight="1">
      <c r="A22" s="824" t="s">
        <v>2266</v>
      </c>
      <c r="B22" s="815"/>
      <c r="C22" s="812"/>
      <c r="D22" s="813"/>
      <c r="E22" s="814"/>
      <c r="F22" s="814"/>
    </row>
    <row r="23" spans="1:6" s="799" customFormat="1" ht="20.100000000000001" customHeight="1">
      <c r="A23" s="806" t="s">
        <v>2271</v>
      </c>
      <c r="B23" s="815"/>
      <c r="C23" s="825">
        <f>C5-C6-C7-C8-C9-C10-C11-C21+C14+C15+C19+C22</f>
        <v>0</v>
      </c>
      <c r="D23" s="826">
        <f>D5-D6-D7-D8-D9-D10-D11-D21+D14+D15+D19+D22</f>
        <v>0</v>
      </c>
      <c r="E23" s="825">
        <f>E5-E6-E7-E8-E9-E10-E11-E21+E14+E15+E19+E22</f>
        <v>0</v>
      </c>
      <c r="F23" s="810"/>
    </row>
    <row r="24" spans="1:6" ht="20.100000000000001" customHeight="1">
      <c r="A24" s="811" t="s">
        <v>234</v>
      </c>
      <c r="B24" s="807"/>
      <c r="C24" s="812">
        <f>'RP 006'!E156</f>
        <v>0</v>
      </c>
      <c r="D24" s="813"/>
      <c r="E24" s="814"/>
      <c r="F24" s="814"/>
    </row>
    <row r="25" spans="1:6" ht="20.100000000000001" customHeight="1">
      <c r="A25" s="811" t="s">
        <v>235</v>
      </c>
      <c r="B25" s="807"/>
      <c r="C25" s="812">
        <f>'RP 006'!E157</f>
        <v>0</v>
      </c>
      <c r="D25" s="813"/>
      <c r="E25" s="814"/>
      <c r="F25" s="814"/>
    </row>
    <row r="26" spans="1:6" ht="20.100000000000001" customHeight="1">
      <c r="A26" s="806" t="s">
        <v>2272</v>
      </c>
      <c r="B26" s="815"/>
      <c r="C26" s="825">
        <f>C23+C24-C25</f>
        <v>0</v>
      </c>
      <c r="D26" s="813"/>
      <c r="E26" s="825">
        <f>E23+E24-E25</f>
        <v>0</v>
      </c>
      <c r="F26" s="814"/>
    </row>
    <row r="27" spans="1:6" ht="20.100000000000001" customHeight="1">
      <c r="A27" s="811" t="s">
        <v>236</v>
      </c>
      <c r="B27" s="807"/>
      <c r="C27" s="812">
        <f>'RP 006'!E159</f>
        <v>0</v>
      </c>
      <c r="D27" s="813"/>
      <c r="E27" s="814"/>
      <c r="F27" s="814"/>
    </row>
    <row r="28" spans="1:6" s="799" customFormat="1" ht="20.100000000000001" customHeight="1">
      <c r="A28" s="806" t="s">
        <v>2273</v>
      </c>
      <c r="B28" s="815"/>
      <c r="C28" s="825">
        <f>C26-C27</f>
        <v>0</v>
      </c>
      <c r="D28" s="809"/>
      <c r="E28" s="825">
        <f>E26-E27</f>
        <v>0</v>
      </c>
      <c r="F28" s="810"/>
    </row>
    <row r="29" spans="1:6" s="799" customFormat="1" ht="24.9" customHeight="1">
      <c r="A29" s="827" t="s">
        <v>237</v>
      </c>
      <c r="B29" s="815"/>
      <c r="C29" s="825"/>
      <c r="D29" s="809"/>
      <c r="E29" s="810"/>
      <c r="F29" s="810"/>
    </row>
    <row r="30" spans="1:6" ht="20.100000000000001" customHeight="1">
      <c r="A30" s="811" t="s">
        <v>238</v>
      </c>
      <c r="B30" s="815"/>
      <c r="C30" s="825">
        <f>'RP 006'!E162</f>
        <v>0</v>
      </c>
      <c r="D30" s="813"/>
      <c r="E30" s="814"/>
      <c r="F30" s="814"/>
    </row>
    <row r="31" spans="1:6" ht="20.100000000000001" customHeight="1">
      <c r="A31" s="811" t="s">
        <v>239</v>
      </c>
      <c r="B31" s="828"/>
      <c r="C31" s="825">
        <f>'RP 006'!E163</f>
        <v>0</v>
      </c>
      <c r="D31" s="813"/>
      <c r="E31" s="814"/>
      <c r="F31" s="814"/>
    </row>
    <row r="32" spans="1:6" ht="20.100000000000001" customHeight="1">
      <c r="A32" s="811" t="s">
        <v>240</v>
      </c>
      <c r="B32" s="828"/>
      <c r="C32" s="825"/>
      <c r="D32" s="813"/>
      <c r="E32" s="814"/>
      <c r="F32" s="814"/>
    </row>
    <row r="33" spans="1:6" ht="20.100000000000001" customHeight="1">
      <c r="A33" s="811" t="s">
        <v>241</v>
      </c>
      <c r="B33" s="828"/>
      <c r="C33" s="825">
        <f>'RP 006'!E165</f>
        <v>0</v>
      </c>
      <c r="D33" s="813"/>
      <c r="E33" s="814"/>
      <c r="F33" s="814"/>
    </row>
    <row r="34" spans="1:6" ht="20.100000000000001" customHeight="1">
      <c r="A34" s="811" t="s">
        <v>242</v>
      </c>
      <c r="B34" s="828"/>
      <c r="C34" s="825">
        <f>'RP 006'!E166</f>
        <v>0</v>
      </c>
      <c r="D34" s="813"/>
      <c r="E34" s="814"/>
      <c r="F34" s="814"/>
    </row>
    <row r="35" spans="1:6" ht="20.100000000000001" customHeight="1">
      <c r="A35" s="806" t="s">
        <v>243</v>
      </c>
      <c r="B35" s="828"/>
      <c r="C35" s="825"/>
      <c r="D35" s="813"/>
      <c r="E35" s="814"/>
      <c r="F35" s="814"/>
    </row>
    <row r="36" spans="1:6" ht="20.100000000000001" customHeight="1">
      <c r="A36" s="829" t="s">
        <v>244</v>
      </c>
      <c r="B36" s="828"/>
      <c r="C36" s="825"/>
      <c r="D36" s="813"/>
      <c r="E36" s="814"/>
      <c r="F36" s="814"/>
    </row>
    <row r="37" spans="1:6" ht="20.100000000000001" customHeight="1">
      <c r="A37" s="830" t="s">
        <v>245</v>
      </c>
      <c r="B37" s="828"/>
      <c r="C37" s="825"/>
      <c r="D37" s="813"/>
      <c r="E37" s="814"/>
      <c r="F37" s="814"/>
    </row>
    <row r="38" spans="1:6" s="963" customFormat="1" ht="24.9" customHeight="1">
      <c r="A38" s="960" t="s">
        <v>246</v>
      </c>
      <c r="B38" s="961"/>
      <c r="C38" s="962"/>
      <c r="D38" s="954"/>
      <c r="E38" s="955"/>
      <c r="F38" s="955"/>
    </row>
    <row r="39" spans="1:6" s="963" customFormat="1" ht="24.9" customHeight="1">
      <c r="A39" s="960" t="s">
        <v>247</v>
      </c>
      <c r="B39" s="961"/>
      <c r="C39" s="962"/>
      <c r="D39" s="954"/>
      <c r="E39" s="955"/>
      <c r="F39" s="955"/>
    </row>
    <row r="40" spans="1:6" ht="24.9" customHeight="1">
      <c r="A40" s="959" t="s">
        <v>2079</v>
      </c>
      <c r="B40" s="996"/>
      <c r="C40" s="997"/>
      <c r="D40" s="820"/>
      <c r="E40" s="821"/>
      <c r="F40" s="821"/>
    </row>
    <row r="41" spans="1:6" ht="24.9" customHeight="1">
      <c r="A41" s="959" t="s">
        <v>2080</v>
      </c>
      <c r="B41" s="996"/>
      <c r="C41" s="997"/>
      <c r="D41" s="820"/>
      <c r="E41" s="821"/>
      <c r="F41" s="821"/>
    </row>
    <row r="42" spans="1:6" ht="20.100000000000001" customHeight="1">
      <c r="A42" s="832" t="s">
        <v>2081</v>
      </c>
      <c r="B42" s="828"/>
      <c r="C42" s="825"/>
      <c r="D42" s="813"/>
      <c r="E42" s="814"/>
      <c r="F42" s="814"/>
    </row>
    <row r="43" spans="1:6" ht="20.100000000000001" customHeight="1">
      <c r="A43" s="833" t="s">
        <v>248</v>
      </c>
      <c r="B43" s="828"/>
      <c r="C43" s="825"/>
      <c r="D43" s="813"/>
      <c r="E43" s="814"/>
      <c r="F43" s="814"/>
    </row>
    <row r="44" spans="1:6" ht="24.9" customHeight="1">
      <c r="A44" s="960" t="s">
        <v>2087</v>
      </c>
      <c r="B44" s="828"/>
      <c r="C44" s="825"/>
      <c r="D44" s="813"/>
      <c r="E44" s="814"/>
      <c r="F44" s="814"/>
    </row>
    <row r="45" spans="1:6" ht="24.9" customHeight="1">
      <c r="A45" s="831" t="s">
        <v>2082</v>
      </c>
      <c r="B45" s="996"/>
      <c r="C45" s="997"/>
      <c r="D45" s="820"/>
      <c r="E45" s="821"/>
      <c r="F45" s="821"/>
    </row>
    <row r="46" spans="1:6" ht="25.8">
      <c r="A46" s="833" t="s">
        <v>2083</v>
      </c>
      <c r="B46" s="828"/>
      <c r="C46" s="825"/>
      <c r="D46" s="813"/>
      <c r="E46" s="814"/>
      <c r="F46" s="814"/>
    </row>
    <row r="47" spans="1:6" ht="25.8">
      <c r="A47" s="831" t="s">
        <v>2086</v>
      </c>
      <c r="B47" s="996"/>
      <c r="C47" s="997"/>
      <c r="D47" s="820"/>
      <c r="E47" s="821"/>
      <c r="F47" s="821"/>
    </row>
    <row r="48" spans="1:6" ht="25.8">
      <c r="A48" s="834" t="s">
        <v>2084</v>
      </c>
      <c r="B48" s="828"/>
      <c r="C48" s="825"/>
      <c r="D48" s="813"/>
      <c r="E48" s="814"/>
      <c r="F48" s="814"/>
    </row>
    <row r="49" spans="1:6" ht="20.100000000000001" customHeight="1">
      <c r="A49" s="964" t="s">
        <v>2085</v>
      </c>
      <c r="B49" s="996"/>
      <c r="C49" s="997"/>
      <c r="D49" s="820"/>
      <c r="E49" s="821"/>
      <c r="F49" s="821"/>
    </row>
    <row r="50" spans="1:6" ht="20.100000000000001" customHeight="1">
      <c r="A50" s="998" t="s">
        <v>2092</v>
      </c>
      <c r="B50" s="828"/>
      <c r="C50" s="825"/>
      <c r="D50" s="813"/>
      <c r="E50" s="814"/>
      <c r="F50" s="814"/>
    </row>
    <row r="51" spans="1:6" ht="20.100000000000001" customHeight="1">
      <c r="A51" s="834" t="s">
        <v>2088</v>
      </c>
      <c r="B51" s="828"/>
      <c r="C51" s="825"/>
      <c r="D51" s="813"/>
      <c r="E51" s="814"/>
      <c r="F51" s="814"/>
    </row>
    <row r="52" spans="1:6" ht="37.799999999999997">
      <c r="A52" s="834" t="s">
        <v>2089</v>
      </c>
      <c r="B52" s="828"/>
      <c r="C52" s="825"/>
      <c r="D52" s="813"/>
      <c r="E52" s="814"/>
      <c r="F52" s="814"/>
    </row>
    <row r="53" spans="1:6" ht="37.799999999999997">
      <c r="A53" s="834" t="s">
        <v>2090</v>
      </c>
      <c r="B53" s="828"/>
      <c r="C53" s="825"/>
      <c r="D53" s="813"/>
      <c r="E53" s="814"/>
      <c r="F53" s="814"/>
    </row>
    <row r="54" spans="1:6" ht="20.100000000000001" customHeight="1">
      <c r="A54" s="834" t="s">
        <v>2091</v>
      </c>
      <c r="B54" s="828"/>
      <c r="C54" s="825"/>
      <c r="D54" s="813"/>
      <c r="E54" s="814"/>
      <c r="F54" s="814"/>
    </row>
    <row r="55" spans="1:6" ht="20.100000000000001" customHeight="1">
      <c r="A55" s="829" t="s">
        <v>249</v>
      </c>
      <c r="B55" s="828"/>
      <c r="C55" s="825"/>
      <c r="D55" s="813"/>
      <c r="E55" s="814"/>
      <c r="F55" s="814"/>
    </row>
    <row r="56" spans="1:6" ht="20.100000000000001" customHeight="1">
      <c r="A56" s="806" t="s">
        <v>250</v>
      </c>
      <c r="B56" s="828"/>
      <c r="C56" s="825"/>
      <c r="D56" s="813"/>
      <c r="E56" s="814"/>
      <c r="F56" s="814"/>
    </row>
    <row r="57" spans="1:6" ht="20.100000000000001" customHeight="1">
      <c r="A57" s="811" t="s">
        <v>251</v>
      </c>
      <c r="B57" s="828"/>
      <c r="C57" s="825"/>
      <c r="D57" s="813"/>
      <c r="E57" s="814"/>
      <c r="F57" s="814"/>
    </row>
    <row r="58" spans="1:6" ht="20.100000000000001" customHeight="1">
      <c r="A58" s="811" t="s">
        <v>252</v>
      </c>
      <c r="B58" s="828"/>
      <c r="C58" s="825"/>
      <c r="D58" s="813"/>
      <c r="E58" s="814"/>
      <c r="F58" s="814"/>
    </row>
    <row r="59" spans="1:6" ht="20.100000000000001" customHeight="1">
      <c r="A59" s="806" t="s">
        <v>253</v>
      </c>
      <c r="B59" s="828"/>
      <c r="C59" s="825"/>
      <c r="D59" s="813"/>
      <c r="E59" s="814"/>
      <c r="F59" s="814"/>
    </row>
    <row r="60" spans="1:6" ht="20.100000000000001" customHeight="1">
      <c r="A60" s="811" t="s">
        <v>254</v>
      </c>
      <c r="B60" s="828"/>
      <c r="C60" s="825"/>
      <c r="D60" s="813"/>
      <c r="E60" s="814"/>
      <c r="F60" s="814"/>
    </row>
    <row r="61" spans="1:6" ht="20.100000000000001" customHeight="1">
      <c r="A61" s="835" t="s">
        <v>255</v>
      </c>
      <c r="B61" s="836"/>
      <c r="C61" s="837"/>
      <c r="D61" s="838"/>
      <c r="E61" s="839"/>
      <c r="F61" s="814"/>
    </row>
    <row r="62" spans="1:6" s="763" customFormat="1" ht="20.100000000000001" customHeight="1">
      <c r="A62" s="795" t="s">
        <v>256</v>
      </c>
      <c r="B62" s="795"/>
      <c r="C62" s="795" t="s">
        <v>257</v>
      </c>
      <c r="D62" s="796"/>
      <c r="E62" s="796"/>
      <c r="F62" s="795"/>
    </row>
    <row r="63" spans="1:6">
      <c r="B63" s="840"/>
      <c r="C63" s="814"/>
      <c r="D63" s="814"/>
    </row>
    <row r="65" spans="3:4">
      <c r="C65" s="803"/>
      <c r="D65" s="803"/>
    </row>
  </sheetData>
  <mergeCells count="5">
    <mergeCell ref="A1:F1"/>
    <mergeCell ref="A3:A4"/>
    <mergeCell ref="B3:B4"/>
    <mergeCell ref="C3:D4"/>
    <mergeCell ref="E3:F4"/>
  </mergeCells>
  <phoneticPr fontId="78" type="noConversion"/>
  <hyperlinks>
    <hyperlink ref="H1" location="目录!A1" display="BACK"/>
  </hyperlinks>
  <printOptions horizontalCentered="1" verticalCentered="1"/>
  <pageMargins left="0.46875" right="0.26874999999999999" top="0.59027777777777801" bottom="0.78680555555555598" header="0.51180555555555596" footer="0.51180555555555596"/>
  <pageSetup paperSize="9" scale="88" fitToWidth="2" fitToHeight="0" orientation="portrait" horizontalDpi="360" r:id="rId1"/>
  <headerFooter alignWithMargins="0">
    <oddFooter>&amp;C3</oddFooter>
  </headerFooter>
  <rowBreaks count="1" manualBreakCount="1">
    <brk id="34" max="5" man="1"/>
  </row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50"/>
  <sheetViews>
    <sheetView showGridLines="0" view="pageBreakPreview" zoomScaleNormal="100" zoomScaleSheetLayoutView="100" workbookViewId="0">
      <selection activeCell="A19" sqref="A19:K22"/>
    </sheetView>
  </sheetViews>
  <sheetFormatPr defaultColWidth="16.3984375" defaultRowHeight="20.100000000000001" customHeight="1"/>
  <cols>
    <col min="1" max="1" width="48.3984375" style="764" customWidth="1"/>
    <col min="2" max="2" width="7" style="765" customWidth="1"/>
    <col min="3" max="3" width="20.09765625" style="765" customWidth="1"/>
    <col min="4" max="4" width="4.69921875" style="764" customWidth="1"/>
    <col min="5" max="5" width="17.59765625" style="765" hidden="1" customWidth="1"/>
    <col min="6" max="6" width="2.69921875" style="764" hidden="1" customWidth="1"/>
    <col min="7" max="7" width="16.3984375" style="764" hidden="1" customWidth="1"/>
    <col min="8" max="8" width="16.3984375" style="764"/>
    <col min="9" max="9" width="4.5" style="764" customWidth="1"/>
    <col min="10" max="16384" width="16.3984375" style="764"/>
  </cols>
  <sheetData>
    <row r="1" spans="1:11" ht="24.9" customHeight="1">
      <c r="A1" s="1026" t="s">
        <v>258</v>
      </c>
      <c r="B1" s="1026"/>
      <c r="C1" s="1026"/>
      <c r="D1" s="1026"/>
      <c r="E1" s="1026"/>
      <c r="F1" s="1026"/>
      <c r="G1" s="1026"/>
      <c r="H1" s="1026"/>
      <c r="I1" s="1026"/>
      <c r="K1" s="900" t="s">
        <v>146</v>
      </c>
    </row>
    <row r="2" spans="1:11" s="759" customFormat="1" ht="20.100000000000001" customHeight="1">
      <c r="A2" s="766">
        <f>基础信息!B6</f>
        <v>0</v>
      </c>
      <c r="B2" s="767"/>
      <c r="C2" s="768"/>
      <c r="D2" s="769"/>
      <c r="E2" s="769"/>
      <c r="I2" s="797" t="s">
        <v>259</v>
      </c>
    </row>
    <row r="3" spans="1:11" s="759" customFormat="1" ht="20.100000000000001" customHeight="1">
      <c r="A3" s="1027" t="s">
        <v>137</v>
      </c>
      <c r="B3" s="1029" t="s">
        <v>179</v>
      </c>
      <c r="C3" s="1019" t="s">
        <v>2264</v>
      </c>
      <c r="D3" s="1020"/>
      <c r="E3" s="1023" t="s">
        <v>260</v>
      </c>
      <c r="F3" s="1023"/>
      <c r="G3" s="770"/>
      <c r="H3" s="1023" t="s">
        <v>2265</v>
      </c>
      <c r="I3" s="1023"/>
    </row>
    <row r="4" spans="1:11" s="759" customFormat="1" ht="20.100000000000001" customHeight="1">
      <c r="A4" s="1028"/>
      <c r="B4" s="1030"/>
      <c r="C4" s="1021"/>
      <c r="D4" s="1022"/>
      <c r="E4" s="1024"/>
      <c r="F4" s="1024"/>
      <c r="G4" s="770"/>
      <c r="H4" s="1024"/>
      <c r="I4" s="1024"/>
    </row>
    <row r="5" spans="1:11" s="760" customFormat="1" ht="20.100000000000001" customHeight="1">
      <c r="A5" s="771" t="s">
        <v>261</v>
      </c>
      <c r="B5" s="772"/>
      <c r="C5" s="773"/>
      <c r="D5" s="774"/>
      <c r="E5" s="775"/>
      <c r="F5" s="776"/>
    </row>
    <row r="6" spans="1:11" s="760" customFormat="1" ht="20.100000000000001" customHeight="1">
      <c r="A6" s="777" t="s">
        <v>262</v>
      </c>
      <c r="B6" s="772"/>
      <c r="C6" s="778"/>
      <c r="D6" s="779"/>
      <c r="E6" s="770"/>
      <c r="F6" s="770"/>
    </row>
    <row r="7" spans="1:11" s="760" customFormat="1" ht="20.100000000000001" customHeight="1">
      <c r="A7" s="777" t="s">
        <v>263</v>
      </c>
      <c r="B7" s="772"/>
      <c r="C7" s="778"/>
      <c r="D7" s="779"/>
      <c r="E7" s="770"/>
      <c r="F7" s="770"/>
    </row>
    <row r="8" spans="1:11" s="760" customFormat="1" ht="20.100000000000001" customHeight="1">
      <c r="A8" s="777" t="s">
        <v>264</v>
      </c>
      <c r="B8" s="772"/>
      <c r="C8" s="778"/>
      <c r="D8" s="779"/>
      <c r="E8" s="770"/>
      <c r="F8" s="770"/>
    </row>
    <row r="9" spans="1:11" s="760" customFormat="1" ht="20.100000000000001" customHeight="1">
      <c r="A9" s="777" t="s">
        <v>265</v>
      </c>
      <c r="B9" s="772"/>
      <c r="C9" s="778">
        <f>SUM(C6:C8)</f>
        <v>0</v>
      </c>
      <c r="D9" s="770"/>
      <c r="E9" s="770">
        <f>SUM(E6:E8)</f>
        <v>0</v>
      </c>
      <c r="F9" s="778">
        <f>SUM(F6:F8)</f>
        <v>0</v>
      </c>
      <c r="G9" s="778">
        <f>SUM(G6:G8)</f>
        <v>0</v>
      </c>
      <c r="H9" s="778">
        <f>SUM(H6:H8)</f>
        <v>0</v>
      </c>
    </row>
    <row r="10" spans="1:11" s="760" customFormat="1" ht="20.100000000000001" customHeight="1">
      <c r="A10" s="777" t="s">
        <v>266</v>
      </c>
      <c r="B10" s="772"/>
      <c r="C10" s="778"/>
      <c r="D10" s="779"/>
      <c r="E10" s="770"/>
      <c r="F10" s="770"/>
    </row>
    <row r="11" spans="1:11" s="760" customFormat="1" ht="20.100000000000001" customHeight="1">
      <c r="A11" s="777" t="s">
        <v>267</v>
      </c>
      <c r="B11" s="772"/>
      <c r="C11" s="778"/>
      <c r="D11" s="779"/>
      <c r="E11" s="770"/>
      <c r="F11" s="770"/>
    </row>
    <row r="12" spans="1:11" s="760" customFormat="1" ht="20.100000000000001" customHeight="1">
      <c r="A12" s="777" t="s">
        <v>268</v>
      </c>
      <c r="B12" s="772"/>
      <c r="C12" s="778"/>
      <c r="D12" s="779"/>
      <c r="E12" s="770"/>
      <c r="F12" s="770"/>
    </row>
    <row r="13" spans="1:11" s="760" customFormat="1" ht="20.100000000000001" customHeight="1">
      <c r="A13" s="777" t="s">
        <v>269</v>
      </c>
      <c r="B13" s="772"/>
      <c r="C13" s="778"/>
      <c r="D13" s="779"/>
      <c r="E13" s="770"/>
      <c r="F13" s="770"/>
    </row>
    <row r="14" spans="1:11" s="760" customFormat="1" ht="20.100000000000001" customHeight="1">
      <c r="A14" s="777" t="s">
        <v>270</v>
      </c>
      <c r="B14" s="772"/>
      <c r="C14" s="778">
        <f>C10+C11+C12+C13</f>
        <v>0</v>
      </c>
      <c r="D14" s="770"/>
      <c r="E14" s="770">
        <f>E10+E11+E12+E13</f>
        <v>0</v>
      </c>
      <c r="F14" s="778">
        <f>F10+F11+F12+F13</f>
        <v>0</v>
      </c>
      <c r="G14" s="778">
        <f>G10+G11+G12+G13</f>
        <v>0</v>
      </c>
      <c r="H14" s="778">
        <f>H10+H11+H12+H13</f>
        <v>0</v>
      </c>
    </row>
    <row r="15" spans="1:11" s="761" customFormat="1" ht="20.100000000000001" customHeight="1">
      <c r="A15" s="771" t="s">
        <v>271</v>
      </c>
      <c r="B15" s="780"/>
      <c r="C15" s="781">
        <f>C9-C14</f>
        <v>0</v>
      </c>
      <c r="D15" s="782"/>
      <c r="E15" s="782">
        <f>E9-E14</f>
        <v>0</v>
      </c>
      <c r="F15" s="781">
        <f>F9-F14</f>
        <v>0</v>
      </c>
      <c r="G15" s="781">
        <f>G9-G14</f>
        <v>0</v>
      </c>
      <c r="H15" s="781">
        <f>H9-H14</f>
        <v>0</v>
      </c>
    </row>
    <row r="16" spans="1:11" s="760" customFormat="1" ht="20.100000000000001" customHeight="1">
      <c r="A16" s="771" t="s">
        <v>272</v>
      </c>
      <c r="B16" s="780"/>
      <c r="C16" s="778"/>
      <c r="D16" s="783"/>
      <c r="E16" s="770"/>
      <c r="F16" s="784"/>
    </row>
    <row r="17" spans="1:8" s="761" customFormat="1" ht="20.100000000000001" customHeight="1">
      <c r="A17" s="777" t="s">
        <v>273</v>
      </c>
      <c r="B17" s="772"/>
      <c r="C17" s="778"/>
      <c r="D17" s="779"/>
      <c r="E17" s="770"/>
      <c r="F17" s="770"/>
    </row>
    <row r="18" spans="1:8" s="760" customFormat="1" ht="20.100000000000001" customHeight="1">
      <c r="A18" s="777" t="s">
        <v>274</v>
      </c>
      <c r="B18" s="772"/>
      <c r="C18" s="778"/>
      <c r="D18" s="779"/>
      <c r="E18" s="770"/>
      <c r="F18" s="770"/>
    </row>
    <row r="19" spans="1:8" s="760" customFormat="1" ht="24.9" customHeight="1">
      <c r="A19" s="785" t="s">
        <v>275</v>
      </c>
      <c r="B19" s="772"/>
      <c r="C19" s="778"/>
      <c r="D19" s="779"/>
      <c r="E19" s="770"/>
      <c r="F19" s="770"/>
    </row>
    <row r="20" spans="1:8" s="760" customFormat="1" ht="20.100000000000001" customHeight="1">
      <c r="A20" s="777" t="s">
        <v>276</v>
      </c>
      <c r="B20" s="772"/>
      <c r="C20" s="778"/>
      <c r="D20" s="779"/>
      <c r="E20" s="770"/>
      <c r="F20" s="770"/>
    </row>
    <row r="21" spans="1:8" s="760" customFormat="1" ht="20.100000000000001" customHeight="1">
      <c r="A21" s="777" t="s">
        <v>277</v>
      </c>
      <c r="B21" s="772"/>
      <c r="C21" s="778"/>
      <c r="D21" s="779"/>
      <c r="E21" s="770"/>
      <c r="F21" s="770"/>
    </row>
    <row r="22" spans="1:8" s="760" customFormat="1" ht="20.100000000000001" customHeight="1">
      <c r="A22" s="777" t="s">
        <v>278</v>
      </c>
      <c r="B22" s="772"/>
      <c r="C22" s="778">
        <f>SUM(C17:C21)</f>
        <v>0</v>
      </c>
      <c r="D22" s="770"/>
      <c r="E22" s="770">
        <f>SUM(E17:E21)</f>
        <v>0</v>
      </c>
      <c r="F22" s="778">
        <f>SUM(F17:F21)</f>
        <v>0</v>
      </c>
      <c r="G22" s="778">
        <f>SUM(G17:G21)</f>
        <v>0</v>
      </c>
      <c r="H22" s="778">
        <f>SUM(H17:H21)</f>
        <v>0</v>
      </c>
    </row>
    <row r="23" spans="1:8" s="760" customFormat="1" ht="20.100000000000001" customHeight="1">
      <c r="A23" s="777" t="s">
        <v>279</v>
      </c>
      <c r="B23" s="772"/>
      <c r="C23" s="778"/>
      <c r="D23" s="779"/>
      <c r="E23" s="770"/>
      <c r="F23" s="770"/>
    </row>
    <row r="24" spans="1:8" s="760" customFormat="1" ht="20.100000000000001" customHeight="1">
      <c r="A24" s="777" t="s">
        <v>280</v>
      </c>
      <c r="B24" s="772"/>
      <c r="C24" s="778"/>
      <c r="D24" s="779"/>
      <c r="E24" s="770"/>
      <c r="F24" s="770"/>
    </row>
    <row r="25" spans="1:8" s="760" customFormat="1" ht="20.100000000000001" customHeight="1">
      <c r="A25" s="777" t="s">
        <v>281</v>
      </c>
      <c r="B25" s="772"/>
      <c r="C25" s="778"/>
      <c r="D25" s="779"/>
      <c r="E25" s="770"/>
      <c r="F25" s="770"/>
    </row>
    <row r="26" spans="1:8" s="760" customFormat="1" ht="20.100000000000001" customHeight="1">
      <c r="A26" s="777" t="s">
        <v>282</v>
      </c>
      <c r="B26" s="772"/>
      <c r="C26" s="778"/>
      <c r="D26" s="779"/>
      <c r="E26" s="770"/>
      <c r="F26" s="770"/>
    </row>
    <row r="27" spans="1:8" s="761" customFormat="1" ht="20.100000000000001" customHeight="1">
      <c r="A27" s="777" t="s">
        <v>283</v>
      </c>
      <c r="B27" s="772"/>
      <c r="C27" s="778">
        <f>SUM(C23:C26)</f>
        <v>0</v>
      </c>
      <c r="D27" s="770"/>
      <c r="E27" s="770">
        <f>SUM(E23:E26)</f>
        <v>0</v>
      </c>
      <c r="F27" s="778">
        <f>SUM(F23:F26)</f>
        <v>0</v>
      </c>
      <c r="G27" s="778">
        <f>SUM(G23:G26)</f>
        <v>0</v>
      </c>
      <c r="H27" s="778">
        <f>SUM(H23:H26)</f>
        <v>0</v>
      </c>
    </row>
    <row r="28" spans="1:8" s="760" customFormat="1" ht="20.100000000000001" customHeight="1">
      <c r="A28" s="771" t="s">
        <v>284</v>
      </c>
      <c r="B28" s="780"/>
      <c r="C28" s="781">
        <f>C22-C27</f>
        <v>0</v>
      </c>
      <c r="D28" s="782"/>
      <c r="E28" s="782">
        <f>E22-E27</f>
        <v>0</v>
      </c>
      <c r="F28" s="781">
        <f>F22-F27</f>
        <v>0</v>
      </c>
      <c r="G28" s="781">
        <f>G22-G27</f>
        <v>0</v>
      </c>
      <c r="H28" s="781">
        <f>H22-H27</f>
        <v>0</v>
      </c>
    </row>
    <row r="29" spans="1:8" s="761" customFormat="1" ht="20.100000000000001" customHeight="1">
      <c r="A29" s="771" t="s">
        <v>285</v>
      </c>
      <c r="B29" s="780"/>
      <c r="C29" s="778"/>
      <c r="D29" s="783"/>
      <c r="E29" s="770"/>
      <c r="F29" s="784"/>
      <c r="G29" s="760"/>
    </row>
    <row r="30" spans="1:8" s="760" customFormat="1" ht="20.100000000000001" customHeight="1">
      <c r="A30" s="777" t="s">
        <v>286</v>
      </c>
      <c r="B30" s="772"/>
      <c r="C30" s="778"/>
      <c r="D30" s="779"/>
      <c r="E30" s="770"/>
      <c r="F30" s="770"/>
      <c r="G30" s="761"/>
    </row>
    <row r="31" spans="1:8" s="760" customFormat="1" ht="20.100000000000001" customHeight="1">
      <c r="A31" s="777" t="s">
        <v>287</v>
      </c>
      <c r="B31" s="772"/>
      <c r="C31" s="778"/>
      <c r="D31" s="779"/>
      <c r="E31" s="770"/>
      <c r="F31" s="770"/>
    </row>
    <row r="32" spans="1:8" s="760" customFormat="1" ht="20.100000000000001" customHeight="1">
      <c r="A32" s="777" t="s">
        <v>288</v>
      </c>
      <c r="B32" s="772"/>
      <c r="C32" s="778"/>
      <c r="D32" s="779"/>
      <c r="E32" s="770"/>
      <c r="F32" s="770"/>
    </row>
    <row r="33" spans="1:9" s="760" customFormat="1" ht="20.100000000000001" customHeight="1">
      <c r="A33" s="777" t="s">
        <v>289</v>
      </c>
      <c r="B33" s="772"/>
      <c r="C33" s="778"/>
      <c r="D33" s="779"/>
      <c r="E33" s="770"/>
      <c r="F33" s="770"/>
    </row>
    <row r="34" spans="1:9" s="760" customFormat="1" ht="20.100000000000001" customHeight="1">
      <c r="A34" s="777" t="s">
        <v>290</v>
      </c>
      <c r="B34" s="772"/>
      <c r="C34" s="778">
        <f>C30+C32+C33</f>
        <v>0</v>
      </c>
      <c r="D34" s="770"/>
      <c r="E34" s="770">
        <f>E30+E32+E33</f>
        <v>0</v>
      </c>
      <c r="F34" s="778">
        <f>F30+F32+F33</f>
        <v>0</v>
      </c>
      <c r="G34" s="778">
        <f>G30+G32+G33</f>
        <v>0</v>
      </c>
      <c r="H34" s="778">
        <f>H30+H32+H33</f>
        <v>0</v>
      </c>
    </row>
    <row r="35" spans="1:9" s="760" customFormat="1" ht="20.100000000000001" customHeight="1">
      <c r="A35" s="777" t="s">
        <v>291</v>
      </c>
      <c r="B35" s="772"/>
      <c r="C35" s="778"/>
      <c r="D35" s="779"/>
      <c r="E35" s="770"/>
      <c r="F35" s="770"/>
    </row>
    <row r="36" spans="1:9" s="760" customFormat="1" ht="20.100000000000001" customHeight="1">
      <c r="A36" s="777" t="s">
        <v>292</v>
      </c>
      <c r="B36" s="772"/>
      <c r="C36" s="778"/>
      <c r="D36" s="779"/>
      <c r="E36" s="770"/>
      <c r="F36" s="770"/>
    </row>
    <row r="37" spans="1:9" s="760" customFormat="1" ht="20.100000000000001" customHeight="1">
      <c r="A37" s="777" t="s">
        <v>293</v>
      </c>
      <c r="B37" s="772"/>
      <c r="C37" s="778"/>
      <c r="D37" s="779"/>
      <c r="E37" s="770"/>
      <c r="F37" s="770"/>
    </row>
    <row r="38" spans="1:9" s="760" customFormat="1" ht="20.100000000000001" customHeight="1">
      <c r="A38" s="777" t="s">
        <v>294</v>
      </c>
      <c r="B38" s="772"/>
      <c r="C38" s="778"/>
      <c r="D38" s="779"/>
      <c r="E38" s="770"/>
      <c r="F38" s="770"/>
      <c r="G38" s="761"/>
    </row>
    <row r="39" spans="1:9" s="760" customFormat="1" ht="20.100000000000001" customHeight="1">
      <c r="A39" s="777" t="s">
        <v>295</v>
      </c>
      <c r="B39" s="772"/>
      <c r="C39" s="778"/>
      <c r="D39" s="779"/>
      <c r="E39" s="770"/>
      <c r="F39" s="770"/>
      <c r="G39" s="761"/>
    </row>
    <row r="40" spans="1:9" s="760" customFormat="1" ht="20.100000000000001" customHeight="1">
      <c r="A40" s="777" t="s">
        <v>296</v>
      </c>
      <c r="B40" s="772"/>
      <c r="C40" s="778">
        <f>C35+C36+C38</f>
        <v>0</v>
      </c>
      <c r="D40" s="770"/>
      <c r="E40" s="770">
        <f>E35+E36+E38</f>
        <v>0</v>
      </c>
      <c r="F40" s="778">
        <f>F35+F36+F38</f>
        <v>0</v>
      </c>
      <c r="G40" s="778">
        <f>G35+G36+G38</f>
        <v>0</v>
      </c>
      <c r="H40" s="778">
        <f>H35+H36+H38</f>
        <v>0</v>
      </c>
    </row>
    <row r="41" spans="1:9" s="760" customFormat="1" ht="20.100000000000001" customHeight="1">
      <c r="A41" s="771" t="s">
        <v>297</v>
      </c>
      <c r="B41" s="780"/>
      <c r="C41" s="781">
        <f>C34-C40</f>
        <v>0</v>
      </c>
      <c r="D41" s="782"/>
      <c r="E41" s="782">
        <f>E34-E40</f>
        <v>0</v>
      </c>
      <c r="F41" s="781">
        <f>F34-F40</f>
        <v>0</v>
      </c>
      <c r="G41" s="781">
        <f>G34-G40</f>
        <v>0</v>
      </c>
      <c r="H41" s="781">
        <f>H34-H40</f>
        <v>0</v>
      </c>
    </row>
    <row r="42" spans="1:9" s="761" customFormat="1" ht="20.100000000000001" customHeight="1">
      <c r="A42" s="771" t="s">
        <v>298</v>
      </c>
      <c r="B42" s="772"/>
      <c r="C42" s="778"/>
      <c r="D42" s="786"/>
      <c r="E42" s="782"/>
      <c r="F42" s="782"/>
      <c r="G42" s="760"/>
    </row>
    <row r="43" spans="1:9" s="761" customFormat="1" ht="20.100000000000001" customHeight="1">
      <c r="A43" s="771" t="s">
        <v>299</v>
      </c>
      <c r="B43" s="787"/>
      <c r="C43" s="781">
        <f>C15+C28+C41+C42</f>
        <v>0</v>
      </c>
      <c r="D43" s="782"/>
      <c r="E43" s="782">
        <f>E15+E28+E41+E42</f>
        <v>0</v>
      </c>
      <c r="F43" s="781">
        <f>F15+F28+F41+F42</f>
        <v>0</v>
      </c>
      <c r="G43" s="781">
        <f>G15+G28+G41+G42</f>
        <v>0</v>
      </c>
      <c r="H43" s="781">
        <f>H15+H28+H41+H42</f>
        <v>0</v>
      </c>
    </row>
    <row r="44" spans="1:9" s="762" customFormat="1" ht="20.100000000000001" customHeight="1">
      <c r="A44" s="777" t="s">
        <v>300</v>
      </c>
      <c r="B44" s="787"/>
      <c r="C44" s="778"/>
      <c r="D44" s="788"/>
      <c r="E44" s="770"/>
      <c r="F44" s="789"/>
      <c r="G44" s="761"/>
      <c r="H44" s="790"/>
    </row>
    <row r="45" spans="1:9" s="762" customFormat="1" ht="20.100000000000001" customHeight="1">
      <c r="A45" s="791" t="s">
        <v>301</v>
      </c>
      <c r="B45" s="792"/>
      <c r="C45" s="793">
        <f>C43+C44</f>
        <v>0</v>
      </c>
      <c r="D45" s="794"/>
      <c r="E45" s="794">
        <f>E43+E44</f>
        <v>0</v>
      </c>
      <c r="F45" s="793">
        <f>F43+F44</f>
        <v>0</v>
      </c>
      <c r="G45" s="793">
        <f>G43+G44</f>
        <v>0</v>
      </c>
      <c r="H45" s="793">
        <f>H43+H44</f>
        <v>0</v>
      </c>
      <c r="I45" s="798"/>
    </row>
    <row r="46" spans="1:9" s="763" customFormat="1" ht="20.100000000000001" customHeight="1">
      <c r="A46" s="795" t="s">
        <v>256</v>
      </c>
      <c r="B46" s="795"/>
      <c r="C46" s="795" t="s">
        <v>302</v>
      </c>
      <c r="D46" s="796"/>
      <c r="E46" s="796"/>
      <c r="F46" s="795"/>
      <c r="G46" s="795"/>
      <c r="H46" s="795"/>
      <c r="I46" s="795"/>
    </row>
    <row r="50" spans="1:8" ht="37.5" customHeight="1">
      <c r="A50" s="1025" t="s">
        <v>2093</v>
      </c>
      <c r="B50" s="1025"/>
      <c r="C50" s="1025"/>
      <c r="D50" s="1025"/>
      <c r="E50" s="1025"/>
      <c r="F50" s="1025"/>
      <c r="G50" s="1025"/>
      <c r="H50" s="1025"/>
    </row>
  </sheetData>
  <mergeCells count="7">
    <mergeCell ref="A50:H50"/>
    <mergeCell ref="A1:I1"/>
    <mergeCell ref="A3:A4"/>
    <mergeCell ref="B3:B4"/>
    <mergeCell ref="H3:I4"/>
    <mergeCell ref="C3:D4"/>
    <mergeCell ref="E3:F4"/>
  </mergeCells>
  <phoneticPr fontId="78" type="noConversion"/>
  <hyperlinks>
    <hyperlink ref="K1" location="目录!A1" display="BACK"/>
  </hyperlinks>
  <printOptions horizontalCentered="1"/>
  <pageMargins left="0.59027777777777801" right="0.39305555555555599" top="0.78680555555555598" bottom="0.39305555555555599" header="0.51180555555555596" footer="0.51180555555555596"/>
  <pageSetup paperSize="9" scale="80" orientation="portrait" horizontalDpi="360" r:id="rId1"/>
  <headerFooter alignWithMargins="0">
    <oddFooter>&amp;C5</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rgb="FFFFC000"/>
  </sheetPr>
  <dimension ref="A1:AB41"/>
  <sheetViews>
    <sheetView view="pageBreakPreview" zoomScale="80" zoomScaleNormal="100" zoomScaleSheetLayoutView="80" workbookViewId="0">
      <selection activeCell="B5" sqref="B5:L5"/>
    </sheetView>
  </sheetViews>
  <sheetFormatPr defaultColWidth="9" defaultRowHeight="15.6"/>
  <cols>
    <col min="1" max="1" width="45.59765625" style="749" customWidth="1"/>
    <col min="2" max="2" width="11.59765625" style="749" customWidth="1"/>
    <col min="3" max="5" width="11.69921875" style="749" customWidth="1"/>
    <col min="6" max="10" width="11.59765625" style="749" customWidth="1"/>
    <col min="11" max="11" width="13.69921875" style="749" customWidth="1"/>
    <col min="12" max="12" width="11.59765625" style="749" customWidth="1"/>
    <col min="13" max="13" width="12.59765625" style="749" customWidth="1"/>
    <col min="14" max="14" width="13.59765625" style="749" customWidth="1"/>
    <col min="15" max="23" width="11.59765625" style="749" customWidth="1"/>
    <col min="24" max="24" width="12.59765625" style="749" customWidth="1"/>
    <col min="25" max="25" width="11.59765625" style="749" customWidth="1"/>
    <col min="26" max="26" width="12.59765625" style="749" customWidth="1"/>
    <col min="27" max="27" width="13.59765625" style="749" customWidth="1"/>
    <col min="28" max="256" width="9" style="749"/>
    <col min="257" max="257" width="45.59765625" style="749" customWidth="1"/>
    <col min="258" max="258" width="11.59765625" style="749" customWidth="1"/>
    <col min="259" max="261" width="11.69921875" style="749" customWidth="1"/>
    <col min="262" max="266" width="11.59765625" style="749" customWidth="1"/>
    <col min="267" max="267" width="13.69921875" style="749" customWidth="1"/>
    <col min="268" max="268" width="11.59765625" style="749" customWidth="1"/>
    <col min="269" max="269" width="12.59765625" style="749" customWidth="1"/>
    <col min="270" max="270" width="13.59765625" style="749" customWidth="1"/>
    <col min="271" max="279" width="11.59765625" style="749" customWidth="1"/>
    <col min="280" max="280" width="12.59765625" style="749" customWidth="1"/>
    <col min="281" max="281" width="11.59765625" style="749" customWidth="1"/>
    <col min="282" max="282" width="12.59765625" style="749" customWidth="1"/>
    <col min="283" max="283" width="13.59765625" style="749" customWidth="1"/>
    <col min="284" max="512" width="9" style="749"/>
    <col min="513" max="513" width="45.59765625" style="749" customWidth="1"/>
    <col min="514" max="514" width="11.59765625" style="749" customWidth="1"/>
    <col min="515" max="517" width="11.69921875" style="749" customWidth="1"/>
    <col min="518" max="522" width="11.59765625" style="749" customWidth="1"/>
    <col min="523" max="523" width="13.69921875" style="749" customWidth="1"/>
    <col min="524" max="524" width="11.59765625" style="749" customWidth="1"/>
    <col min="525" max="525" width="12.59765625" style="749" customWidth="1"/>
    <col min="526" max="526" width="13.59765625" style="749" customWidth="1"/>
    <col min="527" max="535" width="11.59765625" style="749" customWidth="1"/>
    <col min="536" max="536" width="12.59765625" style="749" customWidth="1"/>
    <col min="537" max="537" width="11.59765625" style="749" customWidth="1"/>
    <col min="538" max="538" width="12.59765625" style="749" customWidth="1"/>
    <col min="539" max="539" width="13.59765625" style="749" customWidth="1"/>
    <col min="540" max="768" width="9" style="749"/>
    <col min="769" max="769" width="45.59765625" style="749" customWidth="1"/>
    <col min="770" max="770" width="11.59765625" style="749" customWidth="1"/>
    <col min="771" max="773" width="11.69921875" style="749" customWidth="1"/>
    <col min="774" max="778" width="11.59765625" style="749" customWidth="1"/>
    <col min="779" max="779" width="13.69921875" style="749" customWidth="1"/>
    <col min="780" max="780" width="11.59765625" style="749" customWidth="1"/>
    <col min="781" max="781" width="12.59765625" style="749" customWidth="1"/>
    <col min="782" max="782" width="13.59765625" style="749" customWidth="1"/>
    <col min="783" max="791" width="11.59765625" style="749" customWidth="1"/>
    <col min="792" max="792" width="12.59765625" style="749" customWidth="1"/>
    <col min="793" max="793" width="11.59765625" style="749" customWidth="1"/>
    <col min="794" max="794" width="12.59765625" style="749" customWidth="1"/>
    <col min="795" max="795" width="13.59765625" style="749" customWidth="1"/>
    <col min="796" max="1024" width="9" style="749"/>
    <col min="1025" max="1025" width="45.59765625" style="749" customWidth="1"/>
    <col min="1026" max="1026" width="11.59765625" style="749" customWidth="1"/>
    <col min="1027" max="1029" width="11.69921875" style="749" customWidth="1"/>
    <col min="1030" max="1034" width="11.59765625" style="749" customWidth="1"/>
    <col min="1035" max="1035" width="13.69921875" style="749" customWidth="1"/>
    <col min="1036" max="1036" width="11.59765625" style="749" customWidth="1"/>
    <col min="1037" max="1037" width="12.59765625" style="749" customWidth="1"/>
    <col min="1038" max="1038" width="13.59765625" style="749" customWidth="1"/>
    <col min="1039" max="1047" width="11.59765625" style="749" customWidth="1"/>
    <col min="1048" max="1048" width="12.59765625" style="749" customWidth="1"/>
    <col min="1049" max="1049" width="11.59765625" style="749" customWidth="1"/>
    <col min="1050" max="1050" width="12.59765625" style="749" customWidth="1"/>
    <col min="1051" max="1051" width="13.59765625" style="749" customWidth="1"/>
    <col min="1052" max="1280" width="9" style="749"/>
    <col min="1281" max="1281" width="45.59765625" style="749" customWidth="1"/>
    <col min="1282" max="1282" width="11.59765625" style="749" customWidth="1"/>
    <col min="1283" max="1285" width="11.69921875" style="749" customWidth="1"/>
    <col min="1286" max="1290" width="11.59765625" style="749" customWidth="1"/>
    <col min="1291" max="1291" width="13.69921875" style="749" customWidth="1"/>
    <col min="1292" max="1292" width="11.59765625" style="749" customWidth="1"/>
    <col min="1293" max="1293" width="12.59765625" style="749" customWidth="1"/>
    <col min="1294" max="1294" width="13.59765625" style="749" customWidth="1"/>
    <col min="1295" max="1303" width="11.59765625" style="749" customWidth="1"/>
    <col min="1304" max="1304" width="12.59765625" style="749" customWidth="1"/>
    <col min="1305" max="1305" width="11.59765625" style="749" customWidth="1"/>
    <col min="1306" max="1306" width="12.59765625" style="749" customWidth="1"/>
    <col min="1307" max="1307" width="13.59765625" style="749" customWidth="1"/>
    <col min="1308" max="1536" width="9" style="749"/>
    <col min="1537" max="1537" width="45.59765625" style="749" customWidth="1"/>
    <col min="1538" max="1538" width="11.59765625" style="749" customWidth="1"/>
    <col min="1539" max="1541" width="11.69921875" style="749" customWidth="1"/>
    <col min="1542" max="1546" width="11.59765625" style="749" customWidth="1"/>
    <col min="1547" max="1547" width="13.69921875" style="749" customWidth="1"/>
    <col min="1548" max="1548" width="11.59765625" style="749" customWidth="1"/>
    <col min="1549" max="1549" width="12.59765625" style="749" customWidth="1"/>
    <col min="1550" max="1550" width="13.59765625" style="749" customWidth="1"/>
    <col min="1551" max="1559" width="11.59765625" style="749" customWidth="1"/>
    <col min="1560" max="1560" width="12.59765625" style="749" customWidth="1"/>
    <col min="1561" max="1561" width="11.59765625" style="749" customWidth="1"/>
    <col min="1562" max="1562" width="12.59765625" style="749" customWidth="1"/>
    <col min="1563" max="1563" width="13.59765625" style="749" customWidth="1"/>
    <col min="1564" max="1792" width="9" style="749"/>
    <col min="1793" max="1793" width="45.59765625" style="749" customWidth="1"/>
    <col min="1794" max="1794" width="11.59765625" style="749" customWidth="1"/>
    <col min="1795" max="1797" width="11.69921875" style="749" customWidth="1"/>
    <col min="1798" max="1802" width="11.59765625" style="749" customWidth="1"/>
    <col min="1803" max="1803" width="13.69921875" style="749" customWidth="1"/>
    <col min="1804" max="1804" width="11.59765625" style="749" customWidth="1"/>
    <col min="1805" max="1805" width="12.59765625" style="749" customWidth="1"/>
    <col min="1806" max="1806" width="13.59765625" style="749" customWidth="1"/>
    <col min="1807" max="1815" width="11.59765625" style="749" customWidth="1"/>
    <col min="1816" max="1816" width="12.59765625" style="749" customWidth="1"/>
    <col min="1817" max="1817" width="11.59765625" style="749" customWidth="1"/>
    <col min="1818" max="1818" width="12.59765625" style="749" customWidth="1"/>
    <col min="1819" max="1819" width="13.59765625" style="749" customWidth="1"/>
    <col min="1820" max="2048" width="9" style="749"/>
    <col min="2049" max="2049" width="45.59765625" style="749" customWidth="1"/>
    <col min="2050" max="2050" width="11.59765625" style="749" customWidth="1"/>
    <col min="2051" max="2053" width="11.69921875" style="749" customWidth="1"/>
    <col min="2054" max="2058" width="11.59765625" style="749" customWidth="1"/>
    <col min="2059" max="2059" width="13.69921875" style="749" customWidth="1"/>
    <col min="2060" max="2060" width="11.59765625" style="749" customWidth="1"/>
    <col min="2061" max="2061" width="12.59765625" style="749" customWidth="1"/>
    <col min="2062" max="2062" width="13.59765625" style="749" customWidth="1"/>
    <col min="2063" max="2071" width="11.59765625" style="749" customWidth="1"/>
    <col min="2072" max="2072" width="12.59765625" style="749" customWidth="1"/>
    <col min="2073" max="2073" width="11.59765625" style="749" customWidth="1"/>
    <col min="2074" max="2074" width="12.59765625" style="749" customWidth="1"/>
    <col min="2075" max="2075" width="13.59765625" style="749" customWidth="1"/>
    <col min="2076" max="2304" width="9" style="749"/>
    <col min="2305" max="2305" width="45.59765625" style="749" customWidth="1"/>
    <col min="2306" max="2306" width="11.59765625" style="749" customWidth="1"/>
    <col min="2307" max="2309" width="11.69921875" style="749" customWidth="1"/>
    <col min="2310" max="2314" width="11.59765625" style="749" customWidth="1"/>
    <col min="2315" max="2315" width="13.69921875" style="749" customWidth="1"/>
    <col min="2316" max="2316" width="11.59765625" style="749" customWidth="1"/>
    <col min="2317" max="2317" width="12.59765625" style="749" customWidth="1"/>
    <col min="2318" max="2318" width="13.59765625" style="749" customWidth="1"/>
    <col min="2319" max="2327" width="11.59765625" style="749" customWidth="1"/>
    <col min="2328" max="2328" width="12.59765625" style="749" customWidth="1"/>
    <col min="2329" max="2329" width="11.59765625" style="749" customWidth="1"/>
    <col min="2330" max="2330" width="12.59765625" style="749" customWidth="1"/>
    <col min="2331" max="2331" width="13.59765625" style="749" customWidth="1"/>
    <col min="2332" max="2560" width="9" style="749"/>
    <col min="2561" max="2561" width="45.59765625" style="749" customWidth="1"/>
    <col min="2562" max="2562" width="11.59765625" style="749" customWidth="1"/>
    <col min="2563" max="2565" width="11.69921875" style="749" customWidth="1"/>
    <col min="2566" max="2570" width="11.59765625" style="749" customWidth="1"/>
    <col min="2571" max="2571" width="13.69921875" style="749" customWidth="1"/>
    <col min="2572" max="2572" width="11.59765625" style="749" customWidth="1"/>
    <col min="2573" max="2573" width="12.59765625" style="749" customWidth="1"/>
    <col min="2574" max="2574" width="13.59765625" style="749" customWidth="1"/>
    <col min="2575" max="2583" width="11.59765625" style="749" customWidth="1"/>
    <col min="2584" max="2584" width="12.59765625" style="749" customWidth="1"/>
    <col min="2585" max="2585" width="11.59765625" style="749" customWidth="1"/>
    <col min="2586" max="2586" width="12.59765625" style="749" customWidth="1"/>
    <col min="2587" max="2587" width="13.59765625" style="749" customWidth="1"/>
    <col min="2588" max="2816" width="9" style="749"/>
    <col min="2817" max="2817" width="45.59765625" style="749" customWidth="1"/>
    <col min="2818" max="2818" width="11.59765625" style="749" customWidth="1"/>
    <col min="2819" max="2821" width="11.69921875" style="749" customWidth="1"/>
    <col min="2822" max="2826" width="11.59765625" style="749" customWidth="1"/>
    <col min="2827" max="2827" width="13.69921875" style="749" customWidth="1"/>
    <col min="2828" max="2828" width="11.59765625" style="749" customWidth="1"/>
    <col min="2829" max="2829" width="12.59765625" style="749" customWidth="1"/>
    <col min="2830" max="2830" width="13.59765625" style="749" customWidth="1"/>
    <col min="2831" max="2839" width="11.59765625" style="749" customWidth="1"/>
    <col min="2840" max="2840" width="12.59765625" style="749" customWidth="1"/>
    <col min="2841" max="2841" width="11.59765625" style="749" customWidth="1"/>
    <col min="2842" max="2842" width="12.59765625" style="749" customWidth="1"/>
    <col min="2843" max="2843" width="13.59765625" style="749" customWidth="1"/>
    <col min="2844" max="3072" width="9" style="749"/>
    <col min="3073" max="3073" width="45.59765625" style="749" customWidth="1"/>
    <col min="3074" max="3074" width="11.59765625" style="749" customWidth="1"/>
    <col min="3075" max="3077" width="11.69921875" style="749" customWidth="1"/>
    <col min="3078" max="3082" width="11.59765625" style="749" customWidth="1"/>
    <col min="3083" max="3083" width="13.69921875" style="749" customWidth="1"/>
    <col min="3084" max="3084" width="11.59765625" style="749" customWidth="1"/>
    <col min="3085" max="3085" width="12.59765625" style="749" customWidth="1"/>
    <col min="3086" max="3086" width="13.59765625" style="749" customWidth="1"/>
    <col min="3087" max="3095" width="11.59765625" style="749" customWidth="1"/>
    <col min="3096" max="3096" width="12.59765625" style="749" customWidth="1"/>
    <col min="3097" max="3097" width="11.59765625" style="749" customWidth="1"/>
    <col min="3098" max="3098" width="12.59765625" style="749" customWidth="1"/>
    <col min="3099" max="3099" width="13.59765625" style="749" customWidth="1"/>
    <col min="3100" max="3328" width="9" style="749"/>
    <col min="3329" max="3329" width="45.59765625" style="749" customWidth="1"/>
    <col min="3330" max="3330" width="11.59765625" style="749" customWidth="1"/>
    <col min="3331" max="3333" width="11.69921875" style="749" customWidth="1"/>
    <col min="3334" max="3338" width="11.59765625" style="749" customWidth="1"/>
    <col min="3339" max="3339" width="13.69921875" style="749" customWidth="1"/>
    <col min="3340" max="3340" width="11.59765625" style="749" customWidth="1"/>
    <col min="3341" max="3341" width="12.59765625" style="749" customWidth="1"/>
    <col min="3342" max="3342" width="13.59765625" style="749" customWidth="1"/>
    <col min="3343" max="3351" width="11.59765625" style="749" customWidth="1"/>
    <col min="3352" max="3352" width="12.59765625" style="749" customWidth="1"/>
    <col min="3353" max="3353" width="11.59765625" style="749" customWidth="1"/>
    <col min="3354" max="3354" width="12.59765625" style="749" customWidth="1"/>
    <col min="3355" max="3355" width="13.59765625" style="749" customWidth="1"/>
    <col min="3356" max="3584" width="9" style="749"/>
    <col min="3585" max="3585" width="45.59765625" style="749" customWidth="1"/>
    <col min="3586" max="3586" width="11.59765625" style="749" customWidth="1"/>
    <col min="3587" max="3589" width="11.69921875" style="749" customWidth="1"/>
    <col min="3590" max="3594" width="11.59765625" style="749" customWidth="1"/>
    <col min="3595" max="3595" width="13.69921875" style="749" customWidth="1"/>
    <col min="3596" max="3596" width="11.59765625" style="749" customWidth="1"/>
    <col min="3597" max="3597" width="12.59765625" style="749" customWidth="1"/>
    <col min="3598" max="3598" width="13.59765625" style="749" customWidth="1"/>
    <col min="3599" max="3607" width="11.59765625" style="749" customWidth="1"/>
    <col min="3608" max="3608" width="12.59765625" style="749" customWidth="1"/>
    <col min="3609" max="3609" width="11.59765625" style="749" customWidth="1"/>
    <col min="3610" max="3610" width="12.59765625" style="749" customWidth="1"/>
    <col min="3611" max="3611" width="13.59765625" style="749" customWidth="1"/>
    <col min="3612" max="3840" width="9" style="749"/>
    <col min="3841" max="3841" width="45.59765625" style="749" customWidth="1"/>
    <col min="3842" max="3842" width="11.59765625" style="749" customWidth="1"/>
    <col min="3843" max="3845" width="11.69921875" style="749" customWidth="1"/>
    <col min="3846" max="3850" width="11.59765625" style="749" customWidth="1"/>
    <col min="3851" max="3851" width="13.69921875" style="749" customWidth="1"/>
    <col min="3852" max="3852" width="11.59765625" style="749" customWidth="1"/>
    <col min="3853" max="3853" width="12.59765625" style="749" customWidth="1"/>
    <col min="3854" max="3854" width="13.59765625" style="749" customWidth="1"/>
    <col min="3855" max="3863" width="11.59765625" style="749" customWidth="1"/>
    <col min="3864" max="3864" width="12.59765625" style="749" customWidth="1"/>
    <col min="3865" max="3865" width="11.59765625" style="749" customWidth="1"/>
    <col min="3866" max="3866" width="12.59765625" style="749" customWidth="1"/>
    <col min="3867" max="3867" width="13.59765625" style="749" customWidth="1"/>
    <col min="3868" max="4096" width="9" style="749"/>
    <col min="4097" max="4097" width="45.59765625" style="749" customWidth="1"/>
    <col min="4098" max="4098" width="11.59765625" style="749" customWidth="1"/>
    <col min="4099" max="4101" width="11.69921875" style="749" customWidth="1"/>
    <col min="4102" max="4106" width="11.59765625" style="749" customWidth="1"/>
    <col min="4107" max="4107" width="13.69921875" style="749" customWidth="1"/>
    <col min="4108" max="4108" width="11.59765625" style="749" customWidth="1"/>
    <col min="4109" max="4109" width="12.59765625" style="749" customWidth="1"/>
    <col min="4110" max="4110" width="13.59765625" style="749" customWidth="1"/>
    <col min="4111" max="4119" width="11.59765625" style="749" customWidth="1"/>
    <col min="4120" max="4120" width="12.59765625" style="749" customWidth="1"/>
    <col min="4121" max="4121" width="11.59765625" style="749" customWidth="1"/>
    <col min="4122" max="4122" width="12.59765625" style="749" customWidth="1"/>
    <col min="4123" max="4123" width="13.59765625" style="749" customWidth="1"/>
    <col min="4124" max="4352" width="9" style="749"/>
    <col min="4353" max="4353" width="45.59765625" style="749" customWidth="1"/>
    <col min="4354" max="4354" width="11.59765625" style="749" customWidth="1"/>
    <col min="4355" max="4357" width="11.69921875" style="749" customWidth="1"/>
    <col min="4358" max="4362" width="11.59765625" style="749" customWidth="1"/>
    <col min="4363" max="4363" width="13.69921875" style="749" customWidth="1"/>
    <col min="4364" max="4364" width="11.59765625" style="749" customWidth="1"/>
    <col min="4365" max="4365" width="12.59765625" style="749" customWidth="1"/>
    <col min="4366" max="4366" width="13.59765625" style="749" customWidth="1"/>
    <col min="4367" max="4375" width="11.59765625" style="749" customWidth="1"/>
    <col min="4376" max="4376" width="12.59765625" style="749" customWidth="1"/>
    <col min="4377" max="4377" width="11.59765625" style="749" customWidth="1"/>
    <col min="4378" max="4378" width="12.59765625" style="749" customWidth="1"/>
    <col min="4379" max="4379" width="13.59765625" style="749" customWidth="1"/>
    <col min="4380" max="4608" width="9" style="749"/>
    <col min="4609" max="4609" width="45.59765625" style="749" customWidth="1"/>
    <col min="4610" max="4610" width="11.59765625" style="749" customWidth="1"/>
    <col min="4611" max="4613" width="11.69921875" style="749" customWidth="1"/>
    <col min="4614" max="4618" width="11.59765625" style="749" customWidth="1"/>
    <col min="4619" max="4619" width="13.69921875" style="749" customWidth="1"/>
    <col min="4620" max="4620" width="11.59765625" style="749" customWidth="1"/>
    <col min="4621" max="4621" width="12.59765625" style="749" customWidth="1"/>
    <col min="4622" max="4622" width="13.59765625" style="749" customWidth="1"/>
    <col min="4623" max="4631" width="11.59765625" style="749" customWidth="1"/>
    <col min="4632" max="4632" width="12.59765625" style="749" customWidth="1"/>
    <col min="4633" max="4633" width="11.59765625" style="749" customWidth="1"/>
    <col min="4634" max="4634" width="12.59765625" style="749" customWidth="1"/>
    <col min="4635" max="4635" width="13.59765625" style="749" customWidth="1"/>
    <col min="4636" max="4864" width="9" style="749"/>
    <col min="4865" max="4865" width="45.59765625" style="749" customWidth="1"/>
    <col min="4866" max="4866" width="11.59765625" style="749" customWidth="1"/>
    <col min="4867" max="4869" width="11.69921875" style="749" customWidth="1"/>
    <col min="4870" max="4874" width="11.59765625" style="749" customWidth="1"/>
    <col min="4875" max="4875" width="13.69921875" style="749" customWidth="1"/>
    <col min="4876" max="4876" width="11.59765625" style="749" customWidth="1"/>
    <col min="4877" max="4877" width="12.59765625" style="749" customWidth="1"/>
    <col min="4878" max="4878" width="13.59765625" style="749" customWidth="1"/>
    <col min="4879" max="4887" width="11.59765625" style="749" customWidth="1"/>
    <col min="4888" max="4888" width="12.59765625" style="749" customWidth="1"/>
    <col min="4889" max="4889" width="11.59765625" style="749" customWidth="1"/>
    <col min="4890" max="4890" width="12.59765625" style="749" customWidth="1"/>
    <col min="4891" max="4891" width="13.59765625" style="749" customWidth="1"/>
    <col min="4892" max="5120" width="9" style="749"/>
    <col min="5121" max="5121" width="45.59765625" style="749" customWidth="1"/>
    <col min="5122" max="5122" width="11.59765625" style="749" customWidth="1"/>
    <col min="5123" max="5125" width="11.69921875" style="749" customWidth="1"/>
    <col min="5126" max="5130" width="11.59765625" style="749" customWidth="1"/>
    <col min="5131" max="5131" width="13.69921875" style="749" customWidth="1"/>
    <col min="5132" max="5132" width="11.59765625" style="749" customWidth="1"/>
    <col min="5133" max="5133" width="12.59765625" style="749" customWidth="1"/>
    <col min="5134" max="5134" width="13.59765625" style="749" customWidth="1"/>
    <col min="5135" max="5143" width="11.59765625" style="749" customWidth="1"/>
    <col min="5144" max="5144" width="12.59765625" style="749" customWidth="1"/>
    <col min="5145" max="5145" width="11.59765625" style="749" customWidth="1"/>
    <col min="5146" max="5146" width="12.59765625" style="749" customWidth="1"/>
    <col min="5147" max="5147" width="13.59765625" style="749" customWidth="1"/>
    <col min="5148" max="5376" width="9" style="749"/>
    <col min="5377" max="5377" width="45.59765625" style="749" customWidth="1"/>
    <col min="5378" max="5378" width="11.59765625" style="749" customWidth="1"/>
    <col min="5379" max="5381" width="11.69921875" style="749" customWidth="1"/>
    <col min="5382" max="5386" width="11.59765625" style="749" customWidth="1"/>
    <col min="5387" max="5387" width="13.69921875" style="749" customWidth="1"/>
    <col min="5388" max="5388" width="11.59765625" style="749" customWidth="1"/>
    <col min="5389" max="5389" width="12.59765625" style="749" customWidth="1"/>
    <col min="5390" max="5390" width="13.59765625" style="749" customWidth="1"/>
    <col min="5391" max="5399" width="11.59765625" style="749" customWidth="1"/>
    <col min="5400" max="5400" width="12.59765625" style="749" customWidth="1"/>
    <col min="5401" max="5401" width="11.59765625" style="749" customWidth="1"/>
    <col min="5402" max="5402" width="12.59765625" style="749" customWidth="1"/>
    <col min="5403" max="5403" width="13.59765625" style="749" customWidth="1"/>
    <col min="5404" max="5632" width="9" style="749"/>
    <col min="5633" max="5633" width="45.59765625" style="749" customWidth="1"/>
    <col min="5634" max="5634" width="11.59765625" style="749" customWidth="1"/>
    <col min="5635" max="5637" width="11.69921875" style="749" customWidth="1"/>
    <col min="5638" max="5642" width="11.59765625" style="749" customWidth="1"/>
    <col min="5643" max="5643" width="13.69921875" style="749" customWidth="1"/>
    <col min="5644" max="5644" width="11.59765625" style="749" customWidth="1"/>
    <col min="5645" max="5645" width="12.59765625" style="749" customWidth="1"/>
    <col min="5646" max="5646" width="13.59765625" style="749" customWidth="1"/>
    <col min="5647" max="5655" width="11.59765625" style="749" customWidth="1"/>
    <col min="5656" max="5656" width="12.59765625" style="749" customWidth="1"/>
    <col min="5657" max="5657" width="11.59765625" style="749" customWidth="1"/>
    <col min="5658" max="5658" width="12.59765625" style="749" customWidth="1"/>
    <col min="5659" max="5659" width="13.59765625" style="749" customWidth="1"/>
    <col min="5660" max="5888" width="9" style="749"/>
    <col min="5889" max="5889" width="45.59765625" style="749" customWidth="1"/>
    <col min="5890" max="5890" width="11.59765625" style="749" customWidth="1"/>
    <col min="5891" max="5893" width="11.69921875" style="749" customWidth="1"/>
    <col min="5894" max="5898" width="11.59765625" style="749" customWidth="1"/>
    <col min="5899" max="5899" width="13.69921875" style="749" customWidth="1"/>
    <col min="5900" max="5900" width="11.59765625" style="749" customWidth="1"/>
    <col min="5901" max="5901" width="12.59765625" style="749" customWidth="1"/>
    <col min="5902" max="5902" width="13.59765625" style="749" customWidth="1"/>
    <col min="5903" max="5911" width="11.59765625" style="749" customWidth="1"/>
    <col min="5912" max="5912" width="12.59765625" style="749" customWidth="1"/>
    <col min="5913" max="5913" width="11.59765625" style="749" customWidth="1"/>
    <col min="5914" max="5914" width="12.59765625" style="749" customWidth="1"/>
    <col min="5915" max="5915" width="13.59765625" style="749" customWidth="1"/>
    <col min="5916" max="6144" width="9" style="749"/>
    <col min="6145" max="6145" width="45.59765625" style="749" customWidth="1"/>
    <col min="6146" max="6146" width="11.59765625" style="749" customWidth="1"/>
    <col min="6147" max="6149" width="11.69921875" style="749" customWidth="1"/>
    <col min="6150" max="6154" width="11.59765625" style="749" customWidth="1"/>
    <col min="6155" max="6155" width="13.69921875" style="749" customWidth="1"/>
    <col min="6156" max="6156" width="11.59765625" style="749" customWidth="1"/>
    <col min="6157" max="6157" width="12.59765625" style="749" customWidth="1"/>
    <col min="6158" max="6158" width="13.59765625" style="749" customWidth="1"/>
    <col min="6159" max="6167" width="11.59765625" style="749" customWidth="1"/>
    <col min="6168" max="6168" width="12.59765625" style="749" customWidth="1"/>
    <col min="6169" max="6169" width="11.59765625" style="749" customWidth="1"/>
    <col min="6170" max="6170" width="12.59765625" style="749" customWidth="1"/>
    <col min="6171" max="6171" width="13.59765625" style="749" customWidth="1"/>
    <col min="6172" max="6400" width="9" style="749"/>
    <col min="6401" max="6401" width="45.59765625" style="749" customWidth="1"/>
    <col min="6402" max="6402" width="11.59765625" style="749" customWidth="1"/>
    <col min="6403" max="6405" width="11.69921875" style="749" customWidth="1"/>
    <col min="6406" max="6410" width="11.59765625" style="749" customWidth="1"/>
    <col min="6411" max="6411" width="13.69921875" style="749" customWidth="1"/>
    <col min="6412" max="6412" width="11.59765625" style="749" customWidth="1"/>
    <col min="6413" max="6413" width="12.59765625" style="749" customWidth="1"/>
    <col min="6414" max="6414" width="13.59765625" style="749" customWidth="1"/>
    <col min="6415" max="6423" width="11.59765625" style="749" customWidth="1"/>
    <col min="6424" max="6424" width="12.59765625" style="749" customWidth="1"/>
    <col min="6425" max="6425" width="11.59765625" style="749" customWidth="1"/>
    <col min="6426" max="6426" width="12.59765625" style="749" customWidth="1"/>
    <col min="6427" max="6427" width="13.59765625" style="749" customWidth="1"/>
    <col min="6428" max="6656" width="9" style="749"/>
    <col min="6657" max="6657" width="45.59765625" style="749" customWidth="1"/>
    <col min="6658" max="6658" width="11.59765625" style="749" customWidth="1"/>
    <col min="6659" max="6661" width="11.69921875" style="749" customWidth="1"/>
    <col min="6662" max="6666" width="11.59765625" style="749" customWidth="1"/>
    <col min="6667" max="6667" width="13.69921875" style="749" customWidth="1"/>
    <col min="6668" max="6668" width="11.59765625" style="749" customWidth="1"/>
    <col min="6669" max="6669" width="12.59765625" style="749" customWidth="1"/>
    <col min="6670" max="6670" width="13.59765625" style="749" customWidth="1"/>
    <col min="6671" max="6679" width="11.59765625" style="749" customWidth="1"/>
    <col min="6680" max="6680" width="12.59765625" style="749" customWidth="1"/>
    <col min="6681" max="6681" width="11.59765625" style="749" customWidth="1"/>
    <col min="6682" max="6682" width="12.59765625" style="749" customWidth="1"/>
    <col min="6683" max="6683" width="13.59765625" style="749" customWidth="1"/>
    <col min="6684" max="6912" width="9" style="749"/>
    <col min="6913" max="6913" width="45.59765625" style="749" customWidth="1"/>
    <col min="6914" max="6914" width="11.59765625" style="749" customWidth="1"/>
    <col min="6915" max="6917" width="11.69921875" style="749" customWidth="1"/>
    <col min="6918" max="6922" width="11.59765625" style="749" customWidth="1"/>
    <col min="6923" max="6923" width="13.69921875" style="749" customWidth="1"/>
    <col min="6924" max="6924" width="11.59765625" style="749" customWidth="1"/>
    <col min="6925" max="6925" width="12.59765625" style="749" customWidth="1"/>
    <col min="6926" max="6926" width="13.59765625" style="749" customWidth="1"/>
    <col min="6927" max="6935" width="11.59765625" style="749" customWidth="1"/>
    <col min="6936" max="6936" width="12.59765625" style="749" customWidth="1"/>
    <col min="6937" max="6937" width="11.59765625" style="749" customWidth="1"/>
    <col min="6938" max="6938" width="12.59765625" style="749" customWidth="1"/>
    <col min="6939" max="6939" width="13.59765625" style="749" customWidth="1"/>
    <col min="6940" max="7168" width="9" style="749"/>
    <col min="7169" max="7169" width="45.59765625" style="749" customWidth="1"/>
    <col min="7170" max="7170" width="11.59765625" style="749" customWidth="1"/>
    <col min="7171" max="7173" width="11.69921875" style="749" customWidth="1"/>
    <col min="7174" max="7178" width="11.59765625" style="749" customWidth="1"/>
    <col min="7179" max="7179" width="13.69921875" style="749" customWidth="1"/>
    <col min="7180" max="7180" width="11.59765625" style="749" customWidth="1"/>
    <col min="7181" max="7181" width="12.59765625" style="749" customWidth="1"/>
    <col min="7182" max="7182" width="13.59765625" style="749" customWidth="1"/>
    <col min="7183" max="7191" width="11.59765625" style="749" customWidth="1"/>
    <col min="7192" max="7192" width="12.59765625" style="749" customWidth="1"/>
    <col min="7193" max="7193" width="11.59765625" style="749" customWidth="1"/>
    <col min="7194" max="7194" width="12.59765625" style="749" customWidth="1"/>
    <col min="7195" max="7195" width="13.59765625" style="749" customWidth="1"/>
    <col min="7196" max="7424" width="9" style="749"/>
    <col min="7425" max="7425" width="45.59765625" style="749" customWidth="1"/>
    <col min="7426" max="7426" width="11.59765625" style="749" customWidth="1"/>
    <col min="7427" max="7429" width="11.69921875" style="749" customWidth="1"/>
    <col min="7430" max="7434" width="11.59765625" style="749" customWidth="1"/>
    <col min="7435" max="7435" width="13.69921875" style="749" customWidth="1"/>
    <col min="7436" max="7436" width="11.59765625" style="749" customWidth="1"/>
    <col min="7437" max="7437" width="12.59765625" style="749" customWidth="1"/>
    <col min="7438" max="7438" width="13.59765625" style="749" customWidth="1"/>
    <col min="7439" max="7447" width="11.59765625" style="749" customWidth="1"/>
    <col min="7448" max="7448" width="12.59765625" style="749" customWidth="1"/>
    <col min="7449" max="7449" width="11.59765625" style="749" customWidth="1"/>
    <col min="7450" max="7450" width="12.59765625" style="749" customWidth="1"/>
    <col min="7451" max="7451" width="13.59765625" style="749" customWidth="1"/>
    <col min="7452" max="7680" width="9" style="749"/>
    <col min="7681" max="7681" width="45.59765625" style="749" customWidth="1"/>
    <col min="7682" max="7682" width="11.59765625" style="749" customWidth="1"/>
    <col min="7683" max="7685" width="11.69921875" style="749" customWidth="1"/>
    <col min="7686" max="7690" width="11.59765625" style="749" customWidth="1"/>
    <col min="7691" max="7691" width="13.69921875" style="749" customWidth="1"/>
    <col min="7692" max="7692" width="11.59765625" style="749" customWidth="1"/>
    <col min="7693" max="7693" width="12.59765625" style="749" customWidth="1"/>
    <col min="7694" max="7694" width="13.59765625" style="749" customWidth="1"/>
    <col min="7695" max="7703" width="11.59765625" style="749" customWidth="1"/>
    <col min="7704" max="7704" width="12.59765625" style="749" customWidth="1"/>
    <col min="7705" max="7705" width="11.59765625" style="749" customWidth="1"/>
    <col min="7706" max="7706" width="12.59765625" style="749" customWidth="1"/>
    <col min="7707" max="7707" width="13.59765625" style="749" customWidth="1"/>
    <col min="7708" max="7936" width="9" style="749"/>
    <col min="7937" max="7937" width="45.59765625" style="749" customWidth="1"/>
    <col min="7938" max="7938" width="11.59765625" style="749" customWidth="1"/>
    <col min="7939" max="7941" width="11.69921875" style="749" customWidth="1"/>
    <col min="7942" max="7946" width="11.59765625" style="749" customWidth="1"/>
    <col min="7947" max="7947" width="13.69921875" style="749" customWidth="1"/>
    <col min="7948" max="7948" width="11.59765625" style="749" customWidth="1"/>
    <col min="7949" max="7949" width="12.59765625" style="749" customWidth="1"/>
    <col min="7950" max="7950" width="13.59765625" style="749" customWidth="1"/>
    <col min="7951" max="7959" width="11.59765625" style="749" customWidth="1"/>
    <col min="7960" max="7960" width="12.59765625" style="749" customWidth="1"/>
    <col min="7961" max="7961" width="11.59765625" style="749" customWidth="1"/>
    <col min="7962" max="7962" width="12.59765625" style="749" customWidth="1"/>
    <col min="7963" max="7963" width="13.59765625" style="749" customWidth="1"/>
    <col min="7964" max="8192" width="9" style="749"/>
    <col min="8193" max="8193" width="45.59765625" style="749" customWidth="1"/>
    <col min="8194" max="8194" width="11.59765625" style="749" customWidth="1"/>
    <col min="8195" max="8197" width="11.69921875" style="749" customWidth="1"/>
    <col min="8198" max="8202" width="11.59765625" style="749" customWidth="1"/>
    <col min="8203" max="8203" width="13.69921875" style="749" customWidth="1"/>
    <col min="8204" max="8204" width="11.59765625" style="749" customWidth="1"/>
    <col min="8205" max="8205" width="12.59765625" style="749" customWidth="1"/>
    <col min="8206" max="8206" width="13.59765625" style="749" customWidth="1"/>
    <col min="8207" max="8215" width="11.59765625" style="749" customWidth="1"/>
    <col min="8216" max="8216" width="12.59765625" style="749" customWidth="1"/>
    <col min="8217" max="8217" width="11.59765625" style="749" customWidth="1"/>
    <col min="8218" max="8218" width="12.59765625" style="749" customWidth="1"/>
    <col min="8219" max="8219" width="13.59765625" style="749" customWidth="1"/>
    <col min="8220" max="8448" width="9" style="749"/>
    <col min="8449" max="8449" width="45.59765625" style="749" customWidth="1"/>
    <col min="8450" max="8450" width="11.59765625" style="749" customWidth="1"/>
    <col min="8451" max="8453" width="11.69921875" style="749" customWidth="1"/>
    <col min="8454" max="8458" width="11.59765625" style="749" customWidth="1"/>
    <col min="8459" max="8459" width="13.69921875" style="749" customWidth="1"/>
    <col min="8460" max="8460" width="11.59765625" style="749" customWidth="1"/>
    <col min="8461" max="8461" width="12.59765625" style="749" customWidth="1"/>
    <col min="8462" max="8462" width="13.59765625" style="749" customWidth="1"/>
    <col min="8463" max="8471" width="11.59765625" style="749" customWidth="1"/>
    <col min="8472" max="8472" width="12.59765625" style="749" customWidth="1"/>
    <col min="8473" max="8473" width="11.59765625" style="749" customWidth="1"/>
    <col min="8474" max="8474" width="12.59765625" style="749" customWidth="1"/>
    <col min="8475" max="8475" width="13.59765625" style="749" customWidth="1"/>
    <col min="8476" max="8704" width="9" style="749"/>
    <col min="8705" max="8705" width="45.59765625" style="749" customWidth="1"/>
    <col min="8706" max="8706" width="11.59765625" style="749" customWidth="1"/>
    <col min="8707" max="8709" width="11.69921875" style="749" customWidth="1"/>
    <col min="8710" max="8714" width="11.59765625" style="749" customWidth="1"/>
    <col min="8715" max="8715" width="13.69921875" style="749" customWidth="1"/>
    <col min="8716" max="8716" width="11.59765625" style="749" customWidth="1"/>
    <col min="8717" max="8717" width="12.59765625" style="749" customWidth="1"/>
    <col min="8718" max="8718" width="13.59765625" style="749" customWidth="1"/>
    <col min="8719" max="8727" width="11.59765625" style="749" customWidth="1"/>
    <col min="8728" max="8728" width="12.59765625" style="749" customWidth="1"/>
    <col min="8729" max="8729" width="11.59765625" style="749" customWidth="1"/>
    <col min="8730" max="8730" width="12.59765625" style="749" customWidth="1"/>
    <col min="8731" max="8731" width="13.59765625" style="749" customWidth="1"/>
    <col min="8732" max="8960" width="9" style="749"/>
    <col min="8961" max="8961" width="45.59765625" style="749" customWidth="1"/>
    <col min="8962" max="8962" width="11.59765625" style="749" customWidth="1"/>
    <col min="8963" max="8965" width="11.69921875" style="749" customWidth="1"/>
    <col min="8966" max="8970" width="11.59765625" style="749" customWidth="1"/>
    <col min="8971" max="8971" width="13.69921875" style="749" customWidth="1"/>
    <col min="8972" max="8972" width="11.59765625" style="749" customWidth="1"/>
    <col min="8973" max="8973" width="12.59765625" style="749" customWidth="1"/>
    <col min="8974" max="8974" width="13.59765625" style="749" customWidth="1"/>
    <col min="8975" max="8983" width="11.59765625" style="749" customWidth="1"/>
    <col min="8984" max="8984" width="12.59765625" style="749" customWidth="1"/>
    <col min="8985" max="8985" width="11.59765625" style="749" customWidth="1"/>
    <col min="8986" max="8986" width="12.59765625" style="749" customWidth="1"/>
    <col min="8987" max="8987" width="13.59765625" style="749" customWidth="1"/>
    <col min="8988" max="9216" width="9" style="749"/>
    <col min="9217" max="9217" width="45.59765625" style="749" customWidth="1"/>
    <col min="9218" max="9218" width="11.59765625" style="749" customWidth="1"/>
    <col min="9219" max="9221" width="11.69921875" style="749" customWidth="1"/>
    <col min="9222" max="9226" width="11.59765625" style="749" customWidth="1"/>
    <col min="9227" max="9227" width="13.69921875" style="749" customWidth="1"/>
    <col min="9228" max="9228" width="11.59765625" style="749" customWidth="1"/>
    <col min="9229" max="9229" width="12.59765625" style="749" customWidth="1"/>
    <col min="9230" max="9230" width="13.59765625" style="749" customWidth="1"/>
    <col min="9231" max="9239" width="11.59765625" style="749" customWidth="1"/>
    <col min="9240" max="9240" width="12.59765625" style="749" customWidth="1"/>
    <col min="9241" max="9241" width="11.59765625" style="749" customWidth="1"/>
    <col min="9242" max="9242" width="12.59765625" style="749" customWidth="1"/>
    <col min="9243" max="9243" width="13.59765625" style="749" customWidth="1"/>
    <col min="9244" max="9472" width="9" style="749"/>
    <col min="9473" max="9473" width="45.59765625" style="749" customWidth="1"/>
    <col min="9474" max="9474" width="11.59765625" style="749" customWidth="1"/>
    <col min="9475" max="9477" width="11.69921875" style="749" customWidth="1"/>
    <col min="9478" max="9482" width="11.59765625" style="749" customWidth="1"/>
    <col min="9483" max="9483" width="13.69921875" style="749" customWidth="1"/>
    <col min="9484" max="9484" width="11.59765625" style="749" customWidth="1"/>
    <col min="9485" max="9485" width="12.59765625" style="749" customWidth="1"/>
    <col min="9486" max="9486" width="13.59765625" style="749" customWidth="1"/>
    <col min="9487" max="9495" width="11.59765625" style="749" customWidth="1"/>
    <col min="9496" max="9496" width="12.59765625" style="749" customWidth="1"/>
    <col min="9497" max="9497" width="11.59765625" style="749" customWidth="1"/>
    <col min="9498" max="9498" width="12.59765625" style="749" customWidth="1"/>
    <col min="9499" max="9499" width="13.59765625" style="749" customWidth="1"/>
    <col min="9500" max="9728" width="9" style="749"/>
    <col min="9729" max="9729" width="45.59765625" style="749" customWidth="1"/>
    <col min="9730" max="9730" width="11.59765625" style="749" customWidth="1"/>
    <col min="9731" max="9733" width="11.69921875" style="749" customWidth="1"/>
    <col min="9734" max="9738" width="11.59765625" style="749" customWidth="1"/>
    <col min="9739" max="9739" width="13.69921875" style="749" customWidth="1"/>
    <col min="9740" max="9740" width="11.59765625" style="749" customWidth="1"/>
    <col min="9741" max="9741" width="12.59765625" style="749" customWidth="1"/>
    <col min="9742" max="9742" width="13.59765625" style="749" customWidth="1"/>
    <col min="9743" max="9751" width="11.59765625" style="749" customWidth="1"/>
    <col min="9752" max="9752" width="12.59765625" style="749" customWidth="1"/>
    <col min="9753" max="9753" width="11.59765625" style="749" customWidth="1"/>
    <col min="9754" max="9754" width="12.59765625" style="749" customWidth="1"/>
    <col min="9755" max="9755" width="13.59765625" style="749" customWidth="1"/>
    <col min="9756" max="9984" width="9" style="749"/>
    <col min="9985" max="9985" width="45.59765625" style="749" customWidth="1"/>
    <col min="9986" max="9986" width="11.59765625" style="749" customWidth="1"/>
    <col min="9987" max="9989" width="11.69921875" style="749" customWidth="1"/>
    <col min="9990" max="9994" width="11.59765625" style="749" customWidth="1"/>
    <col min="9995" max="9995" width="13.69921875" style="749" customWidth="1"/>
    <col min="9996" max="9996" width="11.59765625" style="749" customWidth="1"/>
    <col min="9997" max="9997" width="12.59765625" style="749" customWidth="1"/>
    <col min="9998" max="9998" width="13.59765625" style="749" customWidth="1"/>
    <col min="9999" max="10007" width="11.59765625" style="749" customWidth="1"/>
    <col min="10008" max="10008" width="12.59765625" style="749" customWidth="1"/>
    <col min="10009" max="10009" width="11.59765625" style="749" customWidth="1"/>
    <col min="10010" max="10010" width="12.59765625" style="749" customWidth="1"/>
    <col min="10011" max="10011" width="13.59765625" style="749" customWidth="1"/>
    <col min="10012" max="10240" width="9" style="749"/>
    <col min="10241" max="10241" width="45.59765625" style="749" customWidth="1"/>
    <col min="10242" max="10242" width="11.59765625" style="749" customWidth="1"/>
    <col min="10243" max="10245" width="11.69921875" style="749" customWidth="1"/>
    <col min="10246" max="10250" width="11.59765625" style="749" customWidth="1"/>
    <col min="10251" max="10251" width="13.69921875" style="749" customWidth="1"/>
    <col min="10252" max="10252" width="11.59765625" style="749" customWidth="1"/>
    <col min="10253" max="10253" width="12.59765625" style="749" customWidth="1"/>
    <col min="10254" max="10254" width="13.59765625" style="749" customWidth="1"/>
    <col min="10255" max="10263" width="11.59765625" style="749" customWidth="1"/>
    <col min="10264" max="10264" width="12.59765625" style="749" customWidth="1"/>
    <col min="10265" max="10265" width="11.59765625" style="749" customWidth="1"/>
    <col min="10266" max="10266" width="12.59765625" style="749" customWidth="1"/>
    <col min="10267" max="10267" width="13.59765625" style="749" customWidth="1"/>
    <col min="10268" max="10496" width="9" style="749"/>
    <col min="10497" max="10497" width="45.59765625" style="749" customWidth="1"/>
    <col min="10498" max="10498" width="11.59765625" style="749" customWidth="1"/>
    <col min="10499" max="10501" width="11.69921875" style="749" customWidth="1"/>
    <col min="10502" max="10506" width="11.59765625" style="749" customWidth="1"/>
    <col min="10507" max="10507" width="13.69921875" style="749" customWidth="1"/>
    <col min="10508" max="10508" width="11.59765625" style="749" customWidth="1"/>
    <col min="10509" max="10509" width="12.59765625" style="749" customWidth="1"/>
    <col min="10510" max="10510" width="13.59765625" style="749" customWidth="1"/>
    <col min="10511" max="10519" width="11.59765625" style="749" customWidth="1"/>
    <col min="10520" max="10520" width="12.59765625" style="749" customWidth="1"/>
    <col min="10521" max="10521" width="11.59765625" style="749" customWidth="1"/>
    <col min="10522" max="10522" width="12.59765625" style="749" customWidth="1"/>
    <col min="10523" max="10523" width="13.59765625" style="749" customWidth="1"/>
    <col min="10524" max="10752" width="9" style="749"/>
    <col min="10753" max="10753" width="45.59765625" style="749" customWidth="1"/>
    <col min="10754" max="10754" width="11.59765625" style="749" customWidth="1"/>
    <col min="10755" max="10757" width="11.69921875" style="749" customWidth="1"/>
    <col min="10758" max="10762" width="11.59765625" style="749" customWidth="1"/>
    <col min="10763" max="10763" width="13.69921875" style="749" customWidth="1"/>
    <col min="10764" max="10764" width="11.59765625" style="749" customWidth="1"/>
    <col min="10765" max="10765" width="12.59765625" style="749" customWidth="1"/>
    <col min="10766" max="10766" width="13.59765625" style="749" customWidth="1"/>
    <col min="10767" max="10775" width="11.59765625" style="749" customWidth="1"/>
    <col min="10776" max="10776" width="12.59765625" style="749" customWidth="1"/>
    <col min="10777" max="10777" width="11.59765625" style="749" customWidth="1"/>
    <col min="10778" max="10778" width="12.59765625" style="749" customWidth="1"/>
    <col min="10779" max="10779" width="13.59765625" style="749" customWidth="1"/>
    <col min="10780" max="11008" width="9" style="749"/>
    <col min="11009" max="11009" width="45.59765625" style="749" customWidth="1"/>
    <col min="11010" max="11010" width="11.59765625" style="749" customWidth="1"/>
    <col min="11011" max="11013" width="11.69921875" style="749" customWidth="1"/>
    <col min="11014" max="11018" width="11.59765625" style="749" customWidth="1"/>
    <col min="11019" max="11019" width="13.69921875" style="749" customWidth="1"/>
    <col min="11020" max="11020" width="11.59765625" style="749" customWidth="1"/>
    <col min="11021" max="11021" width="12.59765625" style="749" customWidth="1"/>
    <col min="11022" max="11022" width="13.59765625" style="749" customWidth="1"/>
    <col min="11023" max="11031" width="11.59765625" style="749" customWidth="1"/>
    <col min="11032" max="11032" width="12.59765625" style="749" customWidth="1"/>
    <col min="11033" max="11033" width="11.59765625" style="749" customWidth="1"/>
    <col min="11034" max="11034" width="12.59765625" style="749" customWidth="1"/>
    <col min="11035" max="11035" width="13.59765625" style="749" customWidth="1"/>
    <col min="11036" max="11264" width="9" style="749"/>
    <col min="11265" max="11265" width="45.59765625" style="749" customWidth="1"/>
    <col min="11266" max="11266" width="11.59765625" style="749" customWidth="1"/>
    <col min="11267" max="11269" width="11.69921875" style="749" customWidth="1"/>
    <col min="11270" max="11274" width="11.59765625" style="749" customWidth="1"/>
    <col min="11275" max="11275" width="13.69921875" style="749" customWidth="1"/>
    <col min="11276" max="11276" width="11.59765625" style="749" customWidth="1"/>
    <col min="11277" max="11277" width="12.59765625" style="749" customWidth="1"/>
    <col min="11278" max="11278" width="13.59765625" style="749" customWidth="1"/>
    <col min="11279" max="11287" width="11.59765625" style="749" customWidth="1"/>
    <col min="11288" max="11288" width="12.59765625" style="749" customWidth="1"/>
    <col min="11289" max="11289" width="11.59765625" style="749" customWidth="1"/>
    <col min="11290" max="11290" width="12.59765625" style="749" customWidth="1"/>
    <col min="11291" max="11291" width="13.59765625" style="749" customWidth="1"/>
    <col min="11292" max="11520" width="9" style="749"/>
    <col min="11521" max="11521" width="45.59765625" style="749" customWidth="1"/>
    <col min="11522" max="11522" width="11.59765625" style="749" customWidth="1"/>
    <col min="11523" max="11525" width="11.69921875" style="749" customWidth="1"/>
    <col min="11526" max="11530" width="11.59765625" style="749" customWidth="1"/>
    <col min="11531" max="11531" width="13.69921875" style="749" customWidth="1"/>
    <col min="11532" max="11532" width="11.59765625" style="749" customWidth="1"/>
    <col min="11533" max="11533" width="12.59765625" style="749" customWidth="1"/>
    <col min="11534" max="11534" width="13.59765625" style="749" customWidth="1"/>
    <col min="11535" max="11543" width="11.59765625" style="749" customWidth="1"/>
    <col min="11544" max="11544" width="12.59765625" style="749" customWidth="1"/>
    <col min="11545" max="11545" width="11.59765625" style="749" customWidth="1"/>
    <col min="11546" max="11546" width="12.59765625" style="749" customWidth="1"/>
    <col min="11547" max="11547" width="13.59765625" style="749" customWidth="1"/>
    <col min="11548" max="11776" width="9" style="749"/>
    <col min="11777" max="11777" width="45.59765625" style="749" customWidth="1"/>
    <col min="11778" max="11778" width="11.59765625" style="749" customWidth="1"/>
    <col min="11779" max="11781" width="11.69921875" style="749" customWidth="1"/>
    <col min="11782" max="11786" width="11.59765625" style="749" customWidth="1"/>
    <col min="11787" max="11787" width="13.69921875" style="749" customWidth="1"/>
    <col min="11788" max="11788" width="11.59765625" style="749" customWidth="1"/>
    <col min="11789" max="11789" width="12.59765625" style="749" customWidth="1"/>
    <col min="11790" max="11790" width="13.59765625" style="749" customWidth="1"/>
    <col min="11791" max="11799" width="11.59765625" style="749" customWidth="1"/>
    <col min="11800" max="11800" width="12.59765625" style="749" customWidth="1"/>
    <col min="11801" max="11801" width="11.59765625" style="749" customWidth="1"/>
    <col min="11802" max="11802" width="12.59765625" style="749" customWidth="1"/>
    <col min="11803" max="11803" width="13.59765625" style="749" customWidth="1"/>
    <col min="11804" max="12032" width="9" style="749"/>
    <col min="12033" max="12033" width="45.59765625" style="749" customWidth="1"/>
    <col min="12034" max="12034" width="11.59765625" style="749" customWidth="1"/>
    <col min="12035" max="12037" width="11.69921875" style="749" customWidth="1"/>
    <col min="12038" max="12042" width="11.59765625" style="749" customWidth="1"/>
    <col min="12043" max="12043" width="13.69921875" style="749" customWidth="1"/>
    <col min="12044" max="12044" width="11.59765625" style="749" customWidth="1"/>
    <col min="12045" max="12045" width="12.59765625" style="749" customWidth="1"/>
    <col min="12046" max="12046" width="13.59765625" style="749" customWidth="1"/>
    <col min="12047" max="12055" width="11.59765625" style="749" customWidth="1"/>
    <col min="12056" max="12056" width="12.59765625" style="749" customWidth="1"/>
    <col min="12057" max="12057" width="11.59765625" style="749" customWidth="1"/>
    <col min="12058" max="12058" width="12.59765625" style="749" customWidth="1"/>
    <col min="12059" max="12059" width="13.59765625" style="749" customWidth="1"/>
    <col min="12060" max="12288" width="9" style="749"/>
    <col min="12289" max="12289" width="45.59765625" style="749" customWidth="1"/>
    <col min="12290" max="12290" width="11.59765625" style="749" customWidth="1"/>
    <col min="12291" max="12293" width="11.69921875" style="749" customWidth="1"/>
    <col min="12294" max="12298" width="11.59765625" style="749" customWidth="1"/>
    <col min="12299" max="12299" width="13.69921875" style="749" customWidth="1"/>
    <col min="12300" max="12300" width="11.59765625" style="749" customWidth="1"/>
    <col min="12301" max="12301" width="12.59765625" style="749" customWidth="1"/>
    <col min="12302" max="12302" width="13.59765625" style="749" customWidth="1"/>
    <col min="12303" max="12311" width="11.59765625" style="749" customWidth="1"/>
    <col min="12312" max="12312" width="12.59765625" style="749" customWidth="1"/>
    <col min="12313" max="12313" width="11.59765625" style="749" customWidth="1"/>
    <col min="12314" max="12314" width="12.59765625" style="749" customWidth="1"/>
    <col min="12315" max="12315" width="13.59765625" style="749" customWidth="1"/>
    <col min="12316" max="12544" width="9" style="749"/>
    <col min="12545" max="12545" width="45.59765625" style="749" customWidth="1"/>
    <col min="12546" max="12546" width="11.59765625" style="749" customWidth="1"/>
    <col min="12547" max="12549" width="11.69921875" style="749" customWidth="1"/>
    <col min="12550" max="12554" width="11.59765625" style="749" customWidth="1"/>
    <col min="12555" max="12555" width="13.69921875" style="749" customWidth="1"/>
    <col min="12556" max="12556" width="11.59765625" style="749" customWidth="1"/>
    <col min="12557" max="12557" width="12.59765625" style="749" customWidth="1"/>
    <col min="12558" max="12558" width="13.59765625" style="749" customWidth="1"/>
    <col min="12559" max="12567" width="11.59765625" style="749" customWidth="1"/>
    <col min="12568" max="12568" width="12.59765625" style="749" customWidth="1"/>
    <col min="12569" max="12569" width="11.59765625" style="749" customWidth="1"/>
    <col min="12570" max="12570" width="12.59765625" style="749" customWidth="1"/>
    <col min="12571" max="12571" width="13.59765625" style="749" customWidth="1"/>
    <col min="12572" max="12800" width="9" style="749"/>
    <col min="12801" max="12801" width="45.59765625" style="749" customWidth="1"/>
    <col min="12802" max="12802" width="11.59765625" style="749" customWidth="1"/>
    <col min="12803" max="12805" width="11.69921875" style="749" customWidth="1"/>
    <col min="12806" max="12810" width="11.59765625" style="749" customWidth="1"/>
    <col min="12811" max="12811" width="13.69921875" style="749" customWidth="1"/>
    <col min="12812" max="12812" width="11.59765625" style="749" customWidth="1"/>
    <col min="12813" max="12813" width="12.59765625" style="749" customWidth="1"/>
    <col min="12814" max="12814" width="13.59765625" style="749" customWidth="1"/>
    <col min="12815" max="12823" width="11.59765625" style="749" customWidth="1"/>
    <col min="12824" max="12824" width="12.59765625" style="749" customWidth="1"/>
    <col min="12825" max="12825" width="11.59765625" style="749" customWidth="1"/>
    <col min="12826" max="12826" width="12.59765625" style="749" customWidth="1"/>
    <col min="12827" max="12827" width="13.59765625" style="749" customWidth="1"/>
    <col min="12828" max="13056" width="9" style="749"/>
    <col min="13057" max="13057" width="45.59765625" style="749" customWidth="1"/>
    <col min="13058" max="13058" width="11.59765625" style="749" customWidth="1"/>
    <col min="13059" max="13061" width="11.69921875" style="749" customWidth="1"/>
    <col min="13062" max="13066" width="11.59765625" style="749" customWidth="1"/>
    <col min="13067" max="13067" width="13.69921875" style="749" customWidth="1"/>
    <col min="13068" max="13068" width="11.59765625" style="749" customWidth="1"/>
    <col min="13069" max="13069" width="12.59765625" style="749" customWidth="1"/>
    <col min="13070" max="13070" width="13.59765625" style="749" customWidth="1"/>
    <col min="13071" max="13079" width="11.59765625" style="749" customWidth="1"/>
    <col min="13080" max="13080" width="12.59765625" style="749" customWidth="1"/>
    <col min="13081" max="13081" width="11.59765625" style="749" customWidth="1"/>
    <col min="13082" max="13082" width="12.59765625" style="749" customWidth="1"/>
    <col min="13083" max="13083" width="13.59765625" style="749" customWidth="1"/>
    <col min="13084" max="13312" width="9" style="749"/>
    <col min="13313" max="13313" width="45.59765625" style="749" customWidth="1"/>
    <col min="13314" max="13314" width="11.59765625" style="749" customWidth="1"/>
    <col min="13315" max="13317" width="11.69921875" style="749" customWidth="1"/>
    <col min="13318" max="13322" width="11.59765625" style="749" customWidth="1"/>
    <col min="13323" max="13323" width="13.69921875" style="749" customWidth="1"/>
    <col min="13324" max="13324" width="11.59765625" style="749" customWidth="1"/>
    <col min="13325" max="13325" width="12.59765625" style="749" customWidth="1"/>
    <col min="13326" max="13326" width="13.59765625" style="749" customWidth="1"/>
    <col min="13327" max="13335" width="11.59765625" style="749" customWidth="1"/>
    <col min="13336" max="13336" width="12.59765625" style="749" customWidth="1"/>
    <col min="13337" max="13337" width="11.59765625" style="749" customWidth="1"/>
    <col min="13338" max="13338" width="12.59765625" style="749" customWidth="1"/>
    <col min="13339" max="13339" width="13.59765625" style="749" customWidth="1"/>
    <col min="13340" max="13568" width="9" style="749"/>
    <col min="13569" max="13569" width="45.59765625" style="749" customWidth="1"/>
    <col min="13570" max="13570" width="11.59765625" style="749" customWidth="1"/>
    <col min="13571" max="13573" width="11.69921875" style="749" customWidth="1"/>
    <col min="13574" max="13578" width="11.59765625" style="749" customWidth="1"/>
    <col min="13579" max="13579" width="13.69921875" style="749" customWidth="1"/>
    <col min="13580" max="13580" width="11.59765625" style="749" customWidth="1"/>
    <col min="13581" max="13581" width="12.59765625" style="749" customWidth="1"/>
    <col min="13582" max="13582" width="13.59765625" style="749" customWidth="1"/>
    <col min="13583" max="13591" width="11.59765625" style="749" customWidth="1"/>
    <col min="13592" max="13592" width="12.59765625" style="749" customWidth="1"/>
    <col min="13593" max="13593" width="11.59765625" style="749" customWidth="1"/>
    <col min="13594" max="13594" width="12.59765625" style="749" customWidth="1"/>
    <col min="13595" max="13595" width="13.59765625" style="749" customWidth="1"/>
    <col min="13596" max="13824" width="9" style="749"/>
    <col min="13825" max="13825" width="45.59765625" style="749" customWidth="1"/>
    <col min="13826" max="13826" width="11.59765625" style="749" customWidth="1"/>
    <col min="13827" max="13829" width="11.69921875" style="749" customWidth="1"/>
    <col min="13830" max="13834" width="11.59765625" style="749" customWidth="1"/>
    <col min="13835" max="13835" width="13.69921875" style="749" customWidth="1"/>
    <col min="13836" max="13836" width="11.59765625" style="749" customWidth="1"/>
    <col min="13837" max="13837" width="12.59765625" style="749" customWidth="1"/>
    <col min="13838" max="13838" width="13.59765625" style="749" customWidth="1"/>
    <col min="13839" max="13847" width="11.59765625" style="749" customWidth="1"/>
    <col min="13848" max="13848" width="12.59765625" style="749" customWidth="1"/>
    <col min="13849" max="13849" width="11.59765625" style="749" customWidth="1"/>
    <col min="13850" max="13850" width="12.59765625" style="749" customWidth="1"/>
    <col min="13851" max="13851" width="13.59765625" style="749" customWidth="1"/>
    <col min="13852" max="14080" width="9" style="749"/>
    <col min="14081" max="14081" width="45.59765625" style="749" customWidth="1"/>
    <col min="14082" max="14082" width="11.59765625" style="749" customWidth="1"/>
    <col min="14083" max="14085" width="11.69921875" style="749" customWidth="1"/>
    <col min="14086" max="14090" width="11.59765625" style="749" customWidth="1"/>
    <col min="14091" max="14091" width="13.69921875" style="749" customWidth="1"/>
    <col min="14092" max="14092" width="11.59765625" style="749" customWidth="1"/>
    <col min="14093" max="14093" width="12.59765625" style="749" customWidth="1"/>
    <col min="14094" max="14094" width="13.59765625" style="749" customWidth="1"/>
    <col min="14095" max="14103" width="11.59765625" style="749" customWidth="1"/>
    <col min="14104" max="14104" width="12.59765625" style="749" customWidth="1"/>
    <col min="14105" max="14105" width="11.59765625" style="749" customWidth="1"/>
    <col min="14106" max="14106" width="12.59765625" style="749" customWidth="1"/>
    <col min="14107" max="14107" width="13.59765625" style="749" customWidth="1"/>
    <col min="14108" max="14336" width="9" style="749"/>
    <col min="14337" max="14337" width="45.59765625" style="749" customWidth="1"/>
    <col min="14338" max="14338" width="11.59765625" style="749" customWidth="1"/>
    <col min="14339" max="14341" width="11.69921875" style="749" customWidth="1"/>
    <col min="14342" max="14346" width="11.59765625" style="749" customWidth="1"/>
    <col min="14347" max="14347" width="13.69921875" style="749" customWidth="1"/>
    <col min="14348" max="14348" width="11.59765625" style="749" customWidth="1"/>
    <col min="14349" max="14349" width="12.59765625" style="749" customWidth="1"/>
    <col min="14350" max="14350" width="13.59765625" style="749" customWidth="1"/>
    <col min="14351" max="14359" width="11.59765625" style="749" customWidth="1"/>
    <col min="14360" max="14360" width="12.59765625" style="749" customWidth="1"/>
    <col min="14361" max="14361" width="11.59765625" style="749" customWidth="1"/>
    <col min="14362" max="14362" width="12.59765625" style="749" customWidth="1"/>
    <col min="14363" max="14363" width="13.59765625" style="749" customWidth="1"/>
    <col min="14364" max="14592" width="9" style="749"/>
    <col min="14593" max="14593" width="45.59765625" style="749" customWidth="1"/>
    <col min="14594" max="14594" width="11.59765625" style="749" customWidth="1"/>
    <col min="14595" max="14597" width="11.69921875" style="749" customWidth="1"/>
    <col min="14598" max="14602" width="11.59765625" style="749" customWidth="1"/>
    <col min="14603" max="14603" width="13.69921875" style="749" customWidth="1"/>
    <col min="14604" max="14604" width="11.59765625" style="749" customWidth="1"/>
    <col min="14605" max="14605" width="12.59765625" style="749" customWidth="1"/>
    <col min="14606" max="14606" width="13.59765625" style="749" customWidth="1"/>
    <col min="14607" max="14615" width="11.59765625" style="749" customWidth="1"/>
    <col min="14616" max="14616" width="12.59765625" style="749" customWidth="1"/>
    <col min="14617" max="14617" width="11.59765625" style="749" customWidth="1"/>
    <col min="14618" max="14618" width="12.59765625" style="749" customWidth="1"/>
    <col min="14619" max="14619" width="13.59765625" style="749" customWidth="1"/>
    <col min="14620" max="14848" width="9" style="749"/>
    <col min="14849" max="14849" width="45.59765625" style="749" customWidth="1"/>
    <col min="14850" max="14850" width="11.59765625" style="749" customWidth="1"/>
    <col min="14851" max="14853" width="11.69921875" style="749" customWidth="1"/>
    <col min="14854" max="14858" width="11.59765625" style="749" customWidth="1"/>
    <col min="14859" max="14859" width="13.69921875" style="749" customWidth="1"/>
    <col min="14860" max="14860" width="11.59765625" style="749" customWidth="1"/>
    <col min="14861" max="14861" width="12.59765625" style="749" customWidth="1"/>
    <col min="14862" max="14862" width="13.59765625" style="749" customWidth="1"/>
    <col min="14863" max="14871" width="11.59765625" style="749" customWidth="1"/>
    <col min="14872" max="14872" width="12.59765625" style="749" customWidth="1"/>
    <col min="14873" max="14873" width="11.59765625" style="749" customWidth="1"/>
    <col min="14874" max="14874" width="12.59765625" style="749" customWidth="1"/>
    <col min="14875" max="14875" width="13.59765625" style="749" customWidth="1"/>
    <col min="14876" max="15104" width="9" style="749"/>
    <col min="15105" max="15105" width="45.59765625" style="749" customWidth="1"/>
    <col min="15106" max="15106" width="11.59765625" style="749" customWidth="1"/>
    <col min="15107" max="15109" width="11.69921875" style="749" customWidth="1"/>
    <col min="15110" max="15114" width="11.59765625" style="749" customWidth="1"/>
    <col min="15115" max="15115" width="13.69921875" style="749" customWidth="1"/>
    <col min="15116" max="15116" width="11.59765625" style="749" customWidth="1"/>
    <col min="15117" max="15117" width="12.59765625" style="749" customWidth="1"/>
    <col min="15118" max="15118" width="13.59765625" style="749" customWidth="1"/>
    <col min="15119" max="15127" width="11.59765625" style="749" customWidth="1"/>
    <col min="15128" max="15128" width="12.59765625" style="749" customWidth="1"/>
    <col min="15129" max="15129" width="11.59765625" style="749" customWidth="1"/>
    <col min="15130" max="15130" width="12.59765625" style="749" customWidth="1"/>
    <col min="15131" max="15131" width="13.59765625" style="749" customWidth="1"/>
    <col min="15132" max="15360" width="9" style="749"/>
    <col min="15361" max="15361" width="45.59765625" style="749" customWidth="1"/>
    <col min="15362" max="15362" width="11.59765625" style="749" customWidth="1"/>
    <col min="15363" max="15365" width="11.69921875" style="749" customWidth="1"/>
    <col min="15366" max="15370" width="11.59765625" style="749" customWidth="1"/>
    <col min="15371" max="15371" width="13.69921875" style="749" customWidth="1"/>
    <col min="15372" max="15372" width="11.59765625" style="749" customWidth="1"/>
    <col min="15373" max="15373" width="12.59765625" style="749" customWidth="1"/>
    <col min="15374" max="15374" width="13.59765625" style="749" customWidth="1"/>
    <col min="15375" max="15383" width="11.59765625" style="749" customWidth="1"/>
    <col min="15384" max="15384" width="12.59765625" style="749" customWidth="1"/>
    <col min="15385" max="15385" width="11.59765625" style="749" customWidth="1"/>
    <col min="15386" max="15386" width="12.59765625" style="749" customWidth="1"/>
    <col min="15387" max="15387" width="13.59765625" style="749" customWidth="1"/>
    <col min="15388" max="15616" width="9" style="749"/>
    <col min="15617" max="15617" width="45.59765625" style="749" customWidth="1"/>
    <col min="15618" max="15618" width="11.59765625" style="749" customWidth="1"/>
    <col min="15619" max="15621" width="11.69921875" style="749" customWidth="1"/>
    <col min="15622" max="15626" width="11.59765625" style="749" customWidth="1"/>
    <col min="15627" max="15627" width="13.69921875" style="749" customWidth="1"/>
    <col min="15628" max="15628" width="11.59765625" style="749" customWidth="1"/>
    <col min="15629" max="15629" width="12.59765625" style="749" customWidth="1"/>
    <col min="15630" max="15630" width="13.59765625" style="749" customWidth="1"/>
    <col min="15631" max="15639" width="11.59765625" style="749" customWidth="1"/>
    <col min="15640" max="15640" width="12.59765625" style="749" customWidth="1"/>
    <col min="15641" max="15641" width="11.59765625" style="749" customWidth="1"/>
    <col min="15642" max="15642" width="12.59765625" style="749" customWidth="1"/>
    <col min="15643" max="15643" width="13.59765625" style="749" customWidth="1"/>
    <col min="15644" max="15872" width="9" style="749"/>
    <col min="15873" max="15873" width="45.59765625" style="749" customWidth="1"/>
    <col min="15874" max="15874" width="11.59765625" style="749" customWidth="1"/>
    <col min="15875" max="15877" width="11.69921875" style="749" customWidth="1"/>
    <col min="15878" max="15882" width="11.59765625" style="749" customWidth="1"/>
    <col min="15883" max="15883" width="13.69921875" style="749" customWidth="1"/>
    <col min="15884" max="15884" width="11.59765625" style="749" customWidth="1"/>
    <col min="15885" max="15885" width="12.59765625" style="749" customWidth="1"/>
    <col min="15886" max="15886" width="13.59765625" style="749" customWidth="1"/>
    <col min="15887" max="15895" width="11.59765625" style="749" customWidth="1"/>
    <col min="15896" max="15896" width="12.59765625" style="749" customWidth="1"/>
    <col min="15897" max="15897" width="11.59765625" style="749" customWidth="1"/>
    <col min="15898" max="15898" width="12.59765625" style="749" customWidth="1"/>
    <col min="15899" max="15899" width="13.59765625" style="749" customWidth="1"/>
    <col min="15900" max="16128" width="9" style="749"/>
    <col min="16129" max="16129" width="45.59765625" style="749" customWidth="1"/>
    <col min="16130" max="16130" width="11.59765625" style="749" customWidth="1"/>
    <col min="16131" max="16133" width="11.69921875" style="749" customWidth="1"/>
    <col min="16134" max="16138" width="11.59765625" style="749" customWidth="1"/>
    <col min="16139" max="16139" width="13.69921875" style="749" customWidth="1"/>
    <col min="16140" max="16140" width="11.59765625" style="749" customWidth="1"/>
    <col min="16141" max="16141" width="12.59765625" style="749" customWidth="1"/>
    <col min="16142" max="16142" width="13.59765625" style="749" customWidth="1"/>
    <col min="16143" max="16151" width="11.59765625" style="749" customWidth="1"/>
    <col min="16152" max="16152" width="12.59765625" style="749" customWidth="1"/>
    <col min="16153" max="16153" width="11.59765625" style="749" customWidth="1"/>
    <col min="16154" max="16154" width="12.59765625" style="749" customWidth="1"/>
    <col min="16155" max="16155" width="13.59765625" style="749" customWidth="1"/>
    <col min="16156" max="16384" width="9" style="749"/>
  </cols>
  <sheetData>
    <row r="1" spans="1:27" ht="20.399999999999999">
      <c r="B1" s="1036" t="s">
        <v>303</v>
      </c>
      <c r="C1" s="1036"/>
      <c r="D1" s="1036"/>
      <c r="E1" s="1036"/>
      <c r="F1" s="1036"/>
      <c r="G1" s="1036"/>
      <c r="H1" s="1036"/>
      <c r="I1" s="1036"/>
      <c r="J1" s="1036"/>
      <c r="K1" s="1036"/>
      <c r="L1" s="1036"/>
      <c r="M1" s="1036"/>
      <c r="N1" s="1036"/>
      <c r="O1" s="1036" t="s">
        <v>303</v>
      </c>
      <c r="P1" s="1036"/>
      <c r="Q1" s="1036"/>
      <c r="R1" s="1036"/>
      <c r="S1" s="1036"/>
      <c r="T1" s="1036"/>
      <c r="U1" s="1036"/>
      <c r="V1" s="1036"/>
      <c r="W1" s="1036"/>
      <c r="X1" s="1036"/>
      <c r="Y1" s="1036"/>
      <c r="Z1" s="1036"/>
      <c r="AA1" s="1036"/>
    </row>
    <row r="2" spans="1:27" ht="20.399999999999999">
      <c r="B2" s="750"/>
      <c r="C2" s="750"/>
      <c r="D2" s="750"/>
      <c r="E2" s="750"/>
      <c r="F2" s="750"/>
      <c r="G2" s="750"/>
      <c r="H2" s="751"/>
      <c r="I2" s="750"/>
      <c r="K2" s="750"/>
      <c r="L2" s="750"/>
      <c r="M2" s="750"/>
      <c r="N2" s="750"/>
      <c r="O2" s="900" t="s">
        <v>146</v>
      </c>
      <c r="P2" s="750"/>
      <c r="Q2" s="750"/>
      <c r="R2" s="750"/>
      <c r="S2" s="750"/>
      <c r="T2" s="750"/>
      <c r="U2" s="751"/>
      <c r="V2" s="750"/>
      <c r="X2" s="750"/>
      <c r="Y2" s="750"/>
      <c r="Z2" s="750"/>
      <c r="AA2" s="750"/>
    </row>
    <row r="3" spans="1:27" ht="18.75" customHeight="1">
      <c r="A3" s="597">
        <f>基础信息!B6</f>
        <v>0</v>
      </c>
      <c r="J3" s="751"/>
      <c r="N3" s="749" t="s">
        <v>304</v>
      </c>
      <c r="W3" s="751"/>
      <c r="AA3" s="749" t="s">
        <v>304</v>
      </c>
    </row>
    <row r="4" spans="1:27" ht="19.5" customHeight="1">
      <c r="A4" s="1035" t="s">
        <v>305</v>
      </c>
      <c r="B4" s="1037" t="s">
        <v>2304</v>
      </c>
      <c r="C4" s="1037"/>
      <c r="D4" s="1037"/>
      <c r="E4" s="1037"/>
      <c r="F4" s="1037"/>
      <c r="G4" s="1037"/>
      <c r="H4" s="1037"/>
      <c r="I4" s="1037"/>
      <c r="J4" s="1037"/>
      <c r="K4" s="1037"/>
      <c r="L4" s="1037"/>
      <c r="M4" s="1037"/>
      <c r="N4" s="1037"/>
      <c r="O4" s="1037" t="s">
        <v>2096</v>
      </c>
      <c r="P4" s="1037"/>
      <c r="Q4" s="1037"/>
      <c r="R4" s="1037"/>
      <c r="S4" s="1037"/>
      <c r="T4" s="1037"/>
      <c r="U4" s="1037"/>
      <c r="V4" s="1037"/>
      <c r="W4" s="1037"/>
      <c r="X4" s="1037"/>
      <c r="Y4" s="1037"/>
      <c r="Z4" s="1037"/>
      <c r="AA4" s="1037"/>
    </row>
    <row r="5" spans="1:27" ht="22.5" customHeight="1">
      <c r="A5" s="1035"/>
      <c r="B5" s="1031" t="s">
        <v>306</v>
      </c>
      <c r="C5" s="1031"/>
      <c r="D5" s="1031"/>
      <c r="E5" s="1031"/>
      <c r="F5" s="1031"/>
      <c r="G5" s="1031"/>
      <c r="H5" s="1031"/>
      <c r="I5" s="1031"/>
      <c r="J5" s="1031"/>
      <c r="K5" s="1031"/>
      <c r="L5" s="1031"/>
      <c r="M5" s="1031" t="s">
        <v>307</v>
      </c>
      <c r="N5" s="1031" t="s">
        <v>308</v>
      </c>
      <c r="O5" s="1031" t="s">
        <v>306</v>
      </c>
      <c r="P5" s="1031"/>
      <c r="Q5" s="1031"/>
      <c r="R5" s="1031"/>
      <c r="S5" s="1031"/>
      <c r="T5" s="1031"/>
      <c r="U5" s="1031"/>
      <c r="V5" s="1031"/>
      <c r="W5" s="1031"/>
      <c r="X5" s="1031"/>
      <c r="Y5" s="1031"/>
      <c r="Z5" s="1031" t="s">
        <v>307</v>
      </c>
      <c r="AA5" s="1031" t="s">
        <v>308</v>
      </c>
    </row>
    <row r="6" spans="1:27" s="747" customFormat="1" ht="20.25" customHeight="1">
      <c r="A6" s="1035"/>
      <c r="B6" s="1031" t="s">
        <v>309</v>
      </c>
      <c r="C6" s="1032" t="s">
        <v>310</v>
      </c>
      <c r="D6" s="1033"/>
      <c r="E6" s="1033"/>
      <c r="F6" s="1031" t="s">
        <v>311</v>
      </c>
      <c r="G6" s="1031" t="s">
        <v>312</v>
      </c>
      <c r="H6" s="1031" t="s">
        <v>313</v>
      </c>
      <c r="I6" s="1031" t="s">
        <v>314</v>
      </c>
      <c r="J6" s="1031" t="s">
        <v>315</v>
      </c>
      <c r="K6" s="1031" t="s">
        <v>316</v>
      </c>
      <c r="L6" s="1031" t="s">
        <v>317</v>
      </c>
      <c r="M6" s="1031"/>
      <c r="N6" s="1031"/>
      <c r="O6" s="1031" t="s">
        <v>309</v>
      </c>
      <c r="P6" s="1032" t="s">
        <v>310</v>
      </c>
      <c r="Q6" s="1033"/>
      <c r="R6" s="1033"/>
      <c r="S6" s="1031" t="s">
        <v>311</v>
      </c>
      <c r="T6" s="1031" t="s">
        <v>312</v>
      </c>
      <c r="U6" s="1031" t="s">
        <v>313</v>
      </c>
      <c r="V6" s="1031" t="s">
        <v>314</v>
      </c>
      <c r="W6" s="1031" t="s">
        <v>315</v>
      </c>
      <c r="X6" s="1031" t="s">
        <v>316</v>
      </c>
      <c r="Y6" s="1031" t="s">
        <v>317</v>
      </c>
      <c r="Z6" s="1031"/>
      <c r="AA6" s="1031"/>
    </row>
    <row r="7" spans="1:27" s="747" customFormat="1" ht="20.25" customHeight="1">
      <c r="A7" s="1035"/>
      <c r="B7" s="1031"/>
      <c r="C7" s="753" t="s">
        <v>318</v>
      </c>
      <c r="D7" s="753" t="s">
        <v>319</v>
      </c>
      <c r="E7" s="753" t="s">
        <v>317</v>
      </c>
      <c r="F7" s="1031"/>
      <c r="G7" s="1031"/>
      <c r="H7" s="1031"/>
      <c r="I7" s="1031"/>
      <c r="J7" s="1031"/>
      <c r="K7" s="1031"/>
      <c r="L7" s="1031"/>
      <c r="M7" s="1031"/>
      <c r="N7" s="1031"/>
      <c r="O7" s="1031"/>
      <c r="P7" s="753" t="s">
        <v>318</v>
      </c>
      <c r="Q7" s="753" t="s">
        <v>319</v>
      </c>
      <c r="R7" s="753" t="s">
        <v>317</v>
      </c>
      <c r="S7" s="1031"/>
      <c r="T7" s="1031"/>
      <c r="U7" s="1031"/>
      <c r="V7" s="1031"/>
      <c r="W7" s="1031"/>
      <c r="X7" s="1031"/>
      <c r="Y7" s="1031"/>
      <c r="Z7" s="1031"/>
      <c r="AA7" s="1031"/>
    </row>
    <row r="8" spans="1:27" ht="20.100000000000001" customHeight="1">
      <c r="A8" s="752" t="s">
        <v>320</v>
      </c>
      <c r="B8" s="754">
        <f>O36</f>
        <v>0</v>
      </c>
      <c r="C8" s="754">
        <f t="shared" ref="C8:M8" si="0">P36</f>
        <v>0</v>
      </c>
      <c r="D8" s="754">
        <f t="shared" si="0"/>
        <v>0</v>
      </c>
      <c r="E8" s="754">
        <f t="shared" si="0"/>
        <v>0</v>
      </c>
      <c r="F8" s="754">
        <f t="shared" si="0"/>
        <v>0</v>
      </c>
      <c r="G8" s="754">
        <f t="shared" si="0"/>
        <v>0</v>
      </c>
      <c r="H8" s="754">
        <f t="shared" si="0"/>
        <v>0</v>
      </c>
      <c r="I8" s="754">
        <f t="shared" si="0"/>
        <v>0</v>
      </c>
      <c r="J8" s="754">
        <f t="shared" si="0"/>
        <v>0</v>
      </c>
      <c r="K8" s="754">
        <f t="shared" si="0"/>
        <v>0</v>
      </c>
      <c r="L8" s="754">
        <f t="shared" si="0"/>
        <v>0</v>
      </c>
      <c r="M8" s="754">
        <f t="shared" si="0"/>
        <v>0</v>
      </c>
      <c r="N8" s="754">
        <f>B8+C8+D8+E8+F8-G8+H8+I8+J8+K8+L8+M8</f>
        <v>0</v>
      </c>
      <c r="O8" s="754"/>
      <c r="P8" s="754"/>
      <c r="Q8" s="754"/>
      <c r="R8" s="754"/>
      <c r="S8" s="754"/>
      <c r="T8" s="754"/>
      <c r="U8" s="754"/>
      <c r="V8" s="754"/>
      <c r="W8" s="754"/>
      <c r="X8" s="754"/>
      <c r="Y8" s="754"/>
      <c r="Z8" s="754"/>
      <c r="AA8" s="754">
        <f>O8+P8+Q8+R8+S8-T8+V8+W8+X8+Y8+Z8+U8</f>
        <v>0</v>
      </c>
    </row>
    <row r="9" spans="1:27" ht="20.100000000000001" customHeight="1">
      <c r="A9" s="749" t="s">
        <v>321</v>
      </c>
      <c r="B9" s="754" t="s">
        <v>322</v>
      </c>
      <c r="C9" s="754" t="s">
        <v>322</v>
      </c>
      <c r="D9" s="754" t="s">
        <v>322</v>
      </c>
      <c r="E9" s="754" t="s">
        <v>322</v>
      </c>
      <c r="F9" s="754" t="s">
        <v>322</v>
      </c>
      <c r="G9" s="754" t="s">
        <v>322</v>
      </c>
      <c r="H9" s="754" t="s">
        <v>322</v>
      </c>
      <c r="I9" s="754" t="s">
        <v>322</v>
      </c>
      <c r="J9" s="754" t="s">
        <v>322</v>
      </c>
      <c r="K9" s="754" t="s">
        <v>322</v>
      </c>
      <c r="L9" s="754" t="s">
        <v>322</v>
      </c>
      <c r="M9" s="754" t="s">
        <v>322</v>
      </c>
      <c r="N9" s="754" t="s">
        <v>322</v>
      </c>
      <c r="O9" s="754"/>
      <c r="P9" s="754"/>
      <c r="Q9" s="754"/>
      <c r="R9" s="754"/>
      <c r="S9" s="754"/>
      <c r="T9" s="754"/>
      <c r="U9" s="754"/>
      <c r="V9" s="754"/>
      <c r="W9" s="754"/>
      <c r="X9" s="754"/>
      <c r="Y9" s="754"/>
      <c r="Z9" s="754"/>
      <c r="AA9" s="754">
        <f t="shared" ref="AA9:AA34" si="1">O9+P9+Q9+R9+S9-T9+V9+W9+X9+Y9+Z9+U9</f>
        <v>0</v>
      </c>
    </row>
    <row r="10" spans="1:27" ht="20.100000000000001" customHeight="1">
      <c r="A10" s="749" t="s">
        <v>323</v>
      </c>
      <c r="B10" s="754" t="s">
        <v>322</v>
      </c>
      <c r="C10" s="754" t="s">
        <v>322</v>
      </c>
      <c r="D10" s="754" t="s">
        <v>322</v>
      </c>
      <c r="E10" s="754" t="s">
        <v>322</v>
      </c>
      <c r="F10" s="754" t="s">
        <v>322</v>
      </c>
      <c r="G10" s="755" t="s">
        <v>322</v>
      </c>
      <c r="H10" s="754" t="s">
        <v>322</v>
      </c>
      <c r="I10" s="754" t="s">
        <v>322</v>
      </c>
      <c r="J10" s="754" t="s">
        <v>322</v>
      </c>
      <c r="K10" s="754" t="s">
        <v>322</v>
      </c>
      <c r="L10" s="754" t="s">
        <v>322</v>
      </c>
      <c r="M10" s="754" t="s">
        <v>322</v>
      </c>
      <c r="N10" s="754" t="s">
        <v>322</v>
      </c>
      <c r="O10" s="754"/>
      <c r="P10" s="754"/>
      <c r="Q10" s="754"/>
      <c r="R10" s="754"/>
      <c r="S10" s="754"/>
      <c r="T10" s="754"/>
      <c r="U10" s="754"/>
      <c r="V10" s="754"/>
      <c r="W10" s="754"/>
      <c r="X10" s="754"/>
      <c r="Y10" s="754"/>
      <c r="Z10" s="754"/>
      <c r="AA10" s="754">
        <f t="shared" si="1"/>
        <v>0</v>
      </c>
    </row>
    <row r="11" spans="1:27" ht="20.100000000000001" customHeight="1">
      <c r="A11" s="748" t="s">
        <v>2274</v>
      </c>
      <c r="B11" s="754"/>
      <c r="C11" s="754"/>
      <c r="D11" s="754"/>
      <c r="E11" s="754"/>
      <c r="F11" s="754"/>
      <c r="G11" s="754"/>
      <c r="H11" s="754"/>
      <c r="I11" s="754"/>
      <c r="J11" s="754"/>
      <c r="K11" s="754"/>
      <c r="L11" s="754"/>
      <c r="M11" s="754"/>
      <c r="N11" s="754">
        <f>B11+C11+D11+E11+F11-G11+H11+I11+J11+K11+L11+M11</f>
        <v>0</v>
      </c>
      <c r="O11" s="754"/>
      <c r="P11" s="754"/>
      <c r="Q11" s="754"/>
      <c r="R11" s="754"/>
      <c r="S11" s="754"/>
      <c r="T11" s="754"/>
      <c r="U11" s="754"/>
      <c r="V11" s="754"/>
      <c r="W11" s="754"/>
      <c r="X11" s="754"/>
      <c r="Y11" s="754"/>
      <c r="Z11" s="754"/>
      <c r="AA11" s="754">
        <f>O11+P11+Q11+R11+S11-T11+V11+W11+X11+Y11+Z11+U11</f>
        <v>0</v>
      </c>
    </row>
    <row r="12" spans="1:27" ht="20.100000000000001" customHeight="1">
      <c r="A12" s="749" t="s">
        <v>324</v>
      </c>
      <c r="B12" s="754"/>
      <c r="C12" s="754"/>
      <c r="D12" s="754"/>
      <c r="E12" s="754"/>
      <c r="F12" s="754"/>
      <c r="G12" s="754"/>
      <c r="H12" s="754"/>
      <c r="I12" s="754"/>
      <c r="J12" s="754"/>
      <c r="K12" s="754"/>
      <c r="L12" s="754"/>
      <c r="M12" s="754"/>
      <c r="N12" s="754">
        <f t="shared" ref="N12:N35" si="2">B12+C12+D12+E12+F12-G12+H12+I12+J12+K12+L12+M12</f>
        <v>0</v>
      </c>
      <c r="O12" s="754"/>
      <c r="P12" s="754"/>
      <c r="Q12" s="754"/>
      <c r="R12" s="754"/>
      <c r="S12" s="754"/>
      <c r="T12" s="754"/>
      <c r="U12" s="754"/>
      <c r="V12" s="754"/>
      <c r="W12" s="754"/>
      <c r="X12" s="754"/>
      <c r="Y12" s="754"/>
      <c r="Z12" s="754"/>
      <c r="AA12" s="754">
        <f t="shared" si="1"/>
        <v>0</v>
      </c>
    </row>
    <row r="13" spans="1:27" ht="20.100000000000001" customHeight="1">
      <c r="A13" s="752" t="s">
        <v>325</v>
      </c>
      <c r="B13" s="754">
        <f>B8+B12</f>
        <v>0</v>
      </c>
      <c r="C13" s="754">
        <f>C8+C12</f>
        <v>0</v>
      </c>
      <c r="D13" s="754">
        <f>D8+D12</f>
        <v>0</v>
      </c>
      <c r="E13" s="754">
        <f>E8+E12</f>
        <v>0</v>
      </c>
      <c r="F13" s="754">
        <f t="shared" ref="F13:M13" si="3">F8+F12</f>
        <v>0</v>
      </c>
      <c r="G13" s="754">
        <f t="shared" si="3"/>
        <v>0</v>
      </c>
      <c r="H13" s="754">
        <f t="shared" si="3"/>
        <v>0</v>
      </c>
      <c r="I13" s="754">
        <f t="shared" si="3"/>
        <v>0</v>
      </c>
      <c r="J13" s="754">
        <f t="shared" si="3"/>
        <v>0</v>
      </c>
      <c r="K13" s="754">
        <f t="shared" si="3"/>
        <v>0</v>
      </c>
      <c r="L13" s="754">
        <f t="shared" si="3"/>
        <v>0</v>
      </c>
      <c r="M13" s="754">
        <f t="shared" si="3"/>
        <v>0</v>
      </c>
      <c r="N13" s="754">
        <f t="shared" si="2"/>
        <v>0</v>
      </c>
      <c r="O13" s="754">
        <f t="shared" ref="O13:Z13" si="4">O8+O9+O10+O12</f>
        <v>0</v>
      </c>
      <c r="P13" s="754">
        <f t="shared" si="4"/>
        <v>0</v>
      </c>
      <c r="Q13" s="754">
        <f t="shared" si="4"/>
        <v>0</v>
      </c>
      <c r="R13" s="754">
        <f t="shared" si="4"/>
        <v>0</v>
      </c>
      <c r="S13" s="754">
        <f t="shared" si="4"/>
        <v>0</v>
      </c>
      <c r="T13" s="754">
        <f t="shared" si="4"/>
        <v>0</v>
      </c>
      <c r="U13" s="754">
        <f t="shared" si="4"/>
        <v>0</v>
      </c>
      <c r="V13" s="754">
        <f t="shared" si="4"/>
        <v>0</v>
      </c>
      <c r="W13" s="754">
        <f t="shared" si="4"/>
        <v>0</v>
      </c>
      <c r="X13" s="754">
        <f t="shared" si="4"/>
        <v>0</v>
      </c>
      <c r="Y13" s="754">
        <f t="shared" si="4"/>
        <v>0</v>
      </c>
      <c r="Z13" s="754">
        <f t="shared" si="4"/>
        <v>0</v>
      </c>
      <c r="AA13" s="754">
        <f t="shared" si="1"/>
        <v>0</v>
      </c>
    </row>
    <row r="14" spans="1:27" ht="20.100000000000001" customHeight="1">
      <c r="A14" s="753" t="s">
        <v>326</v>
      </c>
      <c r="B14" s="754">
        <f>B15+B16+B21+B25+B32</f>
        <v>0</v>
      </c>
      <c r="C14" s="754">
        <f t="shared" ref="C14:Z14" si="5">C15+C16+C21+C25+C32</f>
        <v>0</v>
      </c>
      <c r="D14" s="754">
        <f t="shared" si="5"/>
        <v>0</v>
      </c>
      <c r="E14" s="754">
        <f t="shared" si="5"/>
        <v>0</v>
      </c>
      <c r="F14" s="754">
        <f t="shared" si="5"/>
        <v>0</v>
      </c>
      <c r="G14" s="754">
        <f t="shared" si="5"/>
        <v>0</v>
      </c>
      <c r="H14" s="754">
        <f t="shared" si="5"/>
        <v>0</v>
      </c>
      <c r="I14" s="754">
        <f t="shared" si="5"/>
        <v>0</v>
      </c>
      <c r="J14" s="754">
        <f t="shared" si="5"/>
        <v>0</v>
      </c>
      <c r="K14" s="754">
        <f t="shared" si="5"/>
        <v>0</v>
      </c>
      <c r="L14" s="754">
        <f t="shared" si="5"/>
        <v>0</v>
      </c>
      <c r="M14" s="754">
        <f t="shared" si="5"/>
        <v>0</v>
      </c>
      <c r="N14" s="754">
        <f t="shared" si="2"/>
        <v>0</v>
      </c>
      <c r="O14" s="754">
        <f t="shared" si="5"/>
        <v>0</v>
      </c>
      <c r="P14" s="754">
        <f t="shared" si="5"/>
        <v>0</v>
      </c>
      <c r="Q14" s="754">
        <f t="shared" si="5"/>
        <v>0</v>
      </c>
      <c r="R14" s="754">
        <f t="shared" si="5"/>
        <v>0</v>
      </c>
      <c r="S14" s="754">
        <f t="shared" si="5"/>
        <v>0</v>
      </c>
      <c r="T14" s="754">
        <f t="shared" si="5"/>
        <v>0</v>
      </c>
      <c r="U14" s="754">
        <f t="shared" si="5"/>
        <v>0</v>
      </c>
      <c r="V14" s="754">
        <f t="shared" si="5"/>
        <v>0</v>
      </c>
      <c r="W14" s="754">
        <f t="shared" si="5"/>
        <v>0</v>
      </c>
      <c r="X14" s="754">
        <f t="shared" si="5"/>
        <v>0</v>
      </c>
      <c r="Y14" s="754">
        <f t="shared" si="5"/>
        <v>0</v>
      </c>
      <c r="Z14" s="754">
        <f t="shared" si="5"/>
        <v>0</v>
      </c>
      <c r="AA14" s="754">
        <f t="shared" si="1"/>
        <v>0</v>
      </c>
    </row>
    <row r="15" spans="1:27" ht="20.100000000000001" customHeight="1">
      <c r="A15" s="749" t="s">
        <v>327</v>
      </c>
      <c r="B15" s="754"/>
      <c r="C15" s="754"/>
      <c r="D15" s="754"/>
      <c r="E15" s="754"/>
      <c r="F15" s="754"/>
      <c r="G15" s="754"/>
      <c r="H15" s="754"/>
      <c r="I15" s="754"/>
      <c r="J15" s="754"/>
      <c r="K15" s="754"/>
      <c r="L15" s="754"/>
      <c r="M15" s="754"/>
      <c r="N15" s="754">
        <f t="shared" si="2"/>
        <v>0</v>
      </c>
      <c r="O15" s="754"/>
      <c r="P15" s="754"/>
      <c r="Q15" s="754"/>
      <c r="R15" s="754"/>
      <c r="S15" s="754"/>
      <c r="T15" s="754"/>
      <c r="U15" s="754"/>
      <c r="V15" s="754"/>
      <c r="W15" s="754"/>
      <c r="X15" s="754"/>
      <c r="Y15" s="754"/>
      <c r="Z15" s="754"/>
      <c r="AA15" s="754">
        <f t="shared" si="1"/>
        <v>0</v>
      </c>
    </row>
    <row r="16" spans="1:27" ht="20.100000000000001" customHeight="1">
      <c r="A16" s="749" t="s">
        <v>328</v>
      </c>
      <c r="B16" s="754">
        <f>SUM(B17:B20)</f>
        <v>0</v>
      </c>
      <c r="C16" s="754">
        <f>SUM(C17:C20)</f>
        <v>0</v>
      </c>
      <c r="D16" s="754">
        <f>SUM(D17:D20)</f>
        <v>0</v>
      </c>
      <c r="E16" s="754">
        <f>SUM(E17:E20)</f>
        <v>0</v>
      </c>
      <c r="F16" s="754">
        <f t="shared" ref="F16:M16" si="6">SUM(F17:F20)</f>
        <v>0</v>
      </c>
      <c r="G16" s="754">
        <f t="shared" si="6"/>
        <v>0</v>
      </c>
      <c r="H16" s="754">
        <f t="shared" si="6"/>
        <v>0</v>
      </c>
      <c r="I16" s="754">
        <f t="shared" si="6"/>
        <v>0</v>
      </c>
      <c r="J16" s="754">
        <f t="shared" si="6"/>
        <v>0</v>
      </c>
      <c r="K16" s="754">
        <f t="shared" si="6"/>
        <v>0</v>
      </c>
      <c r="L16" s="754">
        <f t="shared" si="6"/>
        <v>0</v>
      </c>
      <c r="M16" s="754">
        <f t="shared" si="6"/>
        <v>0</v>
      </c>
      <c r="N16" s="754">
        <f t="shared" si="2"/>
        <v>0</v>
      </c>
      <c r="O16" s="754">
        <f t="shared" ref="O16:Z16" si="7">SUM(O17:O20)</f>
        <v>0</v>
      </c>
      <c r="P16" s="754">
        <f t="shared" si="7"/>
        <v>0</v>
      </c>
      <c r="Q16" s="754">
        <f t="shared" si="7"/>
        <v>0</v>
      </c>
      <c r="R16" s="754">
        <f t="shared" si="7"/>
        <v>0</v>
      </c>
      <c r="S16" s="754">
        <f t="shared" si="7"/>
        <v>0</v>
      </c>
      <c r="T16" s="754">
        <f t="shared" si="7"/>
        <v>0</v>
      </c>
      <c r="U16" s="754">
        <f t="shared" si="7"/>
        <v>0</v>
      </c>
      <c r="V16" s="754">
        <f t="shared" si="7"/>
        <v>0</v>
      </c>
      <c r="W16" s="754">
        <f t="shared" si="7"/>
        <v>0</v>
      </c>
      <c r="X16" s="754">
        <f t="shared" si="7"/>
        <v>0</v>
      </c>
      <c r="Y16" s="754">
        <f t="shared" si="7"/>
        <v>0</v>
      </c>
      <c r="Z16" s="754">
        <f t="shared" si="7"/>
        <v>0</v>
      </c>
      <c r="AA16" s="754">
        <f t="shared" si="1"/>
        <v>0</v>
      </c>
    </row>
    <row r="17" spans="1:27" ht="20.100000000000001" customHeight="1">
      <c r="A17" s="749" t="s">
        <v>329</v>
      </c>
      <c r="B17" s="754"/>
      <c r="C17" s="754"/>
      <c r="D17" s="754"/>
      <c r="E17" s="754"/>
      <c r="F17" s="754"/>
      <c r="G17" s="754"/>
      <c r="H17" s="754"/>
      <c r="I17" s="754"/>
      <c r="J17" s="754"/>
      <c r="K17" s="754"/>
      <c r="L17" s="754"/>
      <c r="M17" s="754"/>
      <c r="N17" s="754">
        <f t="shared" si="2"/>
        <v>0</v>
      </c>
      <c r="O17" s="754"/>
      <c r="P17" s="754"/>
      <c r="Q17" s="754"/>
      <c r="R17" s="754"/>
      <c r="S17" s="754"/>
      <c r="T17" s="754"/>
      <c r="U17" s="754"/>
      <c r="V17" s="754"/>
      <c r="W17" s="754"/>
      <c r="X17" s="754"/>
      <c r="Y17" s="754"/>
      <c r="Z17" s="754"/>
      <c r="AA17" s="754">
        <f t="shared" si="1"/>
        <v>0</v>
      </c>
    </row>
    <row r="18" spans="1:27" ht="20.100000000000001" customHeight="1">
      <c r="A18" s="749" t="s">
        <v>330</v>
      </c>
      <c r="B18" s="754"/>
      <c r="C18" s="754"/>
      <c r="D18" s="754"/>
      <c r="E18" s="754"/>
      <c r="F18" s="754"/>
      <c r="G18" s="754"/>
      <c r="H18" s="754"/>
      <c r="I18" s="754"/>
      <c r="J18" s="754"/>
      <c r="K18" s="754"/>
      <c r="L18" s="754"/>
      <c r="M18" s="754"/>
      <c r="N18" s="754">
        <f t="shared" si="2"/>
        <v>0</v>
      </c>
      <c r="O18" s="754"/>
      <c r="P18" s="754"/>
      <c r="Q18" s="754"/>
      <c r="R18" s="754"/>
      <c r="S18" s="754"/>
      <c r="T18" s="754"/>
      <c r="U18" s="754"/>
      <c r="V18" s="754"/>
      <c r="W18" s="754"/>
      <c r="X18" s="754"/>
      <c r="Y18" s="754"/>
      <c r="Z18" s="754"/>
      <c r="AA18" s="754">
        <f t="shared" si="1"/>
        <v>0</v>
      </c>
    </row>
    <row r="19" spans="1:27" ht="20.100000000000001" customHeight="1">
      <c r="A19" s="749" t="s">
        <v>331</v>
      </c>
      <c r="B19" s="754"/>
      <c r="C19" s="754"/>
      <c r="D19" s="754"/>
      <c r="E19" s="754"/>
      <c r="F19" s="754"/>
      <c r="G19" s="754"/>
      <c r="H19" s="754"/>
      <c r="I19" s="754"/>
      <c r="J19" s="754"/>
      <c r="K19" s="754"/>
      <c r="L19" s="754"/>
      <c r="M19" s="754"/>
      <c r="N19" s="754">
        <f t="shared" si="2"/>
        <v>0</v>
      </c>
      <c r="O19" s="754"/>
      <c r="P19" s="754"/>
      <c r="Q19" s="754"/>
      <c r="R19" s="754"/>
      <c r="S19" s="754"/>
      <c r="T19" s="754"/>
      <c r="U19" s="754"/>
      <c r="V19" s="754"/>
      <c r="W19" s="754"/>
      <c r="X19" s="754"/>
      <c r="Y19" s="754"/>
      <c r="Z19" s="754"/>
      <c r="AA19" s="754">
        <f t="shared" si="1"/>
        <v>0</v>
      </c>
    </row>
    <row r="20" spans="1:27" ht="20.100000000000001" customHeight="1">
      <c r="A20" s="749" t="s">
        <v>332</v>
      </c>
      <c r="B20" s="754"/>
      <c r="C20" s="754"/>
      <c r="D20" s="754"/>
      <c r="E20" s="754"/>
      <c r="F20" s="754"/>
      <c r="G20" s="754"/>
      <c r="H20" s="754"/>
      <c r="I20" s="754"/>
      <c r="J20" s="754"/>
      <c r="K20" s="754"/>
      <c r="L20" s="754"/>
      <c r="M20" s="754"/>
      <c r="N20" s="754">
        <f t="shared" si="2"/>
        <v>0</v>
      </c>
      <c r="O20" s="754"/>
      <c r="P20" s="754"/>
      <c r="Q20" s="754"/>
      <c r="R20" s="754"/>
      <c r="S20" s="754"/>
      <c r="T20" s="754"/>
      <c r="U20" s="754"/>
      <c r="V20" s="754"/>
      <c r="W20" s="754"/>
      <c r="X20" s="754"/>
      <c r="Y20" s="754"/>
      <c r="Z20" s="754"/>
      <c r="AA20" s="754">
        <f t="shared" si="1"/>
        <v>0</v>
      </c>
    </row>
    <row r="21" spans="1:27" ht="20.100000000000001" customHeight="1">
      <c r="A21" s="749" t="s">
        <v>333</v>
      </c>
      <c r="B21" s="754">
        <f>SUM(B22:B24)</f>
        <v>0</v>
      </c>
      <c r="C21" s="754">
        <f>SUM(C22:C24)</f>
        <v>0</v>
      </c>
      <c r="D21" s="754">
        <f>SUM(D22:D24)</f>
        <v>0</v>
      </c>
      <c r="E21" s="754">
        <f>SUM(E22:E24)</f>
        <v>0</v>
      </c>
      <c r="F21" s="754">
        <f t="shared" ref="F21:M21" si="8">SUM(F22:F24)</f>
        <v>0</v>
      </c>
      <c r="G21" s="754">
        <f t="shared" si="8"/>
        <v>0</v>
      </c>
      <c r="H21" s="754">
        <f t="shared" si="8"/>
        <v>0</v>
      </c>
      <c r="I21" s="754">
        <f t="shared" si="8"/>
        <v>0</v>
      </c>
      <c r="J21" s="754">
        <f t="shared" si="8"/>
        <v>0</v>
      </c>
      <c r="K21" s="754">
        <f t="shared" si="8"/>
        <v>0</v>
      </c>
      <c r="L21" s="754">
        <f t="shared" si="8"/>
        <v>0</v>
      </c>
      <c r="M21" s="754">
        <f t="shared" si="8"/>
        <v>0</v>
      </c>
      <c r="N21" s="754">
        <f t="shared" si="2"/>
        <v>0</v>
      </c>
      <c r="O21" s="754">
        <f t="shared" ref="O21:Z21" si="9">SUM(O22:O24)</f>
        <v>0</v>
      </c>
      <c r="P21" s="754">
        <f t="shared" si="9"/>
        <v>0</v>
      </c>
      <c r="Q21" s="754">
        <f t="shared" si="9"/>
        <v>0</v>
      </c>
      <c r="R21" s="754">
        <f t="shared" si="9"/>
        <v>0</v>
      </c>
      <c r="S21" s="754">
        <f t="shared" si="9"/>
        <v>0</v>
      </c>
      <c r="T21" s="754">
        <f t="shared" si="9"/>
        <v>0</v>
      </c>
      <c r="U21" s="754">
        <f t="shared" si="9"/>
        <v>0</v>
      </c>
      <c r="V21" s="754">
        <f t="shared" si="9"/>
        <v>0</v>
      </c>
      <c r="W21" s="754">
        <f t="shared" si="9"/>
        <v>0</v>
      </c>
      <c r="X21" s="754">
        <f t="shared" si="9"/>
        <v>0</v>
      </c>
      <c r="Y21" s="754">
        <f t="shared" si="9"/>
        <v>0</v>
      </c>
      <c r="Z21" s="754">
        <f t="shared" si="9"/>
        <v>0</v>
      </c>
      <c r="AA21" s="754">
        <f t="shared" si="1"/>
        <v>0</v>
      </c>
    </row>
    <row r="22" spans="1:27" ht="20.100000000000001" customHeight="1">
      <c r="A22" s="749" t="s">
        <v>334</v>
      </c>
      <c r="B22" s="754"/>
      <c r="C22" s="754"/>
      <c r="D22" s="754"/>
      <c r="E22" s="754"/>
      <c r="F22" s="754"/>
      <c r="G22" s="754"/>
      <c r="H22" s="754"/>
      <c r="I22" s="754"/>
      <c r="J22" s="754"/>
      <c r="K22" s="754"/>
      <c r="L22" s="754"/>
      <c r="M22" s="754"/>
      <c r="N22" s="754">
        <f t="shared" si="2"/>
        <v>0</v>
      </c>
      <c r="O22" s="754"/>
      <c r="P22" s="754"/>
      <c r="Q22" s="754"/>
      <c r="R22" s="754"/>
      <c r="S22" s="754"/>
      <c r="T22" s="754"/>
      <c r="U22" s="754"/>
      <c r="V22" s="754"/>
      <c r="W22" s="754"/>
      <c r="X22" s="754"/>
      <c r="Y22" s="754"/>
      <c r="Z22" s="754"/>
      <c r="AA22" s="754">
        <f t="shared" si="1"/>
        <v>0</v>
      </c>
    </row>
    <row r="23" spans="1:27" ht="20.100000000000001" customHeight="1">
      <c r="A23" s="749" t="s">
        <v>335</v>
      </c>
      <c r="B23" s="754"/>
      <c r="C23" s="754"/>
      <c r="D23" s="754"/>
      <c r="E23" s="754"/>
      <c r="F23" s="754"/>
      <c r="G23" s="754"/>
      <c r="H23" s="754"/>
      <c r="I23" s="754"/>
      <c r="J23" s="754"/>
      <c r="K23" s="754"/>
      <c r="L23" s="754"/>
      <c r="M23" s="754"/>
      <c r="N23" s="754">
        <f t="shared" si="2"/>
        <v>0</v>
      </c>
      <c r="O23" s="754"/>
      <c r="P23" s="754"/>
      <c r="Q23" s="754"/>
      <c r="R23" s="754"/>
      <c r="S23" s="754"/>
      <c r="T23" s="754"/>
      <c r="U23" s="754"/>
      <c r="V23" s="754"/>
      <c r="W23" s="754"/>
      <c r="X23" s="754"/>
      <c r="Y23" s="754"/>
      <c r="Z23" s="754"/>
      <c r="AA23" s="754">
        <f t="shared" si="1"/>
        <v>0</v>
      </c>
    </row>
    <row r="24" spans="1:27" ht="20.100000000000001" customHeight="1">
      <c r="A24" s="749" t="s">
        <v>336</v>
      </c>
      <c r="B24" s="754"/>
      <c r="C24" s="754"/>
      <c r="D24" s="754"/>
      <c r="E24" s="754"/>
      <c r="F24" s="754"/>
      <c r="G24" s="754"/>
      <c r="H24" s="754"/>
      <c r="I24" s="754"/>
      <c r="J24" s="754"/>
      <c r="K24" s="754"/>
      <c r="L24" s="754"/>
      <c r="M24" s="754"/>
      <c r="N24" s="754">
        <f t="shared" si="2"/>
        <v>0</v>
      </c>
      <c r="O24" s="754"/>
      <c r="P24" s="754"/>
      <c r="Q24" s="754"/>
      <c r="R24" s="754"/>
      <c r="S24" s="754"/>
      <c r="T24" s="754"/>
      <c r="U24" s="754"/>
      <c r="V24" s="754"/>
      <c r="W24" s="754"/>
      <c r="X24" s="754"/>
      <c r="Y24" s="754"/>
      <c r="Z24" s="754"/>
      <c r="AA24" s="754">
        <f t="shared" si="1"/>
        <v>0</v>
      </c>
    </row>
    <row r="25" spans="1:27" ht="20.100000000000001" customHeight="1">
      <c r="A25" s="749" t="s">
        <v>337</v>
      </c>
      <c r="B25" s="754">
        <f>SUM(B26:B31)</f>
        <v>0</v>
      </c>
      <c r="C25" s="754">
        <f>SUM(C26:C31)</f>
        <v>0</v>
      </c>
      <c r="D25" s="754">
        <f>SUM(D26:D31)</f>
        <v>0</v>
      </c>
      <c r="E25" s="754">
        <f>SUM(E26:E31)</f>
        <v>0</v>
      </c>
      <c r="F25" s="754">
        <f t="shared" ref="F25:M25" si="10">SUM(F26:F31)</f>
        <v>0</v>
      </c>
      <c r="G25" s="754">
        <f t="shared" si="10"/>
        <v>0</v>
      </c>
      <c r="H25" s="754">
        <f t="shared" si="10"/>
        <v>0</v>
      </c>
      <c r="I25" s="754">
        <f t="shared" si="10"/>
        <v>0</v>
      </c>
      <c r="J25" s="754">
        <f t="shared" si="10"/>
        <v>0</v>
      </c>
      <c r="K25" s="754">
        <f t="shared" si="10"/>
        <v>0</v>
      </c>
      <c r="L25" s="754">
        <f t="shared" si="10"/>
        <v>0</v>
      </c>
      <c r="M25" s="754">
        <f t="shared" si="10"/>
        <v>0</v>
      </c>
      <c r="N25" s="754">
        <f t="shared" si="2"/>
        <v>0</v>
      </c>
      <c r="O25" s="754">
        <f t="shared" ref="O25:Z25" si="11">SUM(O26:O31)</f>
        <v>0</v>
      </c>
      <c r="P25" s="754">
        <f t="shared" si="11"/>
        <v>0</v>
      </c>
      <c r="Q25" s="754">
        <f t="shared" si="11"/>
        <v>0</v>
      </c>
      <c r="R25" s="754">
        <f t="shared" si="11"/>
        <v>0</v>
      </c>
      <c r="S25" s="754">
        <f t="shared" si="11"/>
        <v>0</v>
      </c>
      <c r="T25" s="754">
        <f t="shared" si="11"/>
        <v>0</v>
      </c>
      <c r="U25" s="754">
        <f t="shared" si="11"/>
        <v>0</v>
      </c>
      <c r="V25" s="754">
        <f t="shared" si="11"/>
        <v>0</v>
      </c>
      <c r="W25" s="754">
        <f t="shared" si="11"/>
        <v>0</v>
      </c>
      <c r="X25" s="754">
        <f t="shared" si="11"/>
        <v>0</v>
      </c>
      <c r="Y25" s="754">
        <f t="shared" si="11"/>
        <v>0</v>
      </c>
      <c r="Z25" s="754">
        <f t="shared" si="11"/>
        <v>0</v>
      </c>
      <c r="AA25" s="754">
        <f t="shared" si="1"/>
        <v>0</v>
      </c>
    </row>
    <row r="26" spans="1:27" ht="20.100000000000001" customHeight="1">
      <c r="A26" s="749" t="s">
        <v>338</v>
      </c>
      <c r="B26" s="754"/>
      <c r="C26" s="754"/>
      <c r="D26" s="754"/>
      <c r="E26" s="754"/>
      <c r="F26" s="754"/>
      <c r="G26" s="754"/>
      <c r="H26" s="754"/>
      <c r="I26" s="754"/>
      <c r="J26" s="754"/>
      <c r="K26" s="754"/>
      <c r="L26" s="754"/>
      <c r="M26" s="754"/>
      <c r="N26" s="754">
        <f t="shared" si="2"/>
        <v>0</v>
      </c>
      <c r="O26" s="754"/>
      <c r="P26" s="754"/>
      <c r="Q26" s="754"/>
      <c r="R26" s="754"/>
      <c r="S26" s="754"/>
      <c r="T26" s="754"/>
      <c r="U26" s="754"/>
      <c r="V26" s="754"/>
      <c r="W26" s="754"/>
      <c r="X26" s="754"/>
      <c r="Y26" s="754"/>
      <c r="Z26" s="754"/>
      <c r="AA26" s="754">
        <f t="shared" si="1"/>
        <v>0</v>
      </c>
    </row>
    <row r="27" spans="1:27" ht="20.100000000000001" customHeight="1">
      <c r="A27" s="749" t="s">
        <v>339</v>
      </c>
      <c r="B27" s="754"/>
      <c r="C27" s="754"/>
      <c r="D27" s="754"/>
      <c r="E27" s="754"/>
      <c r="F27" s="754"/>
      <c r="G27" s="754"/>
      <c r="H27" s="754"/>
      <c r="I27" s="754"/>
      <c r="J27" s="754"/>
      <c r="K27" s="754"/>
      <c r="L27" s="754"/>
      <c r="M27" s="754"/>
      <c r="N27" s="754">
        <f t="shared" si="2"/>
        <v>0</v>
      </c>
      <c r="O27" s="754"/>
      <c r="P27" s="754"/>
      <c r="Q27" s="754"/>
      <c r="R27" s="754"/>
      <c r="S27" s="754"/>
      <c r="T27" s="754"/>
      <c r="U27" s="754"/>
      <c r="V27" s="754"/>
      <c r="W27" s="754"/>
      <c r="X27" s="754"/>
      <c r="Y27" s="754"/>
      <c r="Z27" s="754"/>
      <c r="AA27" s="754">
        <f t="shared" si="1"/>
        <v>0</v>
      </c>
    </row>
    <row r="28" spans="1:27" ht="20.100000000000001" customHeight="1">
      <c r="A28" s="749" t="s">
        <v>340</v>
      </c>
      <c r="B28" s="754"/>
      <c r="C28" s="754"/>
      <c r="D28" s="754"/>
      <c r="E28" s="754"/>
      <c r="F28" s="754"/>
      <c r="G28" s="754"/>
      <c r="H28" s="754"/>
      <c r="I28" s="754"/>
      <c r="J28" s="754"/>
      <c r="K28" s="754"/>
      <c r="L28" s="754"/>
      <c r="M28" s="754"/>
      <c r="N28" s="754">
        <f t="shared" si="2"/>
        <v>0</v>
      </c>
      <c r="O28" s="754"/>
      <c r="P28" s="754"/>
      <c r="Q28" s="754"/>
      <c r="R28" s="754"/>
      <c r="S28" s="754"/>
      <c r="T28" s="754"/>
      <c r="U28" s="754"/>
      <c r="V28" s="754"/>
      <c r="W28" s="754"/>
      <c r="X28" s="754"/>
      <c r="Y28" s="754"/>
      <c r="Z28" s="754"/>
      <c r="AA28" s="754">
        <f t="shared" si="1"/>
        <v>0</v>
      </c>
    </row>
    <row r="29" spans="1:27" s="748" customFormat="1" ht="30.75" customHeight="1">
      <c r="A29" s="756" t="s">
        <v>341</v>
      </c>
      <c r="B29" s="754"/>
      <c r="C29" s="754"/>
      <c r="D29" s="754"/>
      <c r="E29" s="754"/>
      <c r="F29" s="754"/>
      <c r="G29" s="754"/>
      <c r="H29" s="754"/>
      <c r="I29" s="754"/>
      <c r="J29" s="754"/>
      <c r="K29" s="754"/>
      <c r="L29" s="754"/>
      <c r="M29" s="754"/>
      <c r="N29" s="754">
        <f t="shared" si="2"/>
        <v>0</v>
      </c>
      <c r="O29" s="754"/>
      <c r="P29" s="754"/>
      <c r="Q29" s="754"/>
      <c r="R29" s="754"/>
      <c r="S29" s="754"/>
      <c r="T29" s="754"/>
      <c r="U29" s="754"/>
      <c r="V29" s="754"/>
      <c r="W29" s="754"/>
      <c r="X29" s="754"/>
      <c r="Y29" s="754"/>
      <c r="Z29" s="754"/>
      <c r="AA29" s="754">
        <f t="shared" si="1"/>
        <v>0</v>
      </c>
    </row>
    <row r="30" spans="1:27" s="748" customFormat="1" ht="30.75" customHeight="1">
      <c r="A30" s="756" t="s">
        <v>2094</v>
      </c>
      <c r="B30" s="754"/>
      <c r="C30" s="754"/>
      <c r="D30" s="754"/>
      <c r="E30" s="754"/>
      <c r="F30" s="754"/>
      <c r="G30" s="754"/>
      <c r="H30" s="754"/>
      <c r="I30" s="754"/>
      <c r="J30" s="754"/>
      <c r="K30" s="754"/>
      <c r="L30" s="754"/>
      <c r="M30" s="754"/>
      <c r="N30" s="754"/>
      <c r="O30" s="754"/>
      <c r="P30" s="754"/>
      <c r="Q30" s="754"/>
      <c r="R30" s="754"/>
      <c r="S30" s="754"/>
      <c r="T30" s="754"/>
      <c r="U30" s="754"/>
      <c r="V30" s="754"/>
      <c r="W30" s="754"/>
      <c r="X30" s="754"/>
      <c r="Y30" s="754"/>
      <c r="Z30" s="754"/>
      <c r="AA30" s="754"/>
    </row>
    <row r="31" spans="1:27" ht="20.100000000000001" customHeight="1">
      <c r="A31" s="749" t="s">
        <v>2095</v>
      </c>
      <c r="B31" s="754"/>
      <c r="C31" s="754"/>
      <c r="D31" s="754"/>
      <c r="E31" s="754"/>
      <c r="F31" s="754"/>
      <c r="G31" s="754"/>
      <c r="H31" s="754"/>
      <c r="I31" s="754"/>
      <c r="J31" s="754"/>
      <c r="K31" s="754"/>
      <c r="L31" s="754"/>
      <c r="M31" s="754"/>
      <c r="N31" s="754">
        <f t="shared" si="2"/>
        <v>0</v>
      </c>
      <c r="O31" s="754"/>
      <c r="P31" s="754"/>
      <c r="Q31" s="754"/>
      <c r="R31" s="754"/>
      <c r="S31" s="754"/>
      <c r="T31" s="754"/>
      <c r="U31" s="754"/>
      <c r="V31" s="754"/>
      <c r="W31" s="754"/>
      <c r="X31" s="754"/>
      <c r="Y31" s="754"/>
      <c r="Z31" s="754"/>
      <c r="AA31" s="754">
        <f t="shared" si="1"/>
        <v>0</v>
      </c>
    </row>
    <row r="32" spans="1:27" ht="20.100000000000001" customHeight="1">
      <c r="A32" s="749" t="s">
        <v>342</v>
      </c>
      <c r="B32" s="754">
        <f>B33+B34</f>
        <v>0</v>
      </c>
      <c r="C32" s="754">
        <f t="shared" ref="C32:H32" si="12">C33+C34</f>
        <v>0</v>
      </c>
      <c r="D32" s="754">
        <f t="shared" si="12"/>
        <v>0</v>
      </c>
      <c r="E32" s="754">
        <f t="shared" si="12"/>
        <v>0</v>
      </c>
      <c r="F32" s="754">
        <f t="shared" si="12"/>
        <v>0</v>
      </c>
      <c r="G32" s="754">
        <f t="shared" si="12"/>
        <v>0</v>
      </c>
      <c r="H32" s="754">
        <f t="shared" si="12"/>
        <v>0</v>
      </c>
      <c r="I32" s="754">
        <f>SUM(I33:I34)</f>
        <v>0</v>
      </c>
      <c r="J32" s="754">
        <f>SUM(J33:J34)</f>
        <v>0</v>
      </c>
      <c r="K32" s="754">
        <f>SUM(K33:K34)</f>
        <v>0</v>
      </c>
      <c r="L32" s="754">
        <f>SUM(L33:L34)</f>
        <v>0</v>
      </c>
      <c r="M32" s="754">
        <f>SUM(M33:M34)</f>
        <v>0</v>
      </c>
      <c r="N32" s="754">
        <f t="shared" si="2"/>
        <v>0</v>
      </c>
      <c r="O32" s="754">
        <f>SUM(O33:O34)</f>
        <v>0</v>
      </c>
      <c r="P32" s="754">
        <f t="shared" ref="P32:Z32" si="13">SUM(P33:P34)</f>
        <v>0</v>
      </c>
      <c r="Q32" s="754">
        <f t="shared" si="13"/>
        <v>0</v>
      </c>
      <c r="R32" s="754">
        <f t="shared" si="13"/>
        <v>0</v>
      </c>
      <c r="S32" s="754">
        <f t="shared" si="13"/>
        <v>0</v>
      </c>
      <c r="T32" s="754">
        <f t="shared" si="13"/>
        <v>0</v>
      </c>
      <c r="U32" s="754">
        <f t="shared" si="13"/>
        <v>0</v>
      </c>
      <c r="V32" s="754">
        <f t="shared" si="13"/>
        <v>0</v>
      </c>
      <c r="W32" s="754">
        <f t="shared" si="13"/>
        <v>0</v>
      </c>
      <c r="X32" s="754">
        <f t="shared" si="13"/>
        <v>0</v>
      </c>
      <c r="Y32" s="754">
        <f t="shared" si="13"/>
        <v>0</v>
      </c>
      <c r="Z32" s="754">
        <f t="shared" si="13"/>
        <v>0</v>
      </c>
      <c r="AA32" s="754">
        <f t="shared" si="1"/>
        <v>0</v>
      </c>
    </row>
    <row r="33" spans="1:28" ht="20.100000000000001" customHeight="1">
      <c r="A33" s="749" t="s">
        <v>343</v>
      </c>
      <c r="B33" s="754"/>
      <c r="C33" s="754"/>
      <c r="D33" s="754"/>
      <c r="E33" s="754"/>
      <c r="F33" s="754"/>
      <c r="G33" s="754"/>
      <c r="H33" s="754"/>
      <c r="I33" s="754"/>
      <c r="J33" s="754"/>
      <c r="K33" s="754"/>
      <c r="L33" s="754"/>
      <c r="M33" s="754"/>
      <c r="N33" s="754">
        <f t="shared" si="2"/>
        <v>0</v>
      </c>
      <c r="O33" s="754"/>
      <c r="P33" s="754"/>
      <c r="Q33" s="754"/>
      <c r="R33" s="754"/>
      <c r="S33" s="754"/>
      <c r="T33" s="754"/>
      <c r="U33" s="754"/>
      <c r="V33" s="754"/>
      <c r="W33" s="754"/>
      <c r="X33" s="754"/>
      <c r="Y33" s="754"/>
      <c r="Z33" s="754"/>
      <c r="AA33" s="754">
        <f t="shared" si="1"/>
        <v>0</v>
      </c>
    </row>
    <row r="34" spans="1:28" ht="20.100000000000001" customHeight="1">
      <c r="A34" s="749" t="s">
        <v>344</v>
      </c>
      <c r="B34" s="754"/>
      <c r="C34" s="754"/>
      <c r="D34" s="754"/>
      <c r="E34" s="754"/>
      <c r="F34" s="754"/>
      <c r="G34" s="754"/>
      <c r="H34" s="754"/>
      <c r="I34" s="754"/>
      <c r="J34" s="754"/>
      <c r="K34" s="754"/>
      <c r="L34" s="754"/>
      <c r="M34" s="754"/>
      <c r="N34" s="754">
        <f t="shared" si="2"/>
        <v>0</v>
      </c>
      <c r="O34" s="754"/>
      <c r="P34" s="754"/>
      <c r="Q34" s="754"/>
      <c r="R34" s="754"/>
      <c r="S34" s="754"/>
      <c r="T34" s="754"/>
      <c r="U34" s="754"/>
      <c r="V34" s="754"/>
      <c r="W34" s="754"/>
      <c r="X34" s="754"/>
      <c r="Y34" s="754"/>
      <c r="Z34" s="754"/>
      <c r="AA34" s="754">
        <f t="shared" si="1"/>
        <v>0</v>
      </c>
    </row>
    <row r="35" spans="1:28" ht="20.100000000000001" customHeight="1">
      <c r="A35" s="749" t="s">
        <v>345</v>
      </c>
      <c r="B35" s="754"/>
      <c r="C35" s="754"/>
      <c r="D35" s="754"/>
      <c r="E35" s="754"/>
      <c r="F35" s="754"/>
      <c r="G35" s="754"/>
      <c r="H35" s="754"/>
      <c r="I35" s="754"/>
      <c r="J35" s="754"/>
      <c r="K35" s="754"/>
      <c r="L35" s="754"/>
      <c r="M35" s="754"/>
      <c r="N35" s="754">
        <f t="shared" si="2"/>
        <v>0</v>
      </c>
      <c r="O35" s="754"/>
      <c r="P35" s="754"/>
      <c r="Q35" s="754"/>
      <c r="R35" s="754"/>
      <c r="S35" s="754"/>
      <c r="T35" s="754"/>
      <c r="U35" s="754"/>
      <c r="V35" s="754"/>
      <c r="W35" s="754"/>
      <c r="X35" s="754"/>
      <c r="Y35" s="754"/>
      <c r="Z35" s="754">
        <f>SUM(O35:Y35)</f>
        <v>0</v>
      </c>
      <c r="AA35" s="754">
        <f>SUM(P35:Z35)</f>
        <v>0</v>
      </c>
      <c r="AB35" s="749" t="s">
        <v>346</v>
      </c>
    </row>
    <row r="36" spans="1:28" ht="20.100000000000001" customHeight="1">
      <c r="A36" s="752" t="s">
        <v>347</v>
      </c>
      <c r="B36" s="754">
        <f>B13+B14</f>
        <v>0</v>
      </c>
      <c r="C36" s="754">
        <f>C13+C14</f>
        <v>0</v>
      </c>
      <c r="D36" s="754">
        <f>D13+D14</f>
        <v>0</v>
      </c>
      <c r="E36" s="754">
        <f>E13+E14</f>
        <v>0</v>
      </c>
      <c r="F36" s="754">
        <f t="shared" ref="F36:O36" si="14">F13+F14</f>
        <v>0</v>
      </c>
      <c r="G36" s="754">
        <f t="shared" si="14"/>
        <v>0</v>
      </c>
      <c r="H36" s="754">
        <f t="shared" si="14"/>
        <v>0</v>
      </c>
      <c r="I36" s="754">
        <f t="shared" si="14"/>
        <v>0</v>
      </c>
      <c r="J36" s="754">
        <f t="shared" si="14"/>
        <v>0</v>
      </c>
      <c r="K36" s="754">
        <f t="shared" si="14"/>
        <v>0</v>
      </c>
      <c r="L36" s="754">
        <f t="shared" si="14"/>
        <v>0</v>
      </c>
      <c r="M36" s="754">
        <f t="shared" si="14"/>
        <v>0</v>
      </c>
      <c r="N36" s="754">
        <f t="shared" si="14"/>
        <v>0</v>
      </c>
      <c r="O36" s="754">
        <f t="shared" si="14"/>
        <v>0</v>
      </c>
      <c r="P36" s="754">
        <v>0</v>
      </c>
      <c r="Q36" s="754">
        <v>0</v>
      </c>
      <c r="R36" s="754">
        <v>0</v>
      </c>
      <c r="S36" s="754">
        <f t="shared" ref="S36:AA36" si="15">S13+S14</f>
        <v>0</v>
      </c>
      <c r="T36" s="754">
        <f t="shared" si="15"/>
        <v>0</v>
      </c>
      <c r="U36" s="754">
        <v>0</v>
      </c>
      <c r="V36" s="754">
        <f>V13+V14</f>
        <v>0</v>
      </c>
      <c r="W36" s="754">
        <f t="shared" si="15"/>
        <v>0</v>
      </c>
      <c r="X36" s="754">
        <f t="shared" si="15"/>
        <v>0</v>
      </c>
      <c r="Y36" s="754">
        <f t="shared" si="15"/>
        <v>0</v>
      </c>
      <c r="Z36" s="754">
        <f t="shared" si="15"/>
        <v>0</v>
      </c>
      <c r="AA36" s="754">
        <f t="shared" si="15"/>
        <v>0</v>
      </c>
    </row>
    <row r="37" spans="1:28" ht="20.100000000000001" customHeight="1"/>
    <row r="38" spans="1:28" ht="20.100000000000001" customHeight="1">
      <c r="A38" s="757" t="s">
        <v>348</v>
      </c>
      <c r="F38" s="757" t="s">
        <v>349</v>
      </c>
      <c r="I38" s="758"/>
      <c r="L38" s="749" t="s">
        <v>350</v>
      </c>
      <c r="S38" s="757" t="s">
        <v>349</v>
      </c>
      <c r="Y38" s="749" t="s">
        <v>350</v>
      </c>
    </row>
    <row r="40" spans="1:28">
      <c r="A40" s="1034"/>
      <c r="B40" s="1034"/>
      <c r="C40" s="1034"/>
      <c r="D40" s="1034"/>
      <c r="E40" s="1034"/>
      <c r="F40" s="1034"/>
      <c r="G40" s="1034"/>
      <c r="H40" s="1034"/>
      <c r="I40" s="1034"/>
      <c r="J40" s="1034"/>
    </row>
    <row r="41" spans="1:28" ht="14.25" customHeight="1">
      <c r="A41" s="1034"/>
      <c r="B41" s="1034"/>
      <c r="C41" s="1034"/>
      <c r="D41" s="1034"/>
      <c r="E41" s="1034"/>
      <c r="F41" s="1034"/>
      <c r="G41" s="1034"/>
      <c r="H41" s="1034"/>
      <c r="I41" s="1034"/>
      <c r="J41" s="1034"/>
      <c r="K41" s="1034"/>
      <c r="L41" s="1034"/>
      <c r="M41" s="1034"/>
      <c r="N41" s="1034"/>
    </row>
  </sheetData>
  <mergeCells count="31">
    <mergeCell ref="B1:N1"/>
    <mergeCell ref="O1:AA1"/>
    <mergeCell ref="B4:N4"/>
    <mergeCell ref="O4:AA4"/>
    <mergeCell ref="B5:L5"/>
    <mergeCell ref="O5:Y5"/>
    <mergeCell ref="C6:E6"/>
    <mergeCell ref="P6:R6"/>
    <mergeCell ref="A40:J40"/>
    <mergeCell ref="A41:N41"/>
    <mergeCell ref="A4:A7"/>
    <mergeCell ref="B6:B7"/>
    <mergeCell ref="F6:F7"/>
    <mergeCell ref="G6:G7"/>
    <mergeCell ref="H6:H7"/>
    <mergeCell ref="I6:I7"/>
    <mergeCell ref="J6:J7"/>
    <mergeCell ref="K6:K7"/>
    <mergeCell ref="L6:L7"/>
    <mergeCell ref="M5:M7"/>
    <mergeCell ref="N5:N7"/>
    <mergeCell ref="O6:O7"/>
    <mergeCell ref="X6:X7"/>
    <mergeCell ref="Y6:Y7"/>
    <mergeCell ref="Z5:Z7"/>
    <mergeCell ref="AA5:AA7"/>
    <mergeCell ref="S6:S7"/>
    <mergeCell ref="T6:T7"/>
    <mergeCell ref="U6:U7"/>
    <mergeCell ref="V6:V7"/>
    <mergeCell ref="W6:W7"/>
  </mergeCells>
  <phoneticPr fontId="78" type="noConversion"/>
  <hyperlinks>
    <hyperlink ref="O2" location="目录!A1" display="BACK"/>
  </hyperlinks>
  <pageMargins left="1.18055555555556" right="0.196527777777778" top="0.78680555555555598" bottom="0.98402777777777795" header="0.51180555555555596" footer="0.51180555555555596"/>
  <pageSetup paperSize="9" scale="49" orientation="landscape" blackAndWhite="1" r:id="rId1"/>
  <headerFooter alignWithMargins="0">
    <oddFooter>&amp;C5</oddFooter>
  </headerFooter>
  <colBreaks count="1" manualBreakCount="1">
    <brk id="14" max="36"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FFC000"/>
  </sheetPr>
  <dimension ref="A1:Y276"/>
  <sheetViews>
    <sheetView view="pageBreakPreview" zoomScaleNormal="100" zoomScaleSheetLayoutView="100" workbookViewId="0">
      <pane xSplit="1" ySplit="4" topLeftCell="B25" activePane="bottomRight" state="frozen"/>
      <selection activeCell="A19" sqref="A19:K22"/>
      <selection pane="topRight" activeCell="A19" sqref="A19:K22"/>
      <selection pane="bottomLeft" activeCell="A19" sqref="A19:K22"/>
      <selection pane="bottomRight" activeCell="E39" sqref="E39"/>
    </sheetView>
  </sheetViews>
  <sheetFormatPr defaultColWidth="9" defaultRowHeight="20.100000000000001" customHeight="1"/>
  <cols>
    <col min="1" max="1" width="37.3984375" style="653" customWidth="1"/>
    <col min="2" max="5" width="25.59765625" style="653" customWidth="1"/>
    <col min="6" max="6" width="6.3984375" style="654" customWidth="1"/>
    <col min="7" max="13" width="12.5" style="110" customWidth="1"/>
    <col min="14" max="14" width="8.19921875" style="110" customWidth="1"/>
    <col min="15" max="21" width="13.69921875" style="110" customWidth="1"/>
    <col min="22" max="22" width="13.59765625" style="653" customWidth="1"/>
    <col min="23" max="23" width="15.3984375" style="653" customWidth="1"/>
    <col min="24" max="24" width="14.19921875" style="653" customWidth="1"/>
    <col min="25" max="25" width="13.59765625" style="653" customWidth="1"/>
    <col min="26" max="16384" width="9" style="653"/>
  </cols>
  <sheetData>
    <row r="1" spans="1:22" s="599" customFormat="1" ht="24.9" customHeight="1">
      <c r="A1" s="6" t="s">
        <v>145</v>
      </c>
      <c r="B1" s="655">
        <f>基础信息!B6</f>
        <v>0</v>
      </c>
      <c r="C1" s="656"/>
      <c r="F1" s="657"/>
      <c r="G1" s="900" t="s">
        <v>146</v>
      </c>
      <c r="H1" s="658"/>
      <c r="I1" s="658"/>
      <c r="J1" s="658"/>
      <c r="K1" s="658"/>
      <c r="L1" s="658"/>
      <c r="M1" s="658"/>
      <c r="N1" s="658"/>
      <c r="O1" s="658"/>
      <c r="P1" s="658"/>
      <c r="Q1" s="658"/>
      <c r="R1" s="658"/>
      <c r="S1" s="658"/>
      <c r="T1" s="658"/>
      <c r="U1" s="658"/>
    </row>
    <row r="2" spans="1:22" s="599" customFormat="1" ht="24.9" customHeight="1">
      <c r="A2" s="6" t="s">
        <v>147</v>
      </c>
      <c r="B2" s="655">
        <f>基础信息!B9</f>
        <v>0</v>
      </c>
      <c r="C2" s="656"/>
      <c r="F2" s="657"/>
      <c r="G2" s="658"/>
      <c r="H2" s="658"/>
      <c r="J2" s="688" t="s">
        <v>351</v>
      </c>
      <c r="K2" s="658"/>
      <c r="L2" s="658"/>
      <c r="M2" s="658"/>
      <c r="N2" s="658"/>
      <c r="O2" s="658"/>
      <c r="P2" s="658"/>
      <c r="R2" s="688" t="s">
        <v>352</v>
      </c>
      <c r="S2" s="658"/>
      <c r="T2" s="658"/>
      <c r="U2" s="658"/>
    </row>
    <row r="3" spans="1:22" s="599" customFormat="1" ht="24.9" customHeight="1">
      <c r="A3" s="6" t="s">
        <v>148</v>
      </c>
      <c r="B3" s="659" t="s">
        <v>353</v>
      </c>
      <c r="C3" s="656"/>
      <c r="F3" s="657"/>
      <c r="G3" s="658"/>
      <c r="H3" s="658"/>
      <c r="I3" s="658"/>
      <c r="J3" s="658"/>
      <c r="K3" s="658"/>
      <c r="L3" s="658"/>
      <c r="M3" s="658"/>
      <c r="N3" s="658"/>
      <c r="O3" s="658"/>
      <c r="P3" s="658"/>
      <c r="Q3" s="658"/>
      <c r="R3" s="658"/>
      <c r="S3" s="658"/>
      <c r="T3" s="658"/>
      <c r="U3" s="658"/>
    </row>
    <row r="4" spans="1:22" s="599" customFormat="1" ht="20.100000000000001" customHeight="1">
      <c r="A4" s="660" t="s">
        <v>137</v>
      </c>
      <c r="B4" s="20" t="s">
        <v>354</v>
      </c>
      <c r="C4" s="661" t="s">
        <v>355</v>
      </c>
      <c r="D4" s="661" t="s">
        <v>356</v>
      </c>
      <c r="E4" s="20" t="s">
        <v>357</v>
      </c>
      <c r="F4" s="662" t="s">
        <v>1</v>
      </c>
      <c r="G4" s="663" t="s">
        <v>358</v>
      </c>
      <c r="H4" s="663" t="s">
        <v>359</v>
      </c>
      <c r="I4" s="663" t="s">
        <v>360</v>
      </c>
      <c r="J4" s="663" t="s">
        <v>361</v>
      </c>
      <c r="K4" s="663" t="s">
        <v>362</v>
      </c>
      <c r="L4" s="663" t="s">
        <v>363</v>
      </c>
      <c r="M4" s="663" t="s">
        <v>364</v>
      </c>
      <c r="N4" s="662" t="s">
        <v>1</v>
      </c>
      <c r="O4" s="662" t="s">
        <v>358</v>
      </c>
      <c r="P4" s="662" t="s">
        <v>359</v>
      </c>
      <c r="Q4" s="662" t="s">
        <v>360</v>
      </c>
      <c r="R4" s="703" t="s">
        <v>361</v>
      </c>
      <c r="S4" s="703" t="s">
        <v>362</v>
      </c>
      <c r="T4" s="662" t="s">
        <v>363</v>
      </c>
      <c r="U4" s="662" t="s">
        <v>364</v>
      </c>
    </row>
    <row r="5" spans="1:22" s="650" customFormat="1" ht="20.100000000000001" customHeight="1">
      <c r="A5" s="664" t="s">
        <v>2276</v>
      </c>
      <c r="B5" s="108"/>
      <c r="C5" s="108"/>
      <c r="D5" s="108"/>
      <c r="E5" s="108"/>
      <c r="F5" s="665"/>
      <c r="G5" s="96"/>
      <c r="H5" s="666"/>
      <c r="I5" s="666"/>
      <c r="J5" s="666"/>
      <c r="K5" s="689"/>
      <c r="L5" s="690"/>
      <c r="M5" s="690"/>
      <c r="N5" s="690"/>
      <c r="O5" s="21"/>
      <c r="P5" s="691"/>
      <c r="Q5" s="691"/>
      <c r="R5" s="691"/>
      <c r="S5" s="689"/>
      <c r="T5" s="690"/>
      <c r="U5" s="690"/>
    </row>
    <row r="6" spans="1:22" s="650" customFormat="1" ht="20.100000000000001" customHeight="1">
      <c r="A6" s="664" t="s">
        <v>37</v>
      </c>
      <c r="B6" s="108"/>
      <c r="C6" s="95">
        <f>SUMIF($P:$P,A6,R:R)-SUMIF($P:$P,A6,S:S)</f>
        <v>0</v>
      </c>
      <c r="D6" s="95">
        <f>SUMIF($H:$H,A6,J:J)-SUMIF($H:$H,A6,K:K)</f>
        <v>0</v>
      </c>
      <c r="E6" s="95">
        <f t="shared" ref="E6:E14" si="0">SUM(B6:D6)</f>
        <v>0</v>
      </c>
      <c r="F6" s="667"/>
      <c r="G6" s="96"/>
      <c r="H6" s="96"/>
      <c r="I6" s="96"/>
      <c r="J6" s="96"/>
      <c r="K6" s="96"/>
      <c r="L6" s="96"/>
      <c r="M6" s="96"/>
      <c r="N6" s="96"/>
      <c r="O6" s="96"/>
      <c r="P6" s="96"/>
      <c r="Q6" s="96"/>
      <c r="R6" s="96"/>
      <c r="S6" s="96"/>
      <c r="T6" s="96"/>
      <c r="U6" s="96"/>
    </row>
    <row r="7" spans="1:22" s="650" customFormat="1" ht="20.100000000000001" customHeight="1">
      <c r="A7" s="965" t="s">
        <v>2275</v>
      </c>
      <c r="B7" s="108"/>
      <c r="C7" s="95">
        <f>SUMIF($P:$P,A7,R:R)-SUMIF($P:$P,A7,S:S)</f>
        <v>0</v>
      </c>
      <c r="D7" s="95">
        <f>SUMIF($H:$H,A7,J:J)-SUMIF($H:$H,A7,K:K)</f>
        <v>0</v>
      </c>
      <c r="E7" s="95">
        <f t="shared" si="0"/>
        <v>0</v>
      </c>
      <c r="F7" s="667"/>
      <c r="G7" s="96"/>
      <c r="H7" s="96"/>
      <c r="I7" s="96"/>
      <c r="J7" s="96"/>
      <c r="K7" s="96"/>
      <c r="L7" s="96"/>
      <c r="M7" s="96"/>
      <c r="N7" s="96"/>
      <c r="O7" s="96"/>
      <c r="P7" s="96"/>
      <c r="Q7" s="96"/>
      <c r="R7" s="96"/>
      <c r="S7" s="96"/>
      <c r="T7" s="96"/>
      <c r="U7" s="96"/>
    </row>
    <row r="8" spans="1:22" s="650" customFormat="1" ht="32.25" customHeight="1">
      <c r="A8" s="668" t="s">
        <v>40</v>
      </c>
      <c r="B8" s="108"/>
      <c r="C8" s="95">
        <f>SUMIF($P:$P,A8,R:R)-SUMIF($P:$P,A8,S:S)</f>
        <v>0</v>
      </c>
      <c r="D8" s="95">
        <f>SUMIF($H:$H,A8,J:J)-SUMIF($H:$H,A8,K:K)</f>
        <v>0</v>
      </c>
      <c r="E8" s="95">
        <f t="shared" si="0"/>
        <v>0</v>
      </c>
      <c r="F8" s="669"/>
      <c r="G8" s="670"/>
      <c r="H8" s="670"/>
      <c r="I8" s="670"/>
      <c r="J8" s="674"/>
      <c r="K8" s="674"/>
      <c r="L8" s="692"/>
      <c r="M8" s="692"/>
      <c r="N8" s="693"/>
      <c r="O8" s="693"/>
      <c r="P8" s="693"/>
      <c r="Q8" s="693"/>
      <c r="R8" s="692"/>
      <c r="S8" s="692"/>
      <c r="T8" s="690"/>
      <c r="U8" s="690"/>
    </row>
    <row r="9" spans="1:22" s="650" customFormat="1" ht="20.100000000000001" customHeight="1">
      <c r="A9" s="664" t="s">
        <v>41</v>
      </c>
      <c r="B9" s="108"/>
      <c r="C9" s="95">
        <f>SUMIF($P:$P,A9,R:R)-SUMIF($P:$P,A9,S:S)</f>
        <v>0</v>
      </c>
      <c r="D9" s="95">
        <f>SUMIF($H:$H,A9,J:J)-SUMIF($H:$H,A9,K:K)</f>
        <v>0</v>
      </c>
      <c r="E9" s="95">
        <f t="shared" si="0"/>
        <v>0</v>
      </c>
      <c r="F9" s="669"/>
      <c r="G9" s="670"/>
      <c r="H9" s="670"/>
      <c r="I9" s="670"/>
      <c r="J9" s="674"/>
      <c r="K9" s="674"/>
      <c r="L9" s="692"/>
      <c r="M9" s="692"/>
      <c r="N9" s="693"/>
      <c r="O9" s="693"/>
      <c r="P9" s="693"/>
      <c r="Q9" s="693"/>
      <c r="R9" s="692"/>
      <c r="S9" s="692"/>
      <c r="T9" s="690"/>
      <c r="U9" s="690"/>
    </row>
    <row r="10" spans="1:22" s="650" customFormat="1" ht="20.100000000000001" customHeight="1">
      <c r="A10" s="965" t="s">
        <v>2278</v>
      </c>
      <c r="B10" s="108"/>
      <c r="C10" s="95">
        <f>SUMIF($P:$P,A10,R:R)-SUMIF($P:$P,A10,S:S)</f>
        <v>0</v>
      </c>
      <c r="D10" s="95">
        <f>SUMIF($H:$H,A10,J:J)-SUMIF($H:$H,A10,K:K)</f>
        <v>0</v>
      </c>
      <c r="E10" s="95">
        <f t="shared" ref="E10:E11" si="1">SUM(B10:D10)</f>
        <v>0</v>
      </c>
      <c r="F10" s="669"/>
      <c r="G10" s="670"/>
      <c r="H10" s="670"/>
      <c r="I10" s="670"/>
      <c r="J10" s="674"/>
      <c r="K10" s="674"/>
      <c r="L10" s="694"/>
      <c r="M10" s="692"/>
      <c r="N10" s="693"/>
      <c r="O10" s="693"/>
      <c r="P10" s="693"/>
      <c r="Q10" s="693"/>
      <c r="R10" s="692"/>
      <c r="S10" s="692"/>
      <c r="T10" s="690"/>
      <c r="U10" s="690"/>
    </row>
    <row r="11" spans="1:22" s="245" customFormat="1" ht="20.100000000000001" customHeight="1">
      <c r="A11" s="965" t="s">
        <v>2279</v>
      </c>
      <c r="B11" s="108"/>
      <c r="C11" s="95">
        <f>-SUMIF($P:$P,A11,R:R)+SUMIF($P:$P,A11,S:S)</f>
        <v>0</v>
      </c>
      <c r="D11" s="95">
        <f>-SUMIF($H:$H,A11,J:J)+SUMIF($H:$H,A11,K:K)</f>
        <v>0</v>
      </c>
      <c r="E11" s="95">
        <f t="shared" si="1"/>
        <v>0</v>
      </c>
      <c r="F11" s="671"/>
      <c r="G11" s="672"/>
      <c r="H11" s="670"/>
      <c r="I11" s="670"/>
      <c r="J11" s="674"/>
      <c r="K11" s="674"/>
      <c r="L11" s="692"/>
      <c r="M11" s="692"/>
      <c r="N11" s="693"/>
      <c r="O11" s="693"/>
      <c r="P11" s="693"/>
      <c r="Q11" s="697"/>
      <c r="R11" s="704"/>
      <c r="S11" s="704"/>
      <c r="T11" s="689"/>
      <c r="U11" s="690"/>
      <c r="V11" s="650"/>
    </row>
    <row r="12" spans="1:22" s="650" customFormat="1" ht="20.100000000000001" customHeight="1">
      <c r="A12" s="1000" t="s">
        <v>2277</v>
      </c>
      <c r="B12" s="95">
        <f>B10-B11</f>
        <v>0</v>
      </c>
      <c r="C12" s="95">
        <f>C10-C11</f>
        <v>0</v>
      </c>
      <c r="D12" s="95">
        <f>D10-D11</f>
        <v>0</v>
      </c>
      <c r="E12" s="95">
        <f>E10-E11</f>
        <v>0</v>
      </c>
      <c r="F12" s="671"/>
      <c r="G12" s="672"/>
      <c r="H12" s="670"/>
      <c r="I12" s="670"/>
      <c r="J12" s="674"/>
      <c r="K12" s="674"/>
      <c r="L12" s="692"/>
      <c r="M12" s="692"/>
      <c r="N12" s="693"/>
      <c r="O12" s="693"/>
      <c r="P12" s="695"/>
      <c r="Q12" s="695"/>
      <c r="R12" s="705"/>
      <c r="S12" s="705"/>
      <c r="T12" s="689"/>
      <c r="U12" s="690"/>
    </row>
    <row r="13" spans="1:22" s="650" customFormat="1" ht="20.100000000000001" customHeight="1">
      <c r="A13" s="965" t="s">
        <v>2280</v>
      </c>
      <c r="B13" s="108"/>
      <c r="C13" s="95">
        <f>SUMIF($P:$P,A13,R:R)-SUMIF($P:$P,A13,S:S)</f>
        <v>0</v>
      </c>
      <c r="D13" s="95">
        <f>SUMIF($H:$H,A13,J:J)-SUMIF($H:$H,A13,K:K)</f>
        <v>0</v>
      </c>
      <c r="E13" s="95">
        <f t="shared" si="0"/>
        <v>0</v>
      </c>
      <c r="F13" s="669"/>
      <c r="G13" s="670"/>
      <c r="H13" s="670"/>
      <c r="I13" s="670"/>
      <c r="J13" s="674"/>
      <c r="K13" s="674"/>
      <c r="L13" s="694"/>
      <c r="M13" s="692"/>
      <c r="N13" s="693"/>
      <c r="O13" s="693"/>
      <c r="P13" s="693"/>
      <c r="Q13" s="693"/>
      <c r="R13" s="692"/>
      <c r="S13" s="692"/>
      <c r="T13" s="690"/>
      <c r="U13" s="690"/>
    </row>
    <row r="14" spans="1:22" s="245" customFormat="1" ht="20.100000000000001" customHeight="1">
      <c r="A14" s="965" t="s">
        <v>2281</v>
      </c>
      <c r="B14" s="108"/>
      <c r="C14" s="95">
        <f>-SUMIF($P:$P,A14,R:R)+SUMIF($P:$P,A14,S:S)</f>
        <v>0</v>
      </c>
      <c r="D14" s="95">
        <f>-SUMIF($H:$H,A14,J:J)+SUMIF($H:$H,A14,K:K)</f>
        <v>0</v>
      </c>
      <c r="E14" s="95">
        <f t="shared" si="0"/>
        <v>0</v>
      </c>
      <c r="F14" s="671"/>
      <c r="G14" s="672"/>
      <c r="H14" s="670"/>
      <c r="I14" s="670"/>
      <c r="J14" s="674"/>
      <c r="K14" s="674"/>
      <c r="L14" s="692"/>
      <c r="M14" s="692"/>
      <c r="N14" s="693"/>
      <c r="O14" s="693"/>
      <c r="P14" s="693"/>
      <c r="Q14" s="697"/>
      <c r="R14" s="704"/>
      <c r="S14" s="704"/>
      <c r="T14" s="689"/>
      <c r="U14" s="690"/>
      <c r="V14" s="650"/>
    </row>
    <row r="15" spans="1:22" s="650" customFormat="1" ht="20.100000000000001" customHeight="1">
      <c r="A15" s="1001" t="s">
        <v>365</v>
      </c>
      <c r="B15" s="95">
        <f>B13-B14</f>
        <v>0</v>
      </c>
      <c r="C15" s="95">
        <f>C13-C14</f>
        <v>0</v>
      </c>
      <c r="D15" s="95">
        <f>D13-D14</f>
        <v>0</v>
      </c>
      <c r="E15" s="95">
        <f>E13-E14</f>
        <v>0</v>
      </c>
      <c r="F15" s="671"/>
      <c r="G15" s="672"/>
      <c r="H15" s="670"/>
      <c r="I15" s="670"/>
      <c r="J15" s="674"/>
      <c r="K15" s="674"/>
      <c r="L15" s="692"/>
      <c r="M15" s="692"/>
      <c r="N15" s="693"/>
      <c r="O15" s="693"/>
      <c r="P15" s="695"/>
      <c r="Q15" s="695"/>
      <c r="R15" s="705"/>
      <c r="S15" s="705"/>
      <c r="T15" s="689"/>
      <c r="U15" s="690"/>
    </row>
    <row r="16" spans="1:22" s="650" customFormat="1" ht="20.100000000000001" customHeight="1">
      <c r="A16" s="965" t="s">
        <v>2282</v>
      </c>
      <c r="B16" s="108"/>
      <c r="C16" s="95">
        <f>SUMIF($P:$P,A16,R:R)-SUMIF($P:$P,A16,S:S)</f>
        <v>0</v>
      </c>
      <c r="D16" s="95">
        <f>SUMIF($H:$H,A16,J:J)-SUMIF($H:$H,A16,K:K)</f>
        <v>0</v>
      </c>
      <c r="E16" s="95">
        <f>SUM(B16:D16)</f>
        <v>0</v>
      </c>
      <c r="F16" s="671"/>
      <c r="G16" s="672"/>
      <c r="H16" s="670"/>
      <c r="I16" s="670"/>
      <c r="J16" s="674"/>
      <c r="K16" s="674"/>
      <c r="L16" s="692"/>
      <c r="M16" s="692"/>
      <c r="N16" s="695"/>
      <c r="O16" s="695"/>
      <c r="P16" s="695"/>
      <c r="Q16" s="695"/>
      <c r="R16" s="695"/>
      <c r="S16" s="695"/>
      <c r="T16" s="690"/>
      <c r="U16" s="690"/>
    </row>
    <row r="17" spans="1:25" s="650" customFormat="1" ht="20.100000000000001" customHeight="1">
      <c r="A17" s="664" t="s">
        <v>44</v>
      </c>
      <c r="B17" s="108"/>
      <c r="C17" s="95">
        <f>SUMIF($P:$P,A17,R:R)-SUMIF($P:$P,A17,S:S)</f>
        <v>0</v>
      </c>
      <c r="D17" s="95">
        <f>SUMIF($H:$H,A17,J:J)-SUMIF($H:$H,A17,K:K)</f>
        <v>0</v>
      </c>
      <c r="E17" s="95">
        <f>SUM(B17:D17)</f>
        <v>0</v>
      </c>
      <c r="F17" s="671"/>
      <c r="G17" s="672"/>
      <c r="H17" s="670"/>
      <c r="I17" s="670"/>
      <c r="J17" s="674"/>
      <c r="K17" s="674"/>
      <c r="L17" s="692"/>
      <c r="M17" s="692"/>
      <c r="N17" s="695"/>
      <c r="O17" s="695"/>
      <c r="P17" s="695"/>
      <c r="Q17" s="695"/>
      <c r="R17" s="695"/>
      <c r="S17" s="695"/>
      <c r="T17" s="690"/>
      <c r="U17" s="690"/>
    </row>
    <row r="18" spans="1:25" s="650" customFormat="1" ht="20.100000000000001" customHeight="1">
      <c r="A18" s="664" t="s">
        <v>366</v>
      </c>
      <c r="B18" s="108"/>
      <c r="C18" s="95">
        <f>SUMIF($P:$P,A18,R:R)-SUMIF($P:$P,A18,S:S)</f>
        <v>0</v>
      </c>
      <c r="D18" s="95">
        <f>SUMIF($H:$H,A18,J:J)-SUMIF($H:$H,A18,K:K)</f>
        <v>0</v>
      </c>
      <c r="E18" s="95">
        <f>SUM(B18:D18)</f>
        <v>0</v>
      </c>
      <c r="F18" s="671"/>
      <c r="G18" s="672"/>
      <c r="H18" s="674"/>
      <c r="I18" s="674"/>
      <c r="J18" s="674"/>
      <c r="K18" s="674"/>
      <c r="L18" s="692"/>
      <c r="M18" s="692"/>
      <c r="N18" s="695"/>
      <c r="O18" s="693"/>
      <c r="P18" s="693"/>
      <c r="Q18" s="695"/>
      <c r="R18" s="705"/>
      <c r="S18" s="705"/>
      <c r="T18" s="690"/>
      <c r="U18" s="690"/>
    </row>
    <row r="19" spans="1:25" s="245" customFormat="1" ht="20.100000000000001" customHeight="1">
      <c r="A19" s="1002" t="s">
        <v>2283</v>
      </c>
      <c r="B19" s="108"/>
      <c r="C19" s="95">
        <f>-SUMIF($P:$P,A19,R:R)+SUMIF($P:$P,A19,S:S)</f>
        <v>0</v>
      </c>
      <c r="D19" s="95">
        <f>-SUMIF($H:$H,A19,J:J)+SUMIF($H:$H,A19,K:K)</f>
        <v>0</v>
      </c>
      <c r="E19" s="95">
        <f>SUM(B19:D19)</f>
        <v>0</v>
      </c>
      <c r="F19" s="671"/>
      <c r="G19" s="672"/>
      <c r="H19" s="670"/>
      <c r="I19" s="670"/>
      <c r="J19" s="674"/>
      <c r="K19" s="674"/>
      <c r="L19" s="692"/>
      <c r="M19" s="692"/>
      <c r="N19" s="695"/>
      <c r="O19" s="693"/>
      <c r="P19" s="693"/>
      <c r="Q19" s="697"/>
      <c r="R19" s="704"/>
      <c r="S19" s="704"/>
      <c r="T19" s="690"/>
      <c r="U19" s="690"/>
    </row>
    <row r="20" spans="1:25" s="650" customFormat="1" ht="20.100000000000001" customHeight="1">
      <c r="A20" s="673" t="s">
        <v>367</v>
      </c>
      <c r="B20" s="95">
        <f>B18-B19</f>
        <v>0</v>
      </c>
      <c r="C20" s="95">
        <f>C18-C19</f>
        <v>0</v>
      </c>
      <c r="D20" s="95">
        <f>D18-D19</f>
        <v>0</v>
      </c>
      <c r="E20" s="95">
        <f>E18-E19</f>
        <v>0</v>
      </c>
      <c r="F20" s="671"/>
      <c r="G20" s="672"/>
      <c r="H20" s="676"/>
      <c r="I20" s="670"/>
      <c r="J20" s="674"/>
      <c r="K20" s="674"/>
      <c r="L20" s="692"/>
      <c r="M20" s="692"/>
      <c r="N20" s="695"/>
      <c r="O20" s="693"/>
      <c r="P20" s="695"/>
      <c r="Q20" s="695"/>
      <c r="R20" s="705"/>
      <c r="S20" s="705"/>
      <c r="T20" s="690"/>
      <c r="U20" s="690"/>
    </row>
    <row r="21" spans="1:25" s="650" customFormat="1" ht="20.100000000000001" customHeight="1">
      <c r="A21" s="664" t="s">
        <v>49</v>
      </c>
      <c r="B21" s="108"/>
      <c r="C21" s="95">
        <f>SUMIF($P:$P,A21,R:R)-SUMIF($P:$P,A21,S:S)</f>
        <v>0</v>
      </c>
      <c r="D21" s="95">
        <f>SUMIF($H:$H,A21,J:J)-SUMIF($H:$H,A21,K:K)</f>
        <v>0</v>
      </c>
      <c r="E21" s="95">
        <f>SUM(B21:D21)</f>
        <v>0</v>
      </c>
      <c r="F21" s="671"/>
      <c r="G21" s="672"/>
      <c r="H21" s="674"/>
      <c r="I21" s="674"/>
      <c r="J21" s="674"/>
      <c r="K21" s="674"/>
      <c r="L21" s="692"/>
      <c r="M21" s="692"/>
      <c r="N21" s="695"/>
      <c r="O21" s="693"/>
      <c r="P21" s="695"/>
      <c r="Q21" s="695"/>
      <c r="R21" s="705"/>
      <c r="S21" s="705"/>
      <c r="T21" s="690"/>
      <c r="U21" s="690"/>
    </row>
    <row r="22" spans="1:25" s="245" customFormat="1" ht="20.100000000000001" customHeight="1">
      <c r="A22" s="675" t="s">
        <v>1370</v>
      </c>
      <c r="B22" s="108"/>
      <c r="C22" s="95">
        <f>-SUMIF($P:$P,A22,R:R)+SUMIF($P:$P,A22,S:S)</f>
        <v>0</v>
      </c>
      <c r="D22" s="95">
        <f>-SUMIF($H:$H,A22,J:J)+SUMIF($H:$H,A22,K:K)</f>
        <v>0</v>
      </c>
      <c r="E22" s="95">
        <f>SUM(B22:D22)</f>
        <v>0</v>
      </c>
      <c r="F22" s="671"/>
      <c r="G22" s="672"/>
      <c r="H22" s="674"/>
      <c r="I22" s="674"/>
      <c r="J22" s="674"/>
      <c r="K22" s="674"/>
      <c r="L22" s="692"/>
      <c r="M22" s="692"/>
      <c r="N22" s="695"/>
      <c r="O22" s="696"/>
      <c r="P22" s="695"/>
      <c r="Q22" s="695"/>
      <c r="R22" s="706"/>
      <c r="S22" s="705"/>
      <c r="T22" s="690"/>
      <c r="U22" s="690"/>
    </row>
    <row r="23" spans="1:25" s="650" customFormat="1" ht="20.100000000000001" customHeight="1">
      <c r="A23" s="677" t="s">
        <v>368</v>
      </c>
      <c r="B23" s="95">
        <f>B21-B22</f>
        <v>0</v>
      </c>
      <c r="C23" s="95">
        <f>C21-C22</f>
        <v>0</v>
      </c>
      <c r="D23" s="95">
        <f>D21-D22</f>
        <v>0</v>
      </c>
      <c r="E23" s="95">
        <f>E21-E22</f>
        <v>0</v>
      </c>
      <c r="F23" s="671"/>
      <c r="G23" s="672"/>
      <c r="H23" s="670"/>
      <c r="I23" s="670"/>
      <c r="J23" s="674"/>
      <c r="K23" s="674"/>
      <c r="L23" s="692"/>
      <c r="M23" s="692"/>
      <c r="N23" s="695"/>
      <c r="O23" s="696"/>
      <c r="P23" s="697"/>
      <c r="Q23" s="697"/>
      <c r="R23" s="697"/>
      <c r="S23" s="705"/>
      <c r="T23" s="690"/>
      <c r="U23" s="690"/>
    </row>
    <row r="24" spans="1:25" s="650" customFormat="1" ht="20.100000000000001" customHeight="1">
      <c r="A24" s="965" t="s">
        <v>2062</v>
      </c>
      <c r="B24" s="284"/>
      <c r="C24" s="95">
        <f t="shared" ref="C24:E25" si="2">C22-C23</f>
        <v>0</v>
      </c>
      <c r="D24" s="95">
        <f t="shared" si="2"/>
        <v>0</v>
      </c>
      <c r="E24" s="95">
        <f t="shared" si="2"/>
        <v>0</v>
      </c>
      <c r="F24" s="671"/>
      <c r="G24" s="672"/>
      <c r="H24" s="670"/>
      <c r="I24" s="670"/>
      <c r="J24" s="674"/>
      <c r="K24" s="674"/>
      <c r="L24" s="692"/>
      <c r="M24" s="692"/>
      <c r="N24" s="695"/>
      <c r="O24" s="696"/>
      <c r="P24" s="697"/>
      <c r="Q24" s="697"/>
      <c r="R24" s="697"/>
      <c r="S24" s="705"/>
      <c r="T24" s="690"/>
      <c r="U24" s="690"/>
    </row>
    <row r="25" spans="1:25" s="650" customFormat="1" ht="20.100000000000001" customHeight="1">
      <c r="A25" s="965" t="s">
        <v>2104</v>
      </c>
      <c r="B25" s="284"/>
      <c r="C25" s="95">
        <f t="shared" si="2"/>
        <v>0</v>
      </c>
      <c r="D25" s="95">
        <f t="shared" si="2"/>
        <v>0</v>
      </c>
      <c r="E25" s="95">
        <f t="shared" si="2"/>
        <v>0</v>
      </c>
      <c r="F25" s="671"/>
      <c r="G25" s="672"/>
      <c r="H25" s="670"/>
      <c r="I25" s="670"/>
      <c r="J25" s="674"/>
      <c r="K25" s="674"/>
      <c r="L25" s="692"/>
      <c r="M25" s="692"/>
      <c r="N25" s="695"/>
      <c r="O25" s="696"/>
      <c r="P25" s="697"/>
      <c r="Q25" s="697"/>
      <c r="R25" s="697"/>
      <c r="S25" s="705"/>
      <c r="T25" s="690"/>
      <c r="U25" s="690"/>
    </row>
    <row r="26" spans="1:25" s="650" customFormat="1" ht="20.100000000000001" customHeight="1">
      <c r="A26" s="1003" t="s">
        <v>2105</v>
      </c>
      <c r="B26" s="95">
        <f>B24-B25</f>
        <v>0</v>
      </c>
      <c r="C26" s="95">
        <f>C24-C25</f>
        <v>0</v>
      </c>
      <c r="D26" s="95">
        <f t="shared" ref="D26:E26" si="3">D24-D25</f>
        <v>0</v>
      </c>
      <c r="E26" s="95">
        <f t="shared" si="3"/>
        <v>0</v>
      </c>
      <c r="F26" s="671"/>
      <c r="G26" s="672"/>
      <c r="H26" s="670"/>
      <c r="I26" s="670"/>
      <c r="J26" s="674"/>
      <c r="K26" s="674"/>
      <c r="L26" s="692"/>
      <c r="M26" s="692"/>
      <c r="N26" s="695"/>
      <c r="O26" s="696"/>
      <c r="P26" s="697"/>
      <c r="Q26" s="697"/>
      <c r="R26" s="697"/>
      <c r="S26" s="705"/>
      <c r="T26" s="690"/>
      <c r="U26" s="690"/>
    </row>
    <row r="27" spans="1:25" s="650" customFormat="1" ht="20.100000000000001" customHeight="1">
      <c r="A27" s="678" t="s">
        <v>369</v>
      </c>
      <c r="B27" s="108"/>
      <c r="C27" s="95">
        <f>C22-C23</f>
        <v>0</v>
      </c>
      <c r="D27" s="95">
        <f>D22-D23</f>
        <v>0</v>
      </c>
      <c r="E27" s="95">
        <f>E22-E23</f>
        <v>0</v>
      </c>
      <c r="F27" s="671"/>
      <c r="G27" s="672"/>
      <c r="H27" s="670"/>
      <c r="I27" s="670"/>
      <c r="J27" s="674"/>
      <c r="K27" s="674"/>
      <c r="L27" s="692"/>
      <c r="M27" s="692"/>
      <c r="N27" s="695"/>
      <c r="O27" s="696"/>
      <c r="P27" s="697"/>
      <c r="Q27" s="697"/>
      <c r="R27" s="697"/>
      <c r="S27" s="705"/>
      <c r="T27" s="690"/>
      <c r="U27" s="690"/>
    </row>
    <row r="28" spans="1:25" s="650" customFormat="1" ht="20.100000000000001" customHeight="1">
      <c r="A28" s="664" t="s">
        <v>184</v>
      </c>
      <c r="B28" s="108"/>
      <c r="C28" s="95">
        <f t="shared" ref="C28:C34" si="4">SUMIF($P:$P,A28,R:R)-SUMIF($P:$P,A28,S:S)</f>
        <v>0</v>
      </c>
      <c r="D28" s="95">
        <f t="shared" ref="D28:D34" si="5">SUMIF($H:$H,A28,J:J)-SUMIF($H:$H,A28,K:K)</f>
        <v>0</v>
      </c>
      <c r="E28" s="95">
        <f t="shared" ref="E28:E35" si="6">SUM(B28:D28)</f>
        <v>0</v>
      </c>
      <c r="F28" s="671"/>
      <c r="G28" s="672"/>
      <c r="H28" s="674"/>
      <c r="I28" s="674"/>
      <c r="J28" s="674"/>
      <c r="K28" s="674"/>
      <c r="L28" s="692"/>
      <c r="M28" s="692"/>
      <c r="N28" s="695"/>
      <c r="O28" s="695"/>
      <c r="P28" s="695"/>
      <c r="Q28" s="695"/>
      <c r="R28" s="695"/>
      <c r="S28" s="705"/>
      <c r="T28" s="690"/>
      <c r="U28" s="690"/>
    </row>
    <row r="29" spans="1:25" s="650" customFormat="1" ht="20.100000000000001" customHeight="1">
      <c r="A29" s="664" t="s">
        <v>370</v>
      </c>
      <c r="B29" s="108"/>
      <c r="C29" s="95">
        <f t="shared" si="4"/>
        <v>0</v>
      </c>
      <c r="D29" s="95">
        <f t="shared" si="5"/>
        <v>0</v>
      </c>
      <c r="E29" s="95">
        <f t="shared" si="6"/>
        <v>0</v>
      </c>
      <c r="F29" s="671"/>
      <c r="G29" s="672"/>
      <c r="H29" s="674"/>
      <c r="I29" s="674"/>
      <c r="J29" s="674"/>
      <c r="K29" s="674"/>
      <c r="L29" s="692"/>
      <c r="M29" s="692"/>
      <c r="N29" s="695"/>
      <c r="O29" s="696"/>
      <c r="P29" s="695"/>
      <c r="Q29" s="695"/>
      <c r="R29" s="108"/>
      <c r="S29" s="706"/>
      <c r="T29" s="690"/>
      <c r="U29" s="690"/>
    </row>
    <row r="30" spans="1:25" s="650" customFormat="1" ht="20.100000000000001" customHeight="1">
      <c r="A30" s="664" t="s">
        <v>371</v>
      </c>
      <c r="B30" s="108"/>
      <c r="C30" s="95">
        <f t="shared" si="4"/>
        <v>0</v>
      </c>
      <c r="D30" s="95">
        <f t="shared" si="5"/>
        <v>0</v>
      </c>
      <c r="E30" s="95">
        <f t="shared" si="6"/>
        <v>0</v>
      </c>
      <c r="F30" s="671"/>
      <c r="G30" s="672"/>
      <c r="H30" s="670"/>
      <c r="I30" s="670"/>
      <c r="J30" s="674"/>
      <c r="K30" s="674"/>
      <c r="L30" s="692"/>
      <c r="M30" s="692"/>
      <c r="N30" s="695"/>
      <c r="O30" s="696"/>
      <c r="P30" s="695"/>
      <c r="Q30" s="695"/>
      <c r="R30" s="695"/>
      <c r="S30" s="706"/>
      <c r="T30" s="690"/>
      <c r="U30" s="690"/>
      <c r="X30" s="707"/>
      <c r="Y30" s="707"/>
    </row>
    <row r="31" spans="1:25" s="650" customFormat="1" ht="20.100000000000001" customHeight="1">
      <c r="A31" s="664" t="s">
        <v>372</v>
      </c>
      <c r="B31" s="108"/>
      <c r="C31" s="95">
        <f t="shared" si="4"/>
        <v>0</v>
      </c>
      <c r="D31" s="95">
        <f t="shared" si="5"/>
        <v>0</v>
      </c>
      <c r="E31" s="95">
        <f t="shared" si="6"/>
        <v>0</v>
      </c>
      <c r="F31" s="671"/>
      <c r="G31" s="672"/>
      <c r="H31" s="674"/>
      <c r="I31" s="674"/>
      <c r="J31" s="674"/>
      <c r="K31" s="674"/>
      <c r="L31" s="692"/>
      <c r="M31" s="692"/>
      <c r="N31" s="695"/>
      <c r="O31" s="695"/>
      <c r="P31" s="695"/>
      <c r="Q31" s="695"/>
      <c r="R31" s="695"/>
      <c r="S31" s="695"/>
      <c r="T31" s="690"/>
      <c r="U31" s="690"/>
      <c r="X31" s="707"/>
      <c r="Y31" s="707"/>
    </row>
    <row r="32" spans="1:25" s="650" customFormat="1" ht="20.100000000000001" customHeight="1">
      <c r="A32" s="664" t="s">
        <v>373</v>
      </c>
      <c r="B32" s="108"/>
      <c r="C32" s="95">
        <f t="shared" si="4"/>
        <v>0</v>
      </c>
      <c r="D32" s="95">
        <f t="shared" si="5"/>
        <v>0</v>
      </c>
      <c r="E32" s="95">
        <f t="shared" si="6"/>
        <v>0</v>
      </c>
      <c r="F32" s="671"/>
      <c r="G32" s="672"/>
      <c r="H32" s="674"/>
      <c r="I32" s="674"/>
      <c r="J32" s="674"/>
      <c r="K32" s="674"/>
      <c r="L32" s="692"/>
      <c r="M32" s="692"/>
      <c r="N32" s="695"/>
      <c r="O32" s="696"/>
      <c r="P32" s="693"/>
      <c r="Q32" s="695"/>
      <c r="R32" s="708"/>
      <c r="S32" s="708"/>
      <c r="T32" s="690"/>
      <c r="U32" s="690"/>
      <c r="X32" s="707"/>
      <c r="Y32" s="707"/>
    </row>
    <row r="33" spans="1:25" s="650" customFormat="1" ht="20.100000000000001" customHeight="1">
      <c r="A33" s="664" t="s">
        <v>374</v>
      </c>
      <c r="B33" s="108"/>
      <c r="C33" s="95">
        <f t="shared" si="4"/>
        <v>0</v>
      </c>
      <c r="D33" s="95">
        <f t="shared" si="5"/>
        <v>0</v>
      </c>
      <c r="E33" s="95">
        <f t="shared" si="6"/>
        <v>0</v>
      </c>
      <c r="F33" s="679"/>
      <c r="G33" s="670"/>
      <c r="H33" s="670"/>
      <c r="I33" s="670"/>
      <c r="J33" s="674"/>
      <c r="K33" s="674"/>
      <c r="L33" s="692"/>
      <c r="M33" s="692"/>
      <c r="N33" s="695"/>
      <c r="O33" s="696"/>
      <c r="P33" s="693"/>
      <c r="Q33" s="693"/>
      <c r="R33" s="708"/>
      <c r="S33" s="708"/>
      <c r="T33" s="690"/>
      <c r="U33" s="690"/>
      <c r="X33" s="707"/>
      <c r="Y33" s="707"/>
    </row>
    <row r="34" spans="1:25" s="650" customFormat="1" ht="20.100000000000001" customHeight="1">
      <c r="A34" s="664" t="s">
        <v>375</v>
      </c>
      <c r="B34" s="108"/>
      <c r="C34" s="95">
        <f t="shared" si="4"/>
        <v>0</v>
      </c>
      <c r="D34" s="95">
        <f t="shared" si="5"/>
        <v>0</v>
      </c>
      <c r="E34" s="95">
        <f t="shared" si="6"/>
        <v>0</v>
      </c>
      <c r="F34" s="671"/>
      <c r="G34" s="672"/>
      <c r="H34" s="670"/>
      <c r="I34" s="674"/>
      <c r="J34" s="674"/>
      <c r="K34" s="674"/>
      <c r="L34" s="692"/>
      <c r="M34" s="692"/>
      <c r="N34" s="695"/>
      <c r="O34" s="693"/>
      <c r="P34" s="693"/>
      <c r="Q34" s="693"/>
      <c r="R34" s="708"/>
      <c r="S34" s="708"/>
      <c r="T34" s="690"/>
      <c r="U34" s="690"/>
    </row>
    <row r="35" spans="1:25" s="245" customFormat="1" ht="20.100000000000001" customHeight="1">
      <c r="A35" s="675" t="s">
        <v>2284</v>
      </c>
      <c r="B35" s="108"/>
      <c r="C35" s="95">
        <f>-SUMIF($P:$P,A35,R:R)+SUMIF($P:$P,A35,S:S)</f>
        <v>0</v>
      </c>
      <c r="D35" s="95">
        <f>-SUMIF($H:$H,A35,J:J)+SUMIF($H:$H,A35,K:K)</f>
        <v>0</v>
      </c>
      <c r="E35" s="95">
        <f t="shared" si="6"/>
        <v>0</v>
      </c>
      <c r="F35" s="671"/>
      <c r="G35" s="672"/>
      <c r="H35" s="670"/>
      <c r="I35" s="674"/>
      <c r="J35" s="674"/>
      <c r="K35" s="674"/>
      <c r="L35" s="692"/>
      <c r="M35" s="692"/>
      <c r="N35" s="695"/>
      <c r="O35" s="696"/>
      <c r="P35" s="693"/>
      <c r="Q35" s="693"/>
      <c r="R35" s="708"/>
      <c r="S35" s="708"/>
      <c r="T35" s="690"/>
      <c r="U35" s="690"/>
    </row>
    <row r="36" spans="1:25" s="650" customFormat="1" ht="20.100000000000001" customHeight="1">
      <c r="A36" s="673" t="s">
        <v>376</v>
      </c>
      <c r="B36" s="95">
        <f>B34-B35</f>
        <v>0</v>
      </c>
      <c r="C36" s="95">
        <f>C34-C35</f>
        <v>0</v>
      </c>
      <c r="D36" s="95">
        <f>D34-D35</f>
        <v>0</v>
      </c>
      <c r="E36" s="95">
        <f>E34-E35</f>
        <v>0</v>
      </c>
      <c r="F36" s="671"/>
      <c r="G36" s="672"/>
      <c r="H36" s="670"/>
      <c r="I36" s="674"/>
      <c r="J36" s="674"/>
      <c r="K36" s="674"/>
      <c r="L36" s="692"/>
      <c r="M36" s="692"/>
      <c r="N36" s="695"/>
      <c r="O36" s="696"/>
      <c r="P36" s="697"/>
      <c r="Q36" s="697"/>
      <c r="R36" s="709"/>
      <c r="S36" s="697"/>
      <c r="T36" s="689"/>
      <c r="U36" s="690"/>
    </row>
    <row r="37" spans="1:25" s="650" customFormat="1" ht="20.100000000000001" customHeight="1">
      <c r="A37" s="664" t="s">
        <v>377</v>
      </c>
      <c r="B37" s="108"/>
      <c r="C37" s="95">
        <f>SUMIF($P:$P,A37,R:R)-SUMIF($P:$P,A37,S:S)</f>
        <v>0</v>
      </c>
      <c r="D37" s="95">
        <f>SUMIF($H:$H,A37,J:J)-SUMIF($H:$H,A37,K:K)</f>
        <v>0</v>
      </c>
      <c r="E37" s="95">
        <f>SUM(B37:D37)</f>
        <v>0</v>
      </c>
      <c r="F37" s="671"/>
      <c r="G37" s="672"/>
      <c r="H37" s="670"/>
      <c r="I37" s="674"/>
      <c r="J37" s="674"/>
      <c r="K37" s="674"/>
      <c r="L37" s="692"/>
      <c r="M37" s="692"/>
      <c r="N37" s="690"/>
      <c r="O37" s="689"/>
      <c r="P37" s="690"/>
      <c r="Q37" s="690"/>
      <c r="R37" s="689"/>
      <c r="S37" s="689"/>
      <c r="T37" s="690"/>
      <c r="U37" s="690"/>
    </row>
    <row r="38" spans="1:25" s="650" customFormat="1" ht="20.100000000000001" customHeight="1">
      <c r="A38" s="664" t="s">
        <v>377</v>
      </c>
      <c r="B38" s="108"/>
      <c r="C38" s="95">
        <f>SUMIF($P:$P,A38,R:R)-SUMIF($P:$P,A38,S:S)</f>
        <v>0</v>
      </c>
      <c r="D38" s="95">
        <f>SUMIF($H:$H,A38,J:J)-SUMIF($H:$H,A38,K:K)</f>
        <v>0</v>
      </c>
      <c r="E38" s="95">
        <f>SUM(B38:D38)</f>
        <v>0</v>
      </c>
      <c r="F38" s="671"/>
      <c r="G38" s="672"/>
      <c r="H38" s="670"/>
      <c r="I38" s="674"/>
      <c r="J38" s="674"/>
      <c r="K38" s="674"/>
      <c r="L38" s="692"/>
      <c r="M38" s="692"/>
      <c r="N38" s="695"/>
      <c r="O38" s="696"/>
      <c r="P38" s="693"/>
      <c r="Q38" s="693"/>
      <c r="R38" s="708"/>
      <c r="S38" s="689"/>
      <c r="T38" s="690"/>
      <c r="U38" s="690"/>
    </row>
    <row r="39" spans="1:25" s="650" customFormat="1" ht="20.100000000000001" customHeight="1">
      <c r="A39" s="664" t="s">
        <v>51</v>
      </c>
      <c r="B39" s="108"/>
      <c r="C39" s="95">
        <f>SUMIF($P:$P,A39,R:R)-SUMIF($P:$P,A39,S:S)</f>
        <v>0</v>
      </c>
      <c r="D39" s="95">
        <f>SUMIF($H:$H,A39,J:J)-SUMIF($H:$H,A39,K:K)</f>
        <v>0</v>
      </c>
      <c r="E39" s="95">
        <f>SUM(B39:D39)</f>
        <v>0</v>
      </c>
      <c r="F39" s="671"/>
      <c r="G39" s="672"/>
      <c r="H39" s="670"/>
      <c r="I39" s="674"/>
      <c r="J39" s="674"/>
      <c r="K39" s="674"/>
      <c r="L39" s="692"/>
      <c r="M39" s="692"/>
      <c r="N39" s="695"/>
      <c r="O39" s="696"/>
      <c r="P39" s="697"/>
      <c r="Q39" s="695"/>
      <c r="R39" s="709"/>
      <c r="S39" s="689"/>
      <c r="T39" s="690"/>
      <c r="U39" s="690"/>
    </row>
    <row r="40" spans="1:25" s="650" customFormat="1" ht="20.100000000000001" customHeight="1">
      <c r="A40" s="664" t="s">
        <v>378</v>
      </c>
      <c r="B40" s="95">
        <f>SUM(B6:B39)-B10-B11-B13-B14-B18-B19-B21-B22-B24-B25-B34-B35</f>
        <v>0</v>
      </c>
      <c r="C40" s="95">
        <f>SUM(C6:C39)-C10-C11-C13-C14-C18-C19-C21-C22-C24-C25-C34-C35</f>
        <v>0</v>
      </c>
      <c r="D40" s="95">
        <f>SUM(D6:D39)-D10-D11-D13-D14-D18-D19-D21-D22-D24-D25-D34-D35</f>
        <v>0</v>
      </c>
      <c r="E40" s="95">
        <f>SUM(E6:E39)-E10-E11-E13-E14-E18-E19-E21-E22-E24-E25-E34-E35</f>
        <v>0</v>
      </c>
      <c r="F40" s="671"/>
      <c r="G40" s="672"/>
      <c r="H40" s="670"/>
      <c r="I40" s="674"/>
      <c r="J40" s="674"/>
      <c r="K40" s="674"/>
      <c r="L40" s="692"/>
      <c r="M40" s="692"/>
      <c r="N40" s="690"/>
      <c r="O40" s="690"/>
      <c r="P40" s="690"/>
      <c r="Q40" s="690"/>
      <c r="R40" s="689"/>
      <c r="S40" s="689"/>
      <c r="T40" s="690"/>
      <c r="U40" s="690"/>
    </row>
    <row r="41" spans="1:25" s="650" customFormat="1" ht="20.100000000000001" customHeight="1">
      <c r="A41" s="664"/>
      <c r="B41" s="108"/>
      <c r="C41" s="108"/>
      <c r="D41" s="108"/>
      <c r="E41" s="108"/>
      <c r="F41" s="671"/>
      <c r="G41" s="672"/>
      <c r="H41" s="670"/>
      <c r="I41" s="674"/>
      <c r="J41" s="674"/>
      <c r="K41" s="674"/>
      <c r="L41" s="692"/>
      <c r="M41" s="692"/>
      <c r="N41" s="690"/>
      <c r="O41" s="690"/>
      <c r="P41" s="690"/>
      <c r="Q41" s="690"/>
      <c r="R41" s="689"/>
      <c r="S41" s="689"/>
      <c r="T41" s="689"/>
      <c r="U41" s="690"/>
    </row>
    <row r="42" spans="1:25" s="650" customFormat="1" ht="20.100000000000001" customHeight="1">
      <c r="A42" s="999" t="s">
        <v>2285</v>
      </c>
      <c r="B42" s="108"/>
      <c r="C42" s="95">
        <f t="shared" ref="C42:C49" si="7">SUMIF($P:$P,A42,R:R)-SUMIF($P:$P,A42,S:S)</f>
        <v>0</v>
      </c>
      <c r="D42" s="95">
        <f t="shared" ref="D42:D49" si="8">SUMIF($H:$H,A42,J:J)-SUMIF($H:$H,A42,K:K)</f>
        <v>0</v>
      </c>
      <c r="E42" s="95">
        <f t="shared" ref="E42:E50" si="9">SUM(B42:D42)</f>
        <v>0</v>
      </c>
      <c r="F42" s="671"/>
      <c r="G42" s="672"/>
      <c r="H42" s="670"/>
      <c r="I42" s="674"/>
      <c r="J42" s="674"/>
      <c r="K42" s="674"/>
      <c r="L42" s="692"/>
      <c r="M42" s="692"/>
      <c r="N42" s="690"/>
      <c r="O42" s="690"/>
      <c r="P42" s="690"/>
      <c r="Q42" s="690"/>
      <c r="R42" s="689"/>
      <c r="S42" s="689"/>
      <c r="T42" s="689"/>
      <c r="U42" s="690"/>
    </row>
    <row r="43" spans="1:25" s="650" customFormat="1" ht="20.100000000000001" customHeight="1">
      <c r="A43" s="965" t="s">
        <v>2098</v>
      </c>
      <c r="B43" s="108"/>
      <c r="C43" s="95">
        <f t="shared" si="7"/>
        <v>0</v>
      </c>
      <c r="D43" s="95">
        <f t="shared" si="8"/>
        <v>0</v>
      </c>
      <c r="E43" s="95">
        <f t="shared" si="9"/>
        <v>0</v>
      </c>
      <c r="F43" s="671"/>
      <c r="G43" s="672"/>
      <c r="H43" s="670"/>
      <c r="I43" s="674"/>
      <c r="J43" s="674"/>
      <c r="K43" s="674"/>
      <c r="L43" s="692"/>
      <c r="M43" s="692"/>
      <c r="N43" s="690"/>
      <c r="O43" s="690"/>
      <c r="P43" s="690"/>
      <c r="Q43" s="690"/>
      <c r="R43" s="689"/>
      <c r="S43" s="689"/>
      <c r="T43" s="689"/>
      <c r="U43" s="690"/>
    </row>
    <row r="44" spans="1:25" s="650" customFormat="1" ht="20.100000000000001" customHeight="1">
      <c r="A44" s="664" t="s">
        <v>52</v>
      </c>
      <c r="B44" s="108"/>
      <c r="C44" s="95">
        <f t="shared" si="7"/>
        <v>0</v>
      </c>
      <c r="D44" s="95">
        <f t="shared" si="8"/>
        <v>0</v>
      </c>
      <c r="E44" s="95">
        <f t="shared" si="9"/>
        <v>0</v>
      </c>
      <c r="F44" s="671"/>
      <c r="G44" s="672"/>
      <c r="H44" s="670"/>
      <c r="I44" s="674"/>
      <c r="J44" s="674"/>
      <c r="K44" s="674"/>
      <c r="L44" s="692"/>
      <c r="M44" s="692"/>
      <c r="N44" s="690"/>
      <c r="O44" s="690"/>
      <c r="P44" s="690"/>
      <c r="Q44" s="690"/>
      <c r="R44" s="689"/>
      <c r="S44" s="689"/>
      <c r="T44" s="690"/>
      <c r="U44" s="690"/>
    </row>
    <row r="45" spans="1:25" s="650" customFormat="1" ht="20.100000000000001" customHeight="1">
      <c r="A45" s="965" t="s">
        <v>2286</v>
      </c>
      <c r="B45" s="108"/>
      <c r="C45" s="95">
        <f t="shared" si="7"/>
        <v>0</v>
      </c>
      <c r="D45" s="95">
        <f t="shared" si="8"/>
        <v>0</v>
      </c>
      <c r="E45" s="95">
        <f t="shared" ref="E45" si="10">SUM(B45:D45)</f>
        <v>0</v>
      </c>
      <c r="F45" s="671"/>
      <c r="G45" s="672"/>
      <c r="H45" s="670"/>
      <c r="I45" s="674"/>
      <c r="J45" s="674"/>
      <c r="K45" s="674"/>
      <c r="L45" s="692"/>
      <c r="M45" s="692"/>
      <c r="N45" s="690"/>
      <c r="O45" s="690"/>
      <c r="P45" s="690"/>
      <c r="Q45" s="690"/>
      <c r="R45" s="689"/>
      <c r="S45" s="689"/>
      <c r="T45" s="689"/>
      <c r="U45" s="690"/>
    </row>
    <row r="46" spans="1:25" s="650" customFormat="1" ht="20.100000000000001" customHeight="1">
      <c r="A46" s="664" t="s">
        <v>53</v>
      </c>
      <c r="B46" s="108"/>
      <c r="C46" s="95">
        <f t="shared" si="7"/>
        <v>0</v>
      </c>
      <c r="D46" s="95">
        <f t="shared" si="8"/>
        <v>0</v>
      </c>
      <c r="E46" s="95">
        <f t="shared" si="9"/>
        <v>0</v>
      </c>
      <c r="F46" s="671"/>
      <c r="G46" s="672"/>
      <c r="H46" s="670"/>
      <c r="I46" s="674"/>
      <c r="J46" s="674"/>
      <c r="K46" s="674"/>
      <c r="L46" s="692"/>
      <c r="M46" s="692"/>
      <c r="N46" s="690"/>
      <c r="O46" s="690"/>
      <c r="P46" s="690"/>
      <c r="Q46" s="690"/>
      <c r="R46" s="689"/>
      <c r="S46" s="689"/>
      <c r="T46" s="689"/>
      <c r="U46" s="690"/>
    </row>
    <row r="47" spans="1:25" s="650" customFormat="1" ht="20.100000000000001" customHeight="1">
      <c r="A47" s="664" t="s">
        <v>54</v>
      </c>
      <c r="B47" s="108"/>
      <c r="C47" s="95">
        <f t="shared" si="7"/>
        <v>0</v>
      </c>
      <c r="D47" s="95">
        <f t="shared" si="8"/>
        <v>0</v>
      </c>
      <c r="E47" s="95">
        <f t="shared" si="9"/>
        <v>0</v>
      </c>
      <c r="F47" s="671"/>
      <c r="G47" s="672"/>
      <c r="H47" s="670"/>
      <c r="I47" s="674"/>
      <c r="J47" s="674"/>
      <c r="K47" s="674"/>
      <c r="L47" s="692"/>
      <c r="M47" s="692"/>
      <c r="N47" s="690"/>
      <c r="O47" s="698"/>
      <c r="P47" s="690"/>
      <c r="Q47" s="690"/>
      <c r="R47" s="689"/>
      <c r="S47" s="689"/>
      <c r="T47" s="689"/>
      <c r="U47" s="690"/>
    </row>
    <row r="48" spans="1:25" s="650" customFormat="1" ht="20.100000000000001" customHeight="1">
      <c r="A48" s="664" t="s">
        <v>55</v>
      </c>
      <c r="B48" s="108"/>
      <c r="C48" s="95">
        <f t="shared" si="7"/>
        <v>0</v>
      </c>
      <c r="D48" s="95">
        <f t="shared" si="8"/>
        <v>0</v>
      </c>
      <c r="E48" s="95">
        <f t="shared" ref="E48:E49" si="11">SUM(B48:D48)</f>
        <v>0</v>
      </c>
      <c r="F48" s="671"/>
      <c r="G48" s="672"/>
      <c r="H48" s="670"/>
      <c r="I48" s="674"/>
      <c r="J48" s="674"/>
      <c r="K48" s="674"/>
      <c r="L48" s="692"/>
      <c r="M48" s="692"/>
      <c r="N48" s="690"/>
      <c r="O48" s="698"/>
      <c r="P48" s="690"/>
      <c r="Q48" s="690"/>
      <c r="R48" s="689"/>
      <c r="S48" s="689"/>
      <c r="T48" s="689"/>
      <c r="U48" s="690"/>
    </row>
    <row r="49" spans="1:21" s="650" customFormat="1" ht="20.100000000000001" customHeight="1">
      <c r="A49" s="664" t="s">
        <v>56</v>
      </c>
      <c r="B49" s="108"/>
      <c r="C49" s="95">
        <f t="shared" si="7"/>
        <v>0</v>
      </c>
      <c r="D49" s="95">
        <f t="shared" si="8"/>
        <v>0</v>
      </c>
      <c r="E49" s="95">
        <f t="shared" si="11"/>
        <v>0</v>
      </c>
      <c r="F49" s="671"/>
      <c r="G49" s="672"/>
      <c r="H49" s="670"/>
      <c r="I49" s="674"/>
      <c r="J49" s="674"/>
      <c r="K49" s="674"/>
      <c r="L49" s="692"/>
      <c r="M49" s="692"/>
      <c r="N49" s="690"/>
      <c r="O49" s="690"/>
      <c r="P49" s="690"/>
      <c r="Q49" s="690"/>
      <c r="R49" s="689"/>
      <c r="S49" s="689"/>
      <c r="T49" s="690"/>
      <c r="U49" s="690"/>
    </row>
    <row r="50" spans="1:21" s="245" customFormat="1" ht="20.100000000000001" customHeight="1">
      <c r="A50" s="675" t="s">
        <v>380</v>
      </c>
      <c r="B50" s="108"/>
      <c r="C50" s="95">
        <f>-SUMIF($P:$P,A50,R:R)+SUMIF($P:$P,A50,S:S)</f>
        <v>0</v>
      </c>
      <c r="D50" s="95">
        <f>-SUMIF($H:$H,A50,J:J)+SUMIF($H:$H,A50,K:K)</f>
        <v>0</v>
      </c>
      <c r="E50" s="95">
        <f t="shared" si="9"/>
        <v>0</v>
      </c>
      <c r="F50" s="671"/>
      <c r="G50" s="672"/>
      <c r="H50" s="670"/>
      <c r="I50" s="674"/>
      <c r="J50" s="674"/>
      <c r="K50" s="674"/>
      <c r="L50" s="692"/>
      <c r="M50" s="692"/>
      <c r="N50" s="690"/>
      <c r="O50" s="690"/>
      <c r="P50" s="690"/>
      <c r="Q50" s="690"/>
      <c r="R50" s="689"/>
      <c r="S50" s="689"/>
      <c r="T50" s="690"/>
      <c r="U50" s="690"/>
    </row>
    <row r="51" spans="1:21" s="650" customFormat="1" ht="20.100000000000001" customHeight="1">
      <c r="A51" s="673" t="s">
        <v>381</v>
      </c>
      <c r="B51" s="95">
        <f>B49-B50</f>
        <v>0</v>
      </c>
      <c r="C51" s="95">
        <f>C49-C50</f>
        <v>0</v>
      </c>
      <c r="D51" s="95">
        <f>D49-D50</f>
        <v>0</v>
      </c>
      <c r="E51" s="95">
        <f>E49-E50</f>
        <v>0</v>
      </c>
      <c r="F51" s="671"/>
      <c r="G51" s="672"/>
      <c r="H51" s="670"/>
      <c r="I51" s="674"/>
      <c r="J51" s="674"/>
      <c r="K51" s="674"/>
      <c r="L51" s="692"/>
      <c r="M51" s="692"/>
      <c r="N51" s="690"/>
      <c r="O51" s="690"/>
      <c r="P51" s="690"/>
      <c r="Q51" s="690"/>
      <c r="R51" s="689"/>
      <c r="S51" s="689"/>
      <c r="T51" s="690"/>
      <c r="U51" s="690"/>
    </row>
    <row r="52" spans="1:21" s="650" customFormat="1" ht="20.100000000000001" customHeight="1">
      <c r="A52" s="965" t="s">
        <v>2065</v>
      </c>
      <c r="B52" s="284"/>
      <c r="C52" s="95">
        <f t="shared" ref="C52:E52" si="12">C50-C51</f>
        <v>0</v>
      </c>
      <c r="D52" s="95">
        <f t="shared" si="12"/>
        <v>0</v>
      </c>
      <c r="E52" s="95">
        <f t="shared" si="12"/>
        <v>0</v>
      </c>
      <c r="F52" s="671"/>
      <c r="G52" s="672"/>
      <c r="H52" s="670"/>
      <c r="I52" s="674"/>
      <c r="J52" s="674"/>
      <c r="K52" s="674"/>
      <c r="L52" s="692"/>
      <c r="M52" s="692"/>
      <c r="N52" s="690"/>
      <c r="O52" s="690"/>
      <c r="P52" s="690"/>
      <c r="Q52" s="690"/>
      <c r="R52" s="689"/>
      <c r="S52" s="689"/>
      <c r="T52" s="690"/>
      <c r="U52" s="690"/>
    </row>
    <row r="53" spans="1:21" s="650" customFormat="1" ht="20.100000000000001" customHeight="1">
      <c r="A53" s="965" t="s">
        <v>2066</v>
      </c>
      <c r="B53" s="284"/>
      <c r="C53" s="95">
        <f t="shared" ref="C53:E53" si="13">C51-C52</f>
        <v>0</v>
      </c>
      <c r="D53" s="95">
        <f t="shared" si="13"/>
        <v>0</v>
      </c>
      <c r="E53" s="95">
        <f t="shared" si="13"/>
        <v>0</v>
      </c>
      <c r="F53" s="671"/>
      <c r="G53" s="672"/>
      <c r="H53" s="670"/>
      <c r="I53" s="674"/>
      <c r="J53" s="674"/>
      <c r="K53" s="674"/>
      <c r="L53" s="692"/>
      <c r="M53" s="692"/>
      <c r="N53" s="690"/>
      <c r="O53" s="690"/>
      <c r="P53" s="690"/>
      <c r="Q53" s="690"/>
      <c r="R53" s="689"/>
      <c r="S53" s="689"/>
      <c r="T53" s="690"/>
      <c r="U53" s="690"/>
    </row>
    <row r="54" spans="1:21" s="650" customFormat="1" ht="20.100000000000001" customHeight="1">
      <c r="A54" s="664" t="s">
        <v>57</v>
      </c>
      <c r="B54" s="108"/>
      <c r="C54" s="95">
        <f>SUMIF($P:$P,A54,R:R)-SUMIF($P:$P,A54,S:S)</f>
        <v>0</v>
      </c>
      <c r="D54" s="95">
        <f>SUMIF($H:$H,A54,J:J)-SUMIF($H:$H,A54,K:K)</f>
        <v>0</v>
      </c>
      <c r="E54" s="95">
        <f>SUM(B54:D54)</f>
        <v>0</v>
      </c>
      <c r="F54" s="671"/>
      <c r="G54" s="672"/>
      <c r="H54" s="670"/>
      <c r="I54" s="674"/>
      <c r="J54" s="674"/>
      <c r="K54" s="674"/>
      <c r="L54" s="692"/>
      <c r="M54" s="692"/>
      <c r="N54" s="690"/>
      <c r="O54" s="690"/>
      <c r="P54" s="690"/>
      <c r="Q54" s="690"/>
      <c r="R54" s="689"/>
      <c r="S54" s="689"/>
      <c r="T54" s="690"/>
      <c r="U54" s="690"/>
    </row>
    <row r="55" spans="1:21" s="245" customFormat="1" ht="20.100000000000001" customHeight="1">
      <c r="A55" s="675" t="s">
        <v>382</v>
      </c>
      <c r="B55" s="108"/>
      <c r="C55" s="95">
        <f>-SUMIF($P:$P,A55,R:R)+SUMIF($P:$P,A55,S:S)</f>
        <v>0</v>
      </c>
      <c r="D55" s="95">
        <f>-SUMIF($H:$H,A55,J:J)+SUMIF($H:$H,A55,K:K)</f>
        <v>0</v>
      </c>
      <c r="E55" s="95">
        <f>SUM(B55:D55)</f>
        <v>0</v>
      </c>
      <c r="F55" s="671"/>
      <c r="G55" s="672"/>
      <c r="H55" s="670"/>
      <c r="I55" s="674"/>
      <c r="J55" s="674"/>
      <c r="K55" s="674"/>
      <c r="L55" s="692"/>
      <c r="M55" s="692"/>
      <c r="N55" s="690"/>
      <c r="O55" s="690"/>
      <c r="P55" s="690"/>
      <c r="Q55" s="690"/>
      <c r="R55" s="689"/>
      <c r="S55" s="689"/>
      <c r="T55" s="690"/>
      <c r="U55" s="690"/>
    </row>
    <row r="56" spans="1:21" s="650" customFormat="1" ht="20.100000000000001" customHeight="1">
      <c r="A56" s="673" t="s">
        <v>383</v>
      </c>
      <c r="B56" s="95">
        <f>B54-B55</f>
        <v>0</v>
      </c>
      <c r="C56" s="95">
        <f>C54-C55</f>
        <v>0</v>
      </c>
      <c r="D56" s="95">
        <f>D54-D55</f>
        <v>0</v>
      </c>
      <c r="E56" s="95">
        <f>E54-E55</f>
        <v>0</v>
      </c>
      <c r="F56" s="671"/>
      <c r="G56" s="672"/>
      <c r="H56" s="670"/>
      <c r="I56" s="670"/>
      <c r="J56" s="670"/>
      <c r="K56" s="670"/>
      <c r="L56" s="699"/>
      <c r="M56" s="699"/>
      <c r="N56" s="690"/>
      <c r="O56" s="690"/>
      <c r="P56" s="690"/>
      <c r="Q56" s="690"/>
      <c r="R56" s="689"/>
      <c r="S56" s="689"/>
      <c r="T56" s="690"/>
      <c r="U56" s="690"/>
    </row>
    <row r="57" spans="1:21" s="651" customFormat="1" ht="20.100000000000001" customHeight="1">
      <c r="A57" s="675" t="s">
        <v>384</v>
      </c>
      <c r="B57" s="284"/>
      <c r="C57" s="95">
        <f>SUMIF($P:$P,A57,R:R)-SUMIF($P:$P,A57,S:S)</f>
        <v>0</v>
      </c>
      <c r="D57" s="95">
        <f>SUMIF($H:$H,A57,J:J)-SUMIF($H:$H,A57,K:K)</f>
        <v>0</v>
      </c>
      <c r="E57" s="95">
        <f>SUM(B57:D57)</f>
        <v>0</v>
      </c>
      <c r="F57" s="671"/>
      <c r="G57" s="672"/>
      <c r="H57" s="670"/>
      <c r="I57" s="674"/>
      <c r="J57" s="670"/>
      <c r="K57" s="674"/>
      <c r="L57" s="699"/>
      <c r="M57" s="699"/>
      <c r="N57" s="690"/>
      <c r="O57" s="690"/>
      <c r="P57" s="690"/>
      <c r="Q57" s="690"/>
      <c r="R57" s="689"/>
      <c r="S57" s="689"/>
      <c r="T57" s="690"/>
      <c r="U57" s="690"/>
    </row>
    <row r="58" spans="1:21" s="650" customFormat="1" ht="20.100000000000001" customHeight="1">
      <c r="A58" s="675" t="s">
        <v>385</v>
      </c>
      <c r="B58" s="284"/>
      <c r="C58" s="95">
        <f>-SUMIF($P:$P,A58,R:R)+SUMIF($P:$P,A58,S:S)</f>
        <v>0</v>
      </c>
      <c r="D58" s="95">
        <f>-SUMIF($H:$H,A58,J:J)+SUMIF($H:$H,A58,K:K)</f>
        <v>0</v>
      </c>
      <c r="E58" s="95">
        <f>SUM(B58:D58)</f>
        <v>0</v>
      </c>
      <c r="F58" s="671"/>
      <c r="G58" s="672"/>
      <c r="H58" s="670"/>
      <c r="I58" s="674"/>
      <c r="J58" s="670"/>
      <c r="K58" s="674"/>
      <c r="L58" s="699"/>
      <c r="M58" s="699"/>
      <c r="N58" s="690"/>
      <c r="O58" s="690"/>
      <c r="P58" s="690"/>
      <c r="Q58" s="690"/>
      <c r="R58" s="690"/>
      <c r="S58" s="689"/>
      <c r="T58" s="690"/>
      <c r="U58" s="690"/>
    </row>
    <row r="59" spans="1:21" s="650" customFormat="1" ht="20.100000000000001" customHeight="1">
      <c r="A59" s="677" t="s">
        <v>386</v>
      </c>
      <c r="B59" s="95">
        <f>B57-B58</f>
        <v>0</v>
      </c>
      <c r="C59" s="95">
        <f>C57-C58</f>
        <v>0</v>
      </c>
      <c r="D59" s="95">
        <f>D57-D58</f>
        <v>0</v>
      </c>
      <c r="E59" s="95">
        <f>SUM(B59:D59)</f>
        <v>0</v>
      </c>
      <c r="F59" s="671"/>
      <c r="G59" s="672"/>
      <c r="H59" s="670"/>
      <c r="I59" s="670"/>
      <c r="J59" s="670"/>
      <c r="K59" s="670"/>
      <c r="L59" s="699"/>
      <c r="M59" s="699"/>
      <c r="N59" s="690"/>
      <c r="O59" s="690"/>
      <c r="P59" s="690"/>
      <c r="Q59" s="690"/>
      <c r="R59" s="690"/>
      <c r="S59" s="690"/>
      <c r="T59" s="690"/>
      <c r="U59" s="690"/>
    </row>
    <row r="60" spans="1:21" s="245" customFormat="1" ht="20.100000000000001" customHeight="1">
      <c r="A60" s="675" t="s">
        <v>387</v>
      </c>
      <c r="B60" s="284"/>
      <c r="C60" s="95">
        <f>-SUMIF($P:$P,A60,R:R)+SUMIF($P:$P,A60,S:S)</f>
        <v>0</v>
      </c>
      <c r="D60" s="95">
        <f>-SUMIF($H:$H,A60,J:J)+SUMIF($H:$H,A60,K:K)</f>
        <v>0</v>
      </c>
      <c r="E60" s="95">
        <f>SUM(B60:D60)</f>
        <v>0</v>
      </c>
      <c r="F60" s="671"/>
      <c r="G60" s="672"/>
      <c r="H60" s="670"/>
      <c r="I60" s="670"/>
      <c r="J60" s="670"/>
      <c r="K60" s="700"/>
      <c r="L60" s="699"/>
      <c r="M60" s="699"/>
      <c r="N60" s="690"/>
      <c r="O60" s="690"/>
      <c r="P60" s="690"/>
      <c r="Q60" s="690"/>
      <c r="R60" s="690"/>
      <c r="S60" s="690"/>
      <c r="T60" s="690"/>
      <c r="U60" s="690"/>
    </row>
    <row r="61" spans="1:21" s="650" customFormat="1" ht="20.100000000000001" customHeight="1">
      <c r="A61" s="677" t="s">
        <v>388</v>
      </c>
      <c r="B61" s="95">
        <f>B59-B60</f>
        <v>0</v>
      </c>
      <c r="C61" s="95">
        <f>C59-C60</f>
        <v>0</v>
      </c>
      <c r="D61" s="95">
        <f>D59-D60</f>
        <v>0</v>
      </c>
      <c r="E61" s="95">
        <f>E59-E60</f>
        <v>0</v>
      </c>
      <c r="F61" s="669"/>
      <c r="G61" s="670"/>
      <c r="H61" s="670"/>
      <c r="I61" s="670"/>
      <c r="J61" s="670"/>
      <c r="K61" s="670"/>
      <c r="L61" s="699"/>
      <c r="M61" s="699"/>
      <c r="N61" s="690"/>
      <c r="O61" s="690"/>
      <c r="P61" s="690"/>
      <c r="Q61" s="690"/>
      <c r="R61" s="690"/>
      <c r="S61" s="690"/>
      <c r="T61" s="690"/>
      <c r="U61" s="690"/>
    </row>
    <row r="62" spans="1:21" s="651" customFormat="1" ht="20.100000000000001" customHeight="1">
      <c r="A62" s="675" t="s">
        <v>163</v>
      </c>
      <c r="B62" s="284"/>
      <c r="C62" s="95">
        <f>SUMIF($P:$P,A62,R:R)-SUMIF($P:$P,A62,S:S)</f>
        <v>0</v>
      </c>
      <c r="D62" s="95">
        <f>SUMIF($H:$H,A62,J:J)-SUMIF($H:$H,A62,K:K)</f>
        <v>0</v>
      </c>
      <c r="E62" s="95">
        <f t="shared" ref="E62:E67" si="14">SUM(B62:D62)</f>
        <v>0</v>
      </c>
      <c r="F62" s="669"/>
      <c r="G62" s="670"/>
      <c r="H62" s="670"/>
      <c r="I62" s="670"/>
      <c r="J62" s="670"/>
      <c r="K62" s="670"/>
      <c r="L62" s="699"/>
      <c r="M62" s="699"/>
      <c r="N62" s="690"/>
      <c r="O62" s="690"/>
      <c r="P62" s="690"/>
      <c r="Q62" s="690"/>
      <c r="R62" s="690"/>
      <c r="S62" s="690"/>
      <c r="T62" s="690"/>
      <c r="U62" s="690"/>
    </row>
    <row r="63" spans="1:21" s="650" customFormat="1" ht="20.100000000000001" customHeight="1">
      <c r="A63" s="664" t="s">
        <v>64</v>
      </c>
      <c r="B63" s="108"/>
      <c r="C63" s="95">
        <f>SUMIF($P:$P,A63,R:R)-SUMIF($P:$P,A63,S:S)</f>
        <v>0</v>
      </c>
      <c r="D63" s="95">
        <f>SUMIF($H:$H,A63,J:J)-SUMIF($H:$H,A63,K:K)</f>
        <v>0</v>
      </c>
      <c r="E63" s="95">
        <f t="shared" si="14"/>
        <v>0</v>
      </c>
      <c r="F63" s="669"/>
      <c r="G63" s="670"/>
      <c r="H63" s="670"/>
      <c r="I63" s="670"/>
      <c r="J63" s="670"/>
      <c r="K63" s="670"/>
      <c r="L63" s="699"/>
      <c r="M63" s="699"/>
      <c r="N63" s="690"/>
      <c r="O63" s="690"/>
      <c r="P63" s="690"/>
      <c r="Q63" s="690"/>
      <c r="R63" s="690"/>
      <c r="S63" s="690"/>
      <c r="T63" s="690"/>
      <c r="U63" s="690"/>
    </row>
    <row r="64" spans="1:21" s="650" customFormat="1" ht="20.100000000000001" customHeight="1">
      <c r="A64" s="664" t="s">
        <v>189</v>
      </c>
      <c r="B64" s="108"/>
      <c r="C64" s="95">
        <f>SUMIF($P:$P,A64,R:R)-SUMIF($P:$P,A64,S:S)</f>
        <v>0</v>
      </c>
      <c r="D64" s="95">
        <f>SUMIF($H:$H,A64,J:J)-SUMIF($H:$H,A64,K:K)</f>
        <v>0</v>
      </c>
      <c r="E64" s="95">
        <f t="shared" si="14"/>
        <v>0</v>
      </c>
      <c r="F64" s="669"/>
      <c r="G64" s="670"/>
      <c r="H64" s="670"/>
      <c r="I64" s="670"/>
      <c r="J64" s="670"/>
      <c r="K64" s="670"/>
      <c r="L64" s="699"/>
      <c r="M64" s="699"/>
      <c r="N64" s="690"/>
      <c r="O64" s="690"/>
      <c r="P64" s="690"/>
      <c r="Q64" s="690"/>
      <c r="R64" s="690"/>
      <c r="S64" s="690"/>
      <c r="T64" s="690"/>
      <c r="U64" s="690"/>
    </row>
    <row r="65" spans="1:21" s="650" customFormat="1" ht="20.100000000000001" customHeight="1">
      <c r="A65" s="965" t="s">
        <v>2287</v>
      </c>
      <c r="B65" s="108"/>
      <c r="C65" s="95">
        <f>SUMIF($P:$P,A65,R:R)-SUMIF($P:$P,A65,S:S)</f>
        <v>0</v>
      </c>
      <c r="D65" s="95">
        <f>SUMIF($H:$H,A65,J:J)-SUMIF($H:$H,A65,K:K)</f>
        <v>0</v>
      </c>
      <c r="E65" s="95">
        <f t="shared" si="14"/>
        <v>0</v>
      </c>
      <c r="F65" s="669"/>
      <c r="G65" s="670"/>
      <c r="H65" s="670"/>
      <c r="I65" s="670"/>
      <c r="J65" s="670"/>
      <c r="K65" s="670"/>
      <c r="L65" s="699"/>
      <c r="M65" s="699"/>
      <c r="N65" s="690"/>
      <c r="O65" s="690"/>
      <c r="P65" s="690"/>
      <c r="Q65" s="690"/>
      <c r="R65" s="690"/>
      <c r="S65" s="690"/>
      <c r="T65" s="690"/>
      <c r="U65" s="690"/>
    </row>
    <row r="66" spans="1:21" s="650" customFormat="1" ht="20.100000000000001" customHeight="1">
      <c r="A66" s="664" t="s">
        <v>65</v>
      </c>
      <c r="B66" s="108"/>
      <c r="C66" s="95">
        <f>SUMIF($P:$P,A66,R:R)-SUMIF($P:$P,A66,S:S)</f>
        <v>0</v>
      </c>
      <c r="D66" s="95">
        <f>SUMIF($H:$H,A66,J:J)-SUMIF($H:$H,A66,K:K)</f>
        <v>0</v>
      </c>
      <c r="E66" s="95">
        <f t="shared" si="14"/>
        <v>0</v>
      </c>
      <c r="F66" s="669"/>
      <c r="G66" s="670"/>
      <c r="H66" s="670"/>
      <c r="I66" s="670"/>
      <c r="J66" s="670"/>
      <c r="K66" s="670"/>
      <c r="L66" s="699"/>
      <c r="M66" s="699"/>
      <c r="N66" s="690"/>
      <c r="O66" s="96"/>
      <c r="P66" s="96"/>
      <c r="Q66" s="96"/>
      <c r="R66" s="96"/>
      <c r="S66" s="96"/>
      <c r="T66" s="690"/>
      <c r="U66" s="690"/>
    </row>
    <row r="67" spans="1:21" s="245" customFormat="1" ht="20.100000000000001" customHeight="1">
      <c r="A67" s="675" t="s">
        <v>389</v>
      </c>
      <c r="B67" s="108"/>
      <c r="C67" s="95">
        <f>-SUMIF($P:$P,A67,R:R)+SUMIF($P:$P,A67,S:S)</f>
        <v>0</v>
      </c>
      <c r="D67" s="95">
        <f>-SUMIF($H:$H,A67,J:J)+SUMIF($H:$H,A67,K:K)</f>
        <v>0</v>
      </c>
      <c r="E67" s="95">
        <f t="shared" si="14"/>
        <v>0</v>
      </c>
      <c r="F67" s="669"/>
      <c r="G67" s="670"/>
      <c r="H67" s="680"/>
      <c r="I67" s="670"/>
      <c r="J67" s="670"/>
      <c r="K67" s="670"/>
      <c r="L67" s="699"/>
      <c r="M67" s="699"/>
      <c r="N67" s="690"/>
      <c r="O67" s="690"/>
      <c r="P67" s="690"/>
      <c r="Q67" s="690"/>
      <c r="R67" s="690"/>
      <c r="S67" s="690"/>
      <c r="T67" s="690"/>
      <c r="U67" s="690"/>
    </row>
    <row r="68" spans="1:21" s="650" customFormat="1" ht="20.100000000000001" customHeight="1">
      <c r="A68" s="1004" t="s">
        <v>2288</v>
      </c>
      <c r="B68" s="95">
        <f>B66-B67</f>
        <v>0</v>
      </c>
      <c r="C68" s="95">
        <f>C66-C67</f>
        <v>0</v>
      </c>
      <c r="D68" s="95">
        <f>D66-D67</f>
        <v>0</v>
      </c>
      <c r="E68" s="95">
        <f>E66-E67</f>
        <v>0</v>
      </c>
      <c r="F68" s="669"/>
      <c r="G68" s="670"/>
      <c r="H68" s="680"/>
      <c r="I68" s="670"/>
      <c r="J68" s="670"/>
      <c r="K68" s="670"/>
      <c r="L68" s="699"/>
      <c r="M68" s="699"/>
      <c r="N68" s="690"/>
      <c r="O68" s="690"/>
      <c r="P68" s="690"/>
      <c r="Q68" s="690"/>
      <c r="R68" s="690"/>
      <c r="S68" s="690"/>
      <c r="T68" s="690"/>
      <c r="U68" s="690"/>
    </row>
    <row r="69" spans="1:21" s="650" customFormat="1" ht="20.100000000000001" customHeight="1">
      <c r="A69" s="664" t="s">
        <v>66</v>
      </c>
      <c r="B69" s="108"/>
      <c r="C69" s="95">
        <f>SUMIF($P:$P,A69,R:R)-SUMIF($P:$P,A69,S:S)</f>
        <v>0</v>
      </c>
      <c r="D69" s="95">
        <f>SUMIF($H:$H,A69,J:J)-SUMIF($H:$H,A69,K:K)</f>
        <v>0</v>
      </c>
      <c r="E69" s="95">
        <f>SUM(B69:D69)</f>
        <v>0</v>
      </c>
      <c r="F69" s="669"/>
      <c r="G69" s="670"/>
      <c r="H69" s="681"/>
      <c r="I69" s="670"/>
      <c r="J69" s="670"/>
      <c r="K69" s="670"/>
      <c r="L69" s="699"/>
      <c r="M69" s="699"/>
      <c r="N69" s="690"/>
      <c r="O69" s="690"/>
      <c r="P69" s="690"/>
      <c r="Q69" s="690"/>
      <c r="R69" s="690"/>
      <c r="S69" s="690"/>
      <c r="T69" s="690"/>
      <c r="U69" s="690"/>
    </row>
    <row r="70" spans="1:21" s="650" customFormat="1" ht="20.100000000000001" customHeight="1">
      <c r="A70" s="664" t="s">
        <v>67</v>
      </c>
      <c r="B70" s="108"/>
      <c r="C70" s="95">
        <f>SUMIF($P:$P,A70,R:R)-SUMIF($P:$P,A70,S:S)</f>
        <v>0</v>
      </c>
      <c r="D70" s="95">
        <f>SUMIF($H:$H,A70,J:J)-SUMIF($H:$H,A70,K:K)</f>
        <v>0</v>
      </c>
      <c r="E70" s="95">
        <f>SUM(B70:D70)</f>
        <v>0</v>
      </c>
      <c r="F70" s="669"/>
      <c r="G70" s="670"/>
      <c r="H70" s="670"/>
      <c r="I70" s="670"/>
      <c r="J70" s="670"/>
      <c r="K70" s="670"/>
      <c r="L70" s="699"/>
      <c r="M70" s="699"/>
      <c r="N70" s="690"/>
      <c r="O70" s="690"/>
      <c r="P70" s="690"/>
      <c r="Q70" s="690"/>
      <c r="R70" s="690"/>
      <c r="S70" s="690"/>
      <c r="T70" s="690"/>
      <c r="U70" s="690"/>
    </row>
    <row r="71" spans="1:21" s="650" customFormat="1" ht="20.100000000000001" customHeight="1">
      <c r="A71" s="664" t="s">
        <v>68</v>
      </c>
      <c r="B71" s="108"/>
      <c r="C71" s="95">
        <f>SUMIF($P:$P,A71,R:R)-SUMIF($P:$P,A71,S:S)</f>
        <v>0</v>
      </c>
      <c r="D71" s="95">
        <f>SUMIF($H:$H,A71,J:J)-SUMIF($H:$H,A71,K:K)</f>
        <v>0</v>
      </c>
      <c r="E71" s="95">
        <f>SUM(B71:D71)</f>
        <v>0</v>
      </c>
      <c r="F71" s="669"/>
      <c r="G71" s="670"/>
      <c r="H71" s="670"/>
      <c r="I71" s="670"/>
      <c r="J71" s="670"/>
      <c r="K71" s="670"/>
      <c r="L71" s="699"/>
      <c r="M71" s="699"/>
      <c r="N71" s="690"/>
      <c r="O71" s="690"/>
      <c r="P71" s="690"/>
      <c r="Q71" s="690"/>
      <c r="R71" s="690"/>
      <c r="S71" s="690"/>
      <c r="T71" s="690"/>
      <c r="U71" s="690"/>
    </row>
    <row r="72" spans="1:21" s="650" customFormat="1" ht="20.100000000000001" customHeight="1">
      <c r="A72" s="664" t="s">
        <v>190</v>
      </c>
      <c r="B72" s="108"/>
      <c r="C72" s="95">
        <f>SUMIF($P:$P,A72,R:R)-SUMIF($P:$P,A72,S:S)</f>
        <v>0</v>
      </c>
      <c r="D72" s="95">
        <f>SUMIF($H:$H,A72,J:J)-SUMIF($H:$H,A72,K:K)</f>
        <v>0</v>
      </c>
      <c r="E72" s="95">
        <f>SUM(B72:D72)</f>
        <v>0</v>
      </c>
      <c r="F72" s="669"/>
      <c r="G72" s="670"/>
      <c r="H72" s="670"/>
      <c r="I72" s="670"/>
      <c r="J72" s="670"/>
      <c r="K72" s="670"/>
      <c r="L72" s="699"/>
      <c r="M72" s="699"/>
      <c r="N72" s="690"/>
      <c r="O72" s="690"/>
      <c r="P72" s="690"/>
      <c r="Q72" s="690"/>
      <c r="R72" s="690"/>
      <c r="S72" s="690"/>
      <c r="T72" s="690"/>
      <c r="U72" s="690"/>
    </row>
    <row r="73" spans="1:21" s="650" customFormat="1" ht="20.100000000000001" customHeight="1">
      <c r="A73" s="664" t="s">
        <v>70</v>
      </c>
      <c r="B73" s="108"/>
      <c r="C73" s="95">
        <f>SUMIF($P:$P,A73,R:R)-SUMIF($P:$P,A73,S:S)</f>
        <v>0</v>
      </c>
      <c r="D73" s="95">
        <f>SUMIF($H:$H,A73,J:J)-SUMIF($H:$H,A73,K:K)</f>
        <v>0</v>
      </c>
      <c r="E73" s="95">
        <f>SUM(B73:D73)</f>
        <v>0</v>
      </c>
      <c r="F73" s="669"/>
      <c r="G73" s="670"/>
      <c r="H73" s="670"/>
      <c r="I73" s="670"/>
      <c r="J73" s="670"/>
      <c r="K73" s="670"/>
      <c r="L73" s="699"/>
      <c r="M73" s="699"/>
      <c r="N73" s="690"/>
      <c r="O73" s="690"/>
      <c r="P73" s="690"/>
      <c r="Q73" s="690"/>
      <c r="R73" s="690"/>
      <c r="S73" s="690"/>
      <c r="T73" s="690"/>
      <c r="U73" s="690"/>
    </row>
    <row r="74" spans="1:21" s="650" customFormat="1" ht="20.100000000000001" customHeight="1">
      <c r="A74" s="664" t="s">
        <v>390</v>
      </c>
      <c r="B74" s="95">
        <f>B43+B44+B45+B46+B47+B48+B51+B52+B53+B56+B61+B62+B63+B64+B65+B68+B69+B70+B71+B72+B73</f>
        <v>0</v>
      </c>
      <c r="C74" s="95">
        <f>C43+C44+C45+C46+C47+C48+C51+C52+C53+C56+C61+C62+C63+C64+C65+C68+C69+C70+C71+C72+C73</f>
        <v>0</v>
      </c>
      <c r="D74" s="95">
        <f>D43+D44+D45+D46+D47+D48+D51+D52+D53+D56+D61+D62+D63+D64+D65+D68+D69+D70+D71+D72+D73</f>
        <v>0</v>
      </c>
      <c r="E74" s="95">
        <f>E43+E44+E45+E46+E47+E48+E51+E52+E53+E56+E61+E62+E63+E64+E65+E68+E69+E70+E71+E72+E73</f>
        <v>0</v>
      </c>
      <c r="F74" s="669"/>
      <c r="G74" s="670"/>
      <c r="H74" s="670"/>
      <c r="I74" s="670"/>
      <c r="J74" s="670"/>
      <c r="K74" s="670"/>
      <c r="L74" s="699"/>
      <c r="M74" s="699"/>
      <c r="N74" s="690"/>
      <c r="O74" s="690"/>
      <c r="P74" s="690"/>
      <c r="Q74" s="690"/>
      <c r="R74" s="690"/>
      <c r="S74" s="690"/>
      <c r="T74" s="690"/>
      <c r="U74" s="690"/>
    </row>
    <row r="75" spans="1:21" s="650" customFormat="1" ht="20.100000000000001" customHeight="1">
      <c r="A75" s="664" t="s">
        <v>391</v>
      </c>
      <c r="B75" s="95">
        <f>B40+B74</f>
        <v>0</v>
      </c>
      <c r="C75" s="95">
        <f>C40+C74</f>
        <v>0</v>
      </c>
      <c r="D75" s="95">
        <f>D40+D74</f>
        <v>0</v>
      </c>
      <c r="E75" s="95">
        <f>E40+E74</f>
        <v>0</v>
      </c>
      <c r="F75" s="669"/>
      <c r="G75" s="670"/>
      <c r="H75" s="670"/>
      <c r="I75" s="670"/>
      <c r="J75" s="670"/>
      <c r="K75" s="670"/>
      <c r="L75" s="699"/>
      <c r="M75" s="699"/>
      <c r="N75" s="690"/>
      <c r="O75" s="690"/>
      <c r="P75" s="690"/>
      <c r="Q75" s="690"/>
      <c r="R75" s="690"/>
      <c r="S75" s="690"/>
      <c r="T75" s="690"/>
      <c r="U75" s="690"/>
    </row>
    <row r="76" spans="1:21" s="650" customFormat="1" ht="20.100000000000001" customHeight="1">
      <c r="A76" s="682" t="s">
        <v>145</v>
      </c>
      <c r="B76" s="683">
        <f>基础信息!B6</f>
        <v>0</v>
      </c>
      <c r="C76" s="684"/>
      <c r="D76" s="684"/>
      <c r="E76" s="685"/>
      <c r="F76" s="686"/>
      <c r="G76" s="687"/>
      <c r="H76" s="687"/>
      <c r="I76" s="687"/>
      <c r="J76" s="687"/>
      <c r="K76" s="687"/>
      <c r="L76" s="701"/>
      <c r="M76" s="701"/>
      <c r="N76" s="702"/>
      <c r="O76" s="702"/>
      <c r="P76" s="702"/>
      <c r="Q76" s="702"/>
      <c r="R76" s="702"/>
      <c r="S76" s="702"/>
      <c r="T76" s="702"/>
      <c r="U76" s="702"/>
    </row>
    <row r="77" spans="1:21" s="650" customFormat="1" ht="20.100000000000001" customHeight="1">
      <c r="A77" s="6" t="s">
        <v>147</v>
      </c>
      <c r="B77" s="655">
        <f>日期2</f>
        <v>0</v>
      </c>
      <c r="F77" s="657"/>
      <c r="G77" s="658"/>
      <c r="H77" s="658"/>
      <c r="I77" s="599"/>
      <c r="J77" s="688" t="s">
        <v>351</v>
      </c>
      <c r="K77" s="658"/>
      <c r="L77" s="658"/>
      <c r="M77" s="658"/>
      <c r="N77" s="658"/>
      <c r="O77" s="658"/>
      <c r="P77" s="658"/>
      <c r="Q77" s="599"/>
      <c r="R77" s="688" t="s">
        <v>352</v>
      </c>
      <c r="S77" s="658"/>
      <c r="T77" s="658"/>
      <c r="U77" s="658"/>
    </row>
    <row r="78" spans="1:21" s="650" customFormat="1" ht="20.100000000000001" customHeight="1">
      <c r="A78" s="159" t="s">
        <v>148</v>
      </c>
      <c r="B78" s="710" t="s">
        <v>392</v>
      </c>
      <c r="C78" s="711"/>
      <c r="D78" s="711"/>
      <c r="E78" s="711"/>
      <c r="F78" s="712"/>
      <c r="G78" s="713"/>
      <c r="H78" s="713"/>
      <c r="I78" s="713"/>
      <c r="J78" s="713"/>
      <c r="K78" s="713"/>
      <c r="L78" s="722"/>
      <c r="M78" s="722"/>
      <c r="N78" s="723"/>
      <c r="O78" s="723"/>
      <c r="P78" s="723"/>
      <c r="Q78" s="723"/>
      <c r="R78" s="723"/>
      <c r="S78" s="723"/>
      <c r="T78" s="723"/>
      <c r="U78" s="723"/>
    </row>
    <row r="79" spans="1:21" s="245" customFormat="1" ht="20.100000000000001" customHeight="1">
      <c r="A79" s="660" t="s">
        <v>137</v>
      </c>
      <c r="B79" s="20" t="s">
        <v>393</v>
      </c>
      <c r="C79" s="661"/>
      <c r="D79" s="661" t="s">
        <v>394</v>
      </c>
      <c r="E79" s="661" t="s">
        <v>395</v>
      </c>
      <c r="F79" s="662" t="s">
        <v>1</v>
      </c>
      <c r="G79" s="663" t="s">
        <v>358</v>
      </c>
      <c r="H79" s="663" t="s">
        <v>359</v>
      </c>
      <c r="I79" s="663" t="s">
        <v>360</v>
      </c>
      <c r="J79" s="663" t="s">
        <v>361</v>
      </c>
      <c r="K79" s="663" t="s">
        <v>362</v>
      </c>
      <c r="L79" s="663" t="s">
        <v>363</v>
      </c>
      <c r="M79" s="663" t="s">
        <v>364</v>
      </c>
      <c r="N79" s="662" t="s">
        <v>1</v>
      </c>
      <c r="O79" s="662" t="s">
        <v>358</v>
      </c>
      <c r="P79" s="662" t="s">
        <v>359</v>
      </c>
      <c r="Q79" s="662" t="s">
        <v>360</v>
      </c>
      <c r="R79" s="703" t="s">
        <v>361</v>
      </c>
      <c r="S79" s="703" t="s">
        <v>362</v>
      </c>
      <c r="T79" s="662" t="s">
        <v>363</v>
      </c>
      <c r="U79" s="662" t="s">
        <v>364</v>
      </c>
    </row>
    <row r="80" spans="1:21" s="245" customFormat="1" ht="20.100000000000001" customHeight="1">
      <c r="A80" s="714" t="s">
        <v>396</v>
      </c>
      <c r="B80" s="284"/>
      <c r="C80" s="95">
        <f>-SUMIF(A80,$P:$P,R:R)+SUMIF(A80,$P:$P,S:S)</f>
        <v>0</v>
      </c>
      <c r="D80" s="95">
        <f>-SUMIF(A80,$H:$H,J:J)+SUMIF(A80,$H:$H,K:K)</f>
        <v>0</v>
      </c>
      <c r="E80" s="95">
        <f t="shared" ref="E80:E90" si="15">SUM(B80:D80)</f>
        <v>0</v>
      </c>
      <c r="F80" s="669"/>
      <c r="G80" s="670"/>
      <c r="H80" s="670"/>
      <c r="I80" s="670"/>
      <c r="J80" s="670"/>
      <c r="K80" s="670"/>
      <c r="L80" s="699"/>
      <c r="M80" s="699"/>
      <c r="N80" s="690"/>
      <c r="O80" s="690"/>
      <c r="P80" s="690"/>
      <c r="Q80" s="690"/>
      <c r="R80" s="690"/>
      <c r="S80" s="690"/>
      <c r="T80" s="690"/>
      <c r="U80" s="690"/>
    </row>
    <row r="81" spans="1:22" s="245" customFormat="1" ht="20.100000000000001" customHeight="1">
      <c r="A81" s="714" t="s">
        <v>73</v>
      </c>
      <c r="B81" s="284"/>
      <c r="C81" s="95">
        <f t="shared" ref="C81:C102" si="16">-SUMIF($P:$P,A81,R:R)+SUMIF($P:$P,A81,S:S)</f>
        <v>0</v>
      </c>
      <c r="D81" s="95">
        <f t="shared" ref="D81:D102" si="17">-SUMIF($H:$H,A81,J:J)+SUMIF($H:$H,A81,K:K)</f>
        <v>0</v>
      </c>
      <c r="E81" s="95">
        <f t="shared" si="15"/>
        <v>0</v>
      </c>
      <c r="F81" s="669"/>
      <c r="G81" s="670"/>
      <c r="H81" s="670"/>
      <c r="I81" s="670"/>
      <c r="J81" s="670"/>
      <c r="K81" s="670"/>
      <c r="L81" s="699"/>
      <c r="M81" s="699"/>
      <c r="N81" s="690"/>
      <c r="O81" s="690"/>
      <c r="P81" s="690"/>
      <c r="Q81" s="690"/>
      <c r="R81" s="690"/>
      <c r="S81" s="690"/>
      <c r="T81" s="690"/>
      <c r="U81" s="690"/>
    </row>
    <row r="82" spans="1:22" s="245" customFormat="1" ht="20.100000000000001" customHeight="1">
      <c r="A82" s="966" t="s">
        <v>2067</v>
      </c>
      <c r="B82" s="284"/>
      <c r="C82" s="95">
        <f t="shared" si="16"/>
        <v>0</v>
      </c>
      <c r="D82" s="95">
        <f t="shared" si="17"/>
        <v>0</v>
      </c>
      <c r="E82" s="95">
        <f t="shared" ref="E82" si="18">SUM(B82:D82)</f>
        <v>0</v>
      </c>
      <c r="F82" s="669"/>
      <c r="G82" s="670"/>
      <c r="H82" s="670"/>
      <c r="I82" s="670"/>
      <c r="J82" s="670"/>
      <c r="K82" s="670"/>
      <c r="L82" s="699"/>
      <c r="M82" s="699"/>
      <c r="N82" s="690"/>
      <c r="O82" s="690"/>
      <c r="P82" s="690"/>
      <c r="Q82" s="690"/>
      <c r="R82" s="690"/>
      <c r="S82" s="690"/>
      <c r="T82" s="690"/>
      <c r="U82" s="690"/>
    </row>
    <row r="83" spans="1:22" s="245" customFormat="1" ht="27" customHeight="1">
      <c r="A83" s="715" t="s">
        <v>74</v>
      </c>
      <c r="B83" s="284"/>
      <c r="C83" s="95">
        <f t="shared" si="16"/>
        <v>0</v>
      </c>
      <c r="D83" s="95">
        <f t="shared" si="17"/>
        <v>0</v>
      </c>
      <c r="E83" s="95">
        <f t="shared" si="15"/>
        <v>0</v>
      </c>
      <c r="F83" s="669"/>
      <c r="G83" s="670"/>
      <c r="H83" s="670"/>
      <c r="I83" s="670"/>
      <c r="J83" s="670"/>
      <c r="K83" s="670"/>
      <c r="L83" s="699"/>
      <c r="M83" s="699"/>
      <c r="N83" s="690"/>
      <c r="O83" s="690"/>
      <c r="P83" s="690"/>
      <c r="Q83" s="690"/>
      <c r="R83" s="690"/>
      <c r="S83" s="690"/>
      <c r="T83" s="690"/>
      <c r="U83" s="690"/>
    </row>
    <row r="84" spans="1:22" s="245" customFormat="1" ht="20.100000000000001" customHeight="1">
      <c r="A84" s="714" t="s">
        <v>75</v>
      </c>
      <c r="B84" s="284"/>
      <c r="C84" s="95">
        <f t="shared" si="16"/>
        <v>0</v>
      </c>
      <c r="D84" s="95">
        <f t="shared" si="17"/>
        <v>0</v>
      </c>
      <c r="E84" s="95">
        <f t="shared" si="15"/>
        <v>0</v>
      </c>
      <c r="F84" s="669"/>
      <c r="G84" s="670"/>
      <c r="H84" s="670"/>
      <c r="I84" s="670"/>
      <c r="J84" s="670"/>
      <c r="K84" s="670"/>
      <c r="L84" s="699"/>
      <c r="M84" s="699"/>
      <c r="N84" s="690"/>
      <c r="O84" s="690"/>
      <c r="P84" s="690"/>
      <c r="Q84" s="690"/>
      <c r="R84" s="690"/>
      <c r="S84" s="690"/>
      <c r="T84" s="690"/>
      <c r="U84" s="690"/>
    </row>
    <row r="85" spans="1:22" s="651" customFormat="1" ht="20.100000000000001" customHeight="1">
      <c r="A85" s="716" t="s">
        <v>2290</v>
      </c>
      <c r="B85" s="284"/>
      <c r="C85" s="95">
        <f t="shared" si="16"/>
        <v>0</v>
      </c>
      <c r="D85" s="95">
        <f t="shared" si="17"/>
        <v>0</v>
      </c>
      <c r="E85" s="95">
        <f t="shared" si="15"/>
        <v>0</v>
      </c>
      <c r="F85" s="669"/>
      <c r="G85" s="670"/>
      <c r="H85" s="670"/>
      <c r="I85" s="670"/>
      <c r="J85" s="670"/>
      <c r="K85" s="670"/>
      <c r="L85" s="699"/>
      <c r="M85" s="699"/>
      <c r="N85" s="690"/>
      <c r="O85" s="690"/>
      <c r="P85" s="690"/>
      <c r="Q85" s="690"/>
      <c r="R85" s="690"/>
      <c r="S85" s="690"/>
      <c r="T85" s="690"/>
      <c r="U85" s="690"/>
      <c r="V85" s="245"/>
    </row>
    <row r="86" spans="1:22" s="651" customFormat="1" ht="20.100000000000001" customHeight="1">
      <c r="A86" s="716" t="s">
        <v>2289</v>
      </c>
      <c r="B86" s="284"/>
      <c r="C86" s="95">
        <f t="shared" si="16"/>
        <v>0</v>
      </c>
      <c r="D86" s="95">
        <f t="shared" si="17"/>
        <v>0</v>
      </c>
      <c r="E86" s="95">
        <f t="shared" ref="E86" si="19">SUM(B86:D86)</f>
        <v>0</v>
      </c>
      <c r="F86" s="669"/>
      <c r="G86" s="670"/>
      <c r="H86" s="670"/>
      <c r="I86" s="670"/>
      <c r="J86" s="670"/>
      <c r="K86" s="670"/>
      <c r="L86" s="699"/>
      <c r="M86" s="699"/>
      <c r="N86" s="690"/>
      <c r="O86" s="690"/>
      <c r="P86" s="690"/>
      <c r="Q86" s="690"/>
      <c r="R86" s="690"/>
      <c r="S86" s="690"/>
      <c r="T86" s="690"/>
      <c r="U86" s="690"/>
      <c r="V86" s="245"/>
    </row>
    <row r="87" spans="1:22" s="245" customFormat="1" ht="20.100000000000001" customHeight="1">
      <c r="A87" s="714" t="s">
        <v>76</v>
      </c>
      <c r="B87" s="284"/>
      <c r="C87" s="95">
        <f t="shared" si="16"/>
        <v>0</v>
      </c>
      <c r="D87" s="95">
        <f t="shared" si="17"/>
        <v>0</v>
      </c>
      <c r="E87" s="95">
        <f t="shared" si="15"/>
        <v>0</v>
      </c>
      <c r="F87" s="669"/>
      <c r="G87" s="670"/>
      <c r="H87" s="670"/>
      <c r="I87" s="670"/>
      <c r="J87" s="670"/>
      <c r="K87" s="670"/>
      <c r="L87" s="699"/>
      <c r="M87" s="699"/>
      <c r="N87" s="690"/>
      <c r="O87" s="690"/>
      <c r="P87" s="690"/>
      <c r="Q87" s="690"/>
      <c r="R87" s="690"/>
      <c r="S87" s="690"/>
      <c r="T87" s="690"/>
      <c r="U87" s="690"/>
    </row>
    <row r="88" spans="1:22" s="245" customFormat="1" ht="20.100000000000001" customHeight="1">
      <c r="A88" s="966" t="s">
        <v>2068</v>
      </c>
      <c r="B88" s="284"/>
      <c r="C88" s="95">
        <f t="shared" si="16"/>
        <v>0</v>
      </c>
      <c r="D88" s="95">
        <f t="shared" si="17"/>
        <v>0</v>
      </c>
      <c r="E88" s="95">
        <f t="shared" ref="E88" si="20">SUM(B88:D88)</f>
        <v>0</v>
      </c>
      <c r="F88" s="669"/>
      <c r="G88" s="670"/>
      <c r="H88" s="670"/>
      <c r="I88" s="670"/>
      <c r="J88" s="670"/>
      <c r="K88" s="670"/>
      <c r="L88" s="699"/>
      <c r="M88" s="699"/>
      <c r="N88" s="690"/>
      <c r="O88" s="690"/>
      <c r="P88" s="690"/>
      <c r="Q88" s="690"/>
      <c r="R88" s="690"/>
      <c r="S88" s="690"/>
      <c r="T88" s="690"/>
      <c r="U88" s="690"/>
    </row>
    <row r="89" spans="1:22" s="245" customFormat="1" ht="20.100000000000001" customHeight="1">
      <c r="A89" s="714" t="s">
        <v>77</v>
      </c>
      <c r="B89" s="284"/>
      <c r="C89" s="95">
        <f t="shared" si="16"/>
        <v>0</v>
      </c>
      <c r="D89" s="95">
        <f t="shared" si="17"/>
        <v>0</v>
      </c>
      <c r="E89" s="95">
        <f t="shared" si="15"/>
        <v>0</v>
      </c>
      <c r="F89" s="669"/>
      <c r="G89" s="670"/>
      <c r="H89" s="670"/>
      <c r="I89" s="670"/>
      <c r="J89" s="670"/>
      <c r="K89" s="724"/>
      <c r="L89" s="699"/>
      <c r="M89" s="699"/>
      <c r="N89" s="690"/>
      <c r="O89" s="690"/>
      <c r="P89" s="690"/>
      <c r="Q89" s="690"/>
      <c r="R89" s="690"/>
      <c r="S89" s="690"/>
      <c r="T89" s="690"/>
      <c r="U89" s="690"/>
    </row>
    <row r="90" spans="1:22" s="245" customFormat="1" ht="20.100000000000001" customHeight="1">
      <c r="A90" s="714" t="s">
        <v>78</v>
      </c>
      <c r="B90" s="284"/>
      <c r="C90" s="95">
        <f t="shared" si="16"/>
        <v>0</v>
      </c>
      <c r="D90" s="95">
        <f t="shared" si="17"/>
        <v>0</v>
      </c>
      <c r="E90" s="95">
        <f t="shared" si="15"/>
        <v>0</v>
      </c>
      <c r="F90" s="669"/>
      <c r="G90" s="670"/>
      <c r="H90" s="670"/>
      <c r="I90" s="670"/>
      <c r="J90" s="670"/>
      <c r="K90" s="724"/>
      <c r="L90" s="699"/>
      <c r="M90" s="699"/>
      <c r="N90" s="690"/>
      <c r="O90" s="690"/>
      <c r="P90" s="690"/>
      <c r="Q90" s="690"/>
      <c r="R90" s="690"/>
      <c r="S90" s="690"/>
      <c r="T90" s="690"/>
      <c r="U90" s="690"/>
    </row>
    <row r="91" spans="1:22" s="651" customFormat="1" ht="20.100000000000001" customHeight="1">
      <c r="A91" s="714" t="s">
        <v>196</v>
      </c>
      <c r="B91" s="284"/>
      <c r="C91" s="95">
        <f t="shared" si="16"/>
        <v>0</v>
      </c>
      <c r="D91" s="95">
        <f t="shared" si="17"/>
        <v>0</v>
      </c>
      <c r="E91" s="95">
        <f t="shared" ref="E91:E132" si="21">SUM(B91:D91)</f>
        <v>0</v>
      </c>
      <c r="F91" s="669"/>
      <c r="G91" s="670"/>
      <c r="H91" s="670"/>
      <c r="I91" s="670"/>
      <c r="J91" s="670"/>
      <c r="K91" s="670"/>
      <c r="L91" s="699"/>
      <c r="M91" s="699"/>
      <c r="N91" s="690"/>
      <c r="O91" s="690"/>
      <c r="P91" s="690"/>
      <c r="Q91" s="690"/>
      <c r="R91" s="690"/>
      <c r="S91" s="690"/>
      <c r="T91" s="690"/>
      <c r="U91" s="690"/>
      <c r="V91" s="245"/>
    </row>
    <row r="92" spans="1:22" s="245" customFormat="1" ht="20.100000000000001" customHeight="1">
      <c r="A92" s="716" t="s">
        <v>397</v>
      </c>
      <c r="B92" s="284"/>
      <c r="C92" s="95">
        <f t="shared" si="16"/>
        <v>0</v>
      </c>
      <c r="D92" s="95">
        <f t="shared" si="17"/>
        <v>0</v>
      </c>
      <c r="E92" s="95">
        <f t="shared" si="21"/>
        <v>0</v>
      </c>
      <c r="F92" s="669"/>
      <c r="G92" s="670"/>
      <c r="H92" s="670"/>
      <c r="I92" s="670"/>
      <c r="J92" s="670"/>
      <c r="K92" s="670"/>
      <c r="L92" s="699"/>
      <c r="M92" s="699"/>
      <c r="N92" s="690"/>
      <c r="O92" s="690"/>
      <c r="P92" s="690"/>
      <c r="Q92" s="690"/>
      <c r="R92" s="690"/>
      <c r="S92" s="690"/>
      <c r="T92" s="690"/>
      <c r="U92" s="690"/>
    </row>
    <row r="93" spans="1:22" s="245" customFormat="1" ht="20.100000000000001" customHeight="1">
      <c r="A93" s="714" t="s">
        <v>50</v>
      </c>
      <c r="B93" s="284"/>
      <c r="C93" s="95">
        <f t="shared" si="16"/>
        <v>0</v>
      </c>
      <c r="D93" s="95">
        <f t="shared" si="17"/>
        <v>0</v>
      </c>
      <c r="E93" s="95">
        <f t="shared" si="21"/>
        <v>0</v>
      </c>
      <c r="F93" s="671"/>
      <c r="G93" s="672"/>
      <c r="H93" s="670"/>
      <c r="I93" s="670"/>
      <c r="J93" s="674"/>
      <c r="K93" s="670"/>
      <c r="L93" s="699"/>
      <c r="M93" s="699"/>
      <c r="N93" s="690"/>
      <c r="O93" s="690"/>
      <c r="P93" s="690"/>
      <c r="Q93" s="690"/>
      <c r="R93" s="690"/>
      <c r="S93" s="690"/>
      <c r="T93" s="690"/>
      <c r="U93" s="690"/>
    </row>
    <row r="94" spans="1:22" s="245" customFormat="1" ht="20.100000000000001" customHeight="1">
      <c r="A94" s="714" t="s">
        <v>398</v>
      </c>
      <c r="B94" s="284"/>
      <c r="C94" s="95">
        <f t="shared" si="16"/>
        <v>0</v>
      </c>
      <c r="D94" s="95">
        <f t="shared" si="17"/>
        <v>0</v>
      </c>
      <c r="E94" s="95">
        <f t="shared" si="21"/>
        <v>0</v>
      </c>
      <c r="F94" s="671"/>
      <c r="G94" s="672"/>
      <c r="H94" s="670"/>
      <c r="I94" s="674"/>
      <c r="J94" s="670"/>
      <c r="K94" s="700"/>
      <c r="L94" s="699"/>
      <c r="M94" s="699"/>
      <c r="N94" s="690"/>
      <c r="O94" s="690"/>
      <c r="P94" s="690"/>
      <c r="Q94" s="690"/>
      <c r="R94" s="690"/>
      <c r="S94" s="690"/>
      <c r="T94" s="690"/>
      <c r="U94" s="690"/>
    </row>
    <row r="95" spans="1:22" s="245" customFormat="1" ht="20.100000000000001" customHeight="1">
      <c r="A95" s="714" t="s">
        <v>399</v>
      </c>
      <c r="B95" s="284"/>
      <c r="C95" s="95">
        <f t="shared" si="16"/>
        <v>0</v>
      </c>
      <c r="D95" s="95">
        <f t="shared" si="17"/>
        <v>0</v>
      </c>
      <c r="E95" s="95">
        <f t="shared" si="21"/>
        <v>0</v>
      </c>
      <c r="F95" s="669"/>
      <c r="G95" s="670"/>
      <c r="H95" s="670"/>
      <c r="I95" s="670"/>
      <c r="J95" s="670"/>
      <c r="K95" s="670"/>
      <c r="L95" s="699"/>
      <c r="M95" s="699"/>
      <c r="N95" s="690"/>
      <c r="O95" s="690"/>
      <c r="P95" s="690"/>
      <c r="Q95" s="690"/>
      <c r="R95" s="690"/>
      <c r="S95" s="690"/>
      <c r="T95" s="690"/>
      <c r="U95" s="690"/>
    </row>
    <row r="96" spans="1:22" s="650" customFormat="1" ht="20.100000000000001" customHeight="1">
      <c r="A96" s="714" t="s">
        <v>400</v>
      </c>
      <c r="B96" s="108"/>
      <c r="C96" s="95">
        <f t="shared" si="16"/>
        <v>0</v>
      </c>
      <c r="D96" s="95">
        <f t="shared" si="17"/>
        <v>0</v>
      </c>
      <c r="E96" s="95">
        <f t="shared" si="21"/>
        <v>0</v>
      </c>
      <c r="F96" s="671"/>
      <c r="G96" s="672"/>
      <c r="H96" s="670"/>
      <c r="I96" s="670"/>
      <c r="J96" s="674"/>
      <c r="K96" s="670"/>
      <c r="L96" s="699"/>
      <c r="M96" s="699"/>
      <c r="N96" s="690"/>
      <c r="O96" s="690"/>
      <c r="P96" s="690"/>
      <c r="Q96" s="690"/>
      <c r="R96" s="690"/>
      <c r="S96" s="690"/>
      <c r="T96" s="690"/>
      <c r="U96" s="690"/>
    </row>
    <row r="97" spans="1:21" s="650" customFormat="1" ht="20.100000000000001" customHeight="1">
      <c r="A97" s="714" t="s">
        <v>401</v>
      </c>
      <c r="B97" s="108"/>
      <c r="C97" s="95">
        <f t="shared" si="16"/>
        <v>0</v>
      </c>
      <c r="D97" s="95">
        <f t="shared" si="17"/>
        <v>0</v>
      </c>
      <c r="E97" s="95">
        <f t="shared" si="21"/>
        <v>0</v>
      </c>
      <c r="F97" s="671"/>
      <c r="G97" s="672"/>
      <c r="H97" s="670"/>
      <c r="I97" s="674"/>
      <c r="J97" s="670"/>
      <c r="K97" s="700"/>
      <c r="L97" s="699"/>
      <c r="M97" s="699"/>
      <c r="N97" s="690"/>
      <c r="O97" s="690"/>
      <c r="P97" s="690"/>
      <c r="Q97" s="690"/>
      <c r="R97" s="690"/>
      <c r="S97" s="690"/>
      <c r="T97" s="690"/>
      <c r="U97" s="690"/>
    </row>
    <row r="98" spans="1:21" s="650" customFormat="1" ht="20.100000000000001" customHeight="1">
      <c r="A98" s="714" t="s">
        <v>402</v>
      </c>
      <c r="B98" s="108"/>
      <c r="C98" s="95">
        <f t="shared" si="16"/>
        <v>0</v>
      </c>
      <c r="D98" s="95">
        <f t="shared" si="17"/>
        <v>0</v>
      </c>
      <c r="E98" s="95">
        <f t="shared" si="21"/>
        <v>0</v>
      </c>
      <c r="F98" s="667"/>
      <c r="G98" s="694"/>
      <c r="H98" s="717"/>
      <c r="I98" s="694"/>
      <c r="J98" s="694"/>
      <c r="K98" s="694"/>
      <c r="L98" s="699"/>
      <c r="M98" s="699"/>
      <c r="N98" s="690"/>
      <c r="O98" s="690"/>
      <c r="P98" s="690"/>
      <c r="Q98" s="690"/>
      <c r="R98" s="690"/>
      <c r="S98" s="690"/>
      <c r="T98" s="690"/>
      <c r="U98" s="690"/>
    </row>
    <row r="99" spans="1:21" s="650" customFormat="1" ht="20.100000000000001" customHeight="1">
      <c r="A99" s="714" t="s">
        <v>403</v>
      </c>
      <c r="B99" s="108"/>
      <c r="C99" s="95">
        <f t="shared" si="16"/>
        <v>0</v>
      </c>
      <c r="D99" s="95">
        <f t="shared" si="17"/>
        <v>0</v>
      </c>
      <c r="E99" s="95">
        <f t="shared" si="21"/>
        <v>0</v>
      </c>
      <c r="F99" s="671"/>
      <c r="G99" s="672"/>
      <c r="H99" s="694"/>
      <c r="I99" s="694"/>
      <c r="J99" s="700"/>
      <c r="K99" s="694"/>
      <c r="L99" s="699"/>
      <c r="M99" s="699"/>
      <c r="N99" s="690"/>
      <c r="O99" s="690"/>
      <c r="P99" s="690"/>
      <c r="Q99" s="690"/>
      <c r="R99" s="690"/>
      <c r="S99" s="690"/>
      <c r="T99" s="690"/>
      <c r="U99" s="690"/>
    </row>
    <row r="100" spans="1:21" s="650" customFormat="1" ht="20.100000000000001" customHeight="1">
      <c r="A100" s="714" t="s">
        <v>404</v>
      </c>
      <c r="B100" s="108"/>
      <c r="C100" s="95">
        <f t="shared" si="16"/>
        <v>0</v>
      </c>
      <c r="D100" s="95">
        <f t="shared" si="17"/>
        <v>0</v>
      </c>
      <c r="E100" s="95">
        <f t="shared" si="21"/>
        <v>0</v>
      </c>
      <c r="F100" s="671"/>
      <c r="G100" s="672"/>
      <c r="H100" s="670"/>
      <c r="I100" s="694"/>
      <c r="J100" s="700"/>
      <c r="K100" s="694"/>
      <c r="L100" s="699"/>
      <c r="M100" s="699"/>
      <c r="N100" s="690"/>
      <c r="O100" s="690"/>
      <c r="P100" s="690"/>
      <c r="Q100" s="690"/>
      <c r="R100" s="690"/>
      <c r="S100" s="690"/>
      <c r="T100" s="690"/>
      <c r="U100" s="690"/>
    </row>
    <row r="101" spans="1:21" s="650" customFormat="1" ht="20.100000000000001" customHeight="1">
      <c r="A101" s="714" t="s">
        <v>377</v>
      </c>
      <c r="B101" s="108"/>
      <c r="C101" s="95">
        <f t="shared" si="16"/>
        <v>0</v>
      </c>
      <c r="D101" s="95">
        <f t="shared" si="17"/>
        <v>0</v>
      </c>
      <c r="E101" s="95">
        <f t="shared" si="21"/>
        <v>0</v>
      </c>
      <c r="F101" s="667"/>
      <c r="G101" s="694"/>
      <c r="H101" s="717"/>
      <c r="I101" s="717"/>
      <c r="J101" s="700"/>
      <c r="K101" s="725"/>
      <c r="L101" s="699"/>
      <c r="M101" s="699"/>
      <c r="N101" s="690"/>
      <c r="O101" s="690"/>
      <c r="P101" s="690"/>
      <c r="Q101" s="690"/>
      <c r="R101" s="690"/>
      <c r="S101" s="690"/>
      <c r="T101" s="690"/>
      <c r="U101" s="690"/>
    </row>
    <row r="102" spans="1:21" s="650" customFormat="1" ht="20.100000000000001" customHeight="1">
      <c r="A102" s="714" t="s">
        <v>83</v>
      </c>
      <c r="B102" s="108"/>
      <c r="C102" s="95">
        <f t="shared" si="16"/>
        <v>0</v>
      </c>
      <c r="D102" s="95">
        <f t="shared" si="17"/>
        <v>0</v>
      </c>
      <c r="E102" s="95">
        <f t="shared" si="21"/>
        <v>0</v>
      </c>
      <c r="F102" s="671"/>
      <c r="G102" s="672"/>
      <c r="H102" s="717"/>
      <c r="I102" s="717"/>
      <c r="J102" s="700"/>
      <c r="K102" s="725"/>
      <c r="L102" s="690"/>
      <c r="M102" s="690"/>
      <c r="N102" s="690"/>
      <c r="O102" s="690"/>
      <c r="P102" s="690"/>
      <c r="Q102" s="690"/>
      <c r="R102" s="690"/>
      <c r="S102" s="690"/>
      <c r="T102" s="690"/>
      <c r="U102" s="690"/>
    </row>
    <row r="103" spans="1:21" s="650" customFormat="1" ht="20.100000000000001" customHeight="1">
      <c r="A103" s="714" t="s">
        <v>405</v>
      </c>
      <c r="B103" s="95">
        <f>SUM(B81:B102)</f>
        <v>0</v>
      </c>
      <c r="C103" s="95">
        <f>SUM(C81:C102)</f>
        <v>0</v>
      </c>
      <c r="D103" s="95">
        <f>SUM(D81:D102)</f>
        <v>0</v>
      </c>
      <c r="E103" s="95">
        <f t="shared" si="21"/>
        <v>0</v>
      </c>
      <c r="F103" s="671"/>
      <c r="G103" s="672"/>
      <c r="H103" s="717"/>
      <c r="I103" s="717"/>
      <c r="J103" s="717"/>
      <c r="K103" s="725"/>
      <c r="L103" s="690"/>
      <c r="M103" s="690"/>
      <c r="N103" s="690"/>
      <c r="O103" s="690"/>
      <c r="P103" s="690"/>
      <c r="Q103" s="690"/>
      <c r="R103" s="690"/>
      <c r="S103" s="690"/>
      <c r="T103" s="690"/>
      <c r="U103" s="690"/>
    </row>
    <row r="104" spans="1:21" s="650" customFormat="1" ht="20.100000000000001" customHeight="1">
      <c r="A104" s="714" t="s">
        <v>406</v>
      </c>
      <c r="B104" s="108"/>
      <c r="C104" s="95">
        <f t="shared" ref="C104:C114" si="22">-SUMIF($P:$P,A104,R:R)+SUMIF($P:$P,A104,S:S)</f>
        <v>0</v>
      </c>
      <c r="D104" s="95">
        <f t="shared" ref="D104:D114" si="23">-SUMIF($H:$H,A104,J:J)+SUMIF($H:$H,A104,K:K)</f>
        <v>0</v>
      </c>
      <c r="E104" s="95">
        <f t="shared" si="21"/>
        <v>0</v>
      </c>
      <c r="F104" s="665"/>
      <c r="G104" s="699"/>
      <c r="H104" s="699"/>
      <c r="I104" s="699"/>
      <c r="J104" s="699"/>
      <c r="K104" s="699"/>
      <c r="L104" s="726"/>
      <c r="M104" s="690"/>
      <c r="N104" s="690"/>
      <c r="O104" s="690"/>
      <c r="P104" s="690"/>
      <c r="Q104" s="690"/>
      <c r="R104" s="690"/>
      <c r="S104" s="690"/>
      <c r="T104" s="690"/>
      <c r="U104" s="690"/>
    </row>
    <row r="105" spans="1:21" s="650" customFormat="1" ht="20.100000000000001" customHeight="1">
      <c r="A105" s="714" t="s">
        <v>84</v>
      </c>
      <c r="B105" s="108"/>
      <c r="C105" s="95">
        <f t="shared" si="22"/>
        <v>0</v>
      </c>
      <c r="D105" s="95">
        <f t="shared" si="23"/>
        <v>0</v>
      </c>
      <c r="E105" s="95">
        <f t="shared" si="21"/>
        <v>0</v>
      </c>
      <c r="F105" s="665"/>
      <c r="G105" s="699"/>
      <c r="H105" s="699"/>
      <c r="I105" s="699"/>
      <c r="J105" s="699"/>
      <c r="K105" s="699"/>
      <c r="L105" s="690"/>
      <c r="M105" s="690"/>
      <c r="N105" s="690"/>
      <c r="O105" s="690"/>
      <c r="P105" s="690"/>
      <c r="Q105" s="690"/>
      <c r="R105" s="690"/>
      <c r="S105" s="690"/>
      <c r="T105" s="690"/>
      <c r="U105" s="690"/>
    </row>
    <row r="106" spans="1:21" s="650" customFormat="1" ht="20.100000000000001" customHeight="1">
      <c r="A106" s="714" t="s">
        <v>85</v>
      </c>
      <c r="B106" s="108"/>
      <c r="C106" s="95">
        <f t="shared" si="22"/>
        <v>0</v>
      </c>
      <c r="D106" s="95">
        <f t="shared" si="23"/>
        <v>0</v>
      </c>
      <c r="E106" s="95">
        <f t="shared" si="21"/>
        <v>0</v>
      </c>
      <c r="F106" s="665"/>
      <c r="G106" s="699"/>
      <c r="H106" s="699"/>
      <c r="I106" s="699"/>
      <c r="J106" s="699"/>
      <c r="K106" s="727"/>
      <c r="L106" s="690"/>
      <c r="M106" s="690"/>
      <c r="N106" s="690"/>
      <c r="O106" s="690"/>
      <c r="P106" s="690"/>
      <c r="Q106" s="690"/>
      <c r="R106" s="690"/>
      <c r="S106" s="690"/>
      <c r="T106" s="690"/>
      <c r="U106" s="690"/>
    </row>
    <row r="107" spans="1:21" s="650" customFormat="1" ht="20.100000000000001" customHeight="1">
      <c r="A107" s="966" t="s">
        <v>2291</v>
      </c>
      <c r="B107" s="108"/>
      <c r="C107" s="95">
        <f t="shared" si="22"/>
        <v>0</v>
      </c>
      <c r="D107" s="95">
        <f t="shared" si="23"/>
        <v>0</v>
      </c>
      <c r="E107" s="95">
        <f t="shared" ref="E107" si="24">SUM(B107:D107)</f>
        <v>0</v>
      </c>
      <c r="F107" s="665"/>
      <c r="G107" s="699"/>
      <c r="H107" s="699"/>
      <c r="I107" s="699"/>
      <c r="J107" s="699"/>
      <c r="K107" s="727"/>
      <c r="L107" s="690"/>
      <c r="M107" s="690"/>
      <c r="N107" s="690"/>
      <c r="O107" s="690"/>
      <c r="P107" s="690"/>
      <c r="Q107" s="690"/>
      <c r="R107" s="690"/>
      <c r="S107" s="690"/>
      <c r="T107" s="690"/>
      <c r="U107" s="690"/>
    </row>
    <row r="108" spans="1:21" s="650" customFormat="1" ht="20.100000000000001" customHeight="1">
      <c r="A108" s="714" t="s">
        <v>202</v>
      </c>
      <c r="B108" s="108"/>
      <c r="C108" s="95">
        <f t="shared" si="22"/>
        <v>0</v>
      </c>
      <c r="D108" s="95">
        <f t="shared" si="23"/>
        <v>0</v>
      </c>
      <c r="E108" s="95">
        <f t="shared" si="21"/>
        <v>0</v>
      </c>
      <c r="F108" s="665"/>
      <c r="G108" s="699"/>
      <c r="H108" s="699"/>
      <c r="I108" s="699"/>
      <c r="J108" s="699"/>
      <c r="K108" s="727"/>
      <c r="L108" s="690"/>
      <c r="M108" s="690"/>
      <c r="N108" s="690"/>
      <c r="O108" s="690"/>
      <c r="P108" s="690"/>
      <c r="Q108" s="690"/>
      <c r="R108" s="690"/>
      <c r="S108" s="690"/>
      <c r="T108" s="690"/>
      <c r="U108" s="690"/>
    </row>
    <row r="109" spans="1:21" s="650" customFormat="1" ht="20.100000000000001" customHeight="1">
      <c r="A109" s="714" t="s">
        <v>89</v>
      </c>
      <c r="B109" s="108"/>
      <c r="C109" s="95">
        <f t="shared" si="22"/>
        <v>0</v>
      </c>
      <c r="D109" s="95">
        <f t="shared" si="23"/>
        <v>0</v>
      </c>
      <c r="E109" s="95">
        <f t="shared" si="21"/>
        <v>0</v>
      </c>
      <c r="F109" s="665"/>
      <c r="G109" s="699"/>
      <c r="H109" s="699"/>
      <c r="I109" s="699"/>
      <c r="J109" s="699"/>
      <c r="K109" s="727"/>
      <c r="L109" s="690"/>
      <c r="M109" s="690"/>
      <c r="N109" s="690"/>
      <c r="O109" s="690"/>
      <c r="P109" s="690"/>
      <c r="Q109" s="690"/>
      <c r="R109" s="690"/>
      <c r="S109" s="690"/>
      <c r="T109" s="690"/>
      <c r="U109" s="690"/>
    </row>
    <row r="110" spans="1:21" s="650" customFormat="1" ht="20.100000000000001" customHeight="1">
      <c r="A110" s="714" t="s">
        <v>407</v>
      </c>
      <c r="B110" s="108"/>
      <c r="C110" s="95">
        <f t="shared" si="22"/>
        <v>0</v>
      </c>
      <c r="D110" s="95">
        <f t="shared" si="23"/>
        <v>0</v>
      </c>
      <c r="E110" s="95">
        <f t="shared" si="21"/>
        <v>0</v>
      </c>
      <c r="F110" s="665"/>
      <c r="G110" s="690"/>
      <c r="H110" s="690"/>
      <c r="I110" s="690"/>
      <c r="J110" s="690"/>
      <c r="K110" s="728"/>
      <c r="L110" s="690"/>
      <c r="M110" s="690"/>
      <c r="N110" s="690"/>
      <c r="O110" s="690"/>
      <c r="P110" s="690"/>
      <c r="Q110" s="690"/>
      <c r="R110" s="690"/>
      <c r="S110" s="690"/>
      <c r="T110" s="690"/>
      <c r="U110" s="690"/>
    </row>
    <row r="111" spans="1:21" s="650" customFormat="1" ht="20.100000000000001" customHeight="1">
      <c r="A111" s="714" t="s">
        <v>90</v>
      </c>
      <c r="B111" s="108"/>
      <c r="C111" s="95">
        <f t="shared" si="22"/>
        <v>0</v>
      </c>
      <c r="D111" s="95">
        <f t="shared" si="23"/>
        <v>0</v>
      </c>
      <c r="E111" s="95">
        <f t="shared" si="21"/>
        <v>0</v>
      </c>
      <c r="F111" s="665"/>
      <c r="G111" s="690"/>
      <c r="H111" s="690"/>
      <c r="I111" s="690"/>
      <c r="J111" s="690"/>
      <c r="K111" s="690"/>
      <c r="L111" s="690"/>
      <c r="M111" s="690"/>
      <c r="N111" s="690"/>
      <c r="O111" s="690"/>
      <c r="P111" s="690"/>
      <c r="Q111" s="690"/>
      <c r="R111" s="690"/>
      <c r="S111" s="690"/>
      <c r="T111" s="690"/>
      <c r="U111" s="690"/>
    </row>
    <row r="112" spans="1:21" s="650" customFormat="1" ht="20.100000000000001" customHeight="1">
      <c r="A112" s="714" t="s">
        <v>91</v>
      </c>
      <c r="B112" s="108"/>
      <c r="C112" s="95">
        <f t="shared" si="22"/>
        <v>0</v>
      </c>
      <c r="D112" s="95">
        <f t="shared" si="23"/>
        <v>0</v>
      </c>
      <c r="E112" s="95">
        <f t="shared" si="21"/>
        <v>0</v>
      </c>
      <c r="F112" s="665"/>
      <c r="G112" s="690"/>
      <c r="H112" s="690"/>
      <c r="I112" s="690"/>
      <c r="J112" s="690"/>
      <c r="K112" s="690"/>
      <c r="L112" s="690"/>
      <c r="M112" s="690"/>
      <c r="N112" s="690"/>
      <c r="O112" s="690"/>
      <c r="P112" s="690"/>
      <c r="Q112" s="690"/>
      <c r="R112" s="690"/>
      <c r="S112" s="690"/>
      <c r="T112" s="690"/>
      <c r="U112" s="690"/>
    </row>
    <row r="113" spans="1:21" s="650" customFormat="1" ht="20.100000000000001" customHeight="1">
      <c r="A113" s="714" t="s">
        <v>204</v>
      </c>
      <c r="B113" s="108"/>
      <c r="C113" s="95">
        <f t="shared" si="22"/>
        <v>0</v>
      </c>
      <c r="D113" s="95">
        <f t="shared" si="23"/>
        <v>0</v>
      </c>
      <c r="E113" s="95">
        <f t="shared" si="21"/>
        <v>0</v>
      </c>
      <c r="F113" s="665"/>
      <c r="G113" s="718"/>
      <c r="H113" s="690"/>
      <c r="I113" s="690"/>
      <c r="J113" s="728"/>
      <c r="K113" s="728"/>
      <c r="L113" s="726"/>
      <c r="M113" s="690"/>
      <c r="N113" s="690"/>
      <c r="O113" s="690"/>
      <c r="P113" s="690"/>
      <c r="Q113" s="690"/>
      <c r="R113" s="690"/>
      <c r="S113" s="690"/>
      <c r="T113" s="690"/>
      <c r="U113" s="690"/>
    </row>
    <row r="114" spans="1:21" s="650" customFormat="1" ht="20.100000000000001" customHeight="1">
      <c r="A114" s="714" t="s">
        <v>92</v>
      </c>
      <c r="B114" s="108"/>
      <c r="C114" s="95">
        <f t="shared" si="22"/>
        <v>0</v>
      </c>
      <c r="D114" s="95">
        <f t="shared" si="23"/>
        <v>0</v>
      </c>
      <c r="E114" s="95">
        <f t="shared" si="21"/>
        <v>0</v>
      </c>
      <c r="F114" s="665"/>
      <c r="G114" s="718"/>
      <c r="H114" s="690"/>
      <c r="I114" s="690"/>
      <c r="J114" s="728"/>
      <c r="K114" s="728"/>
      <c r="L114" s="690"/>
      <c r="M114" s="690"/>
      <c r="N114" s="690"/>
      <c r="O114" s="690"/>
      <c r="P114" s="690"/>
      <c r="Q114" s="690"/>
      <c r="R114" s="690"/>
      <c r="S114" s="690"/>
      <c r="T114" s="690"/>
      <c r="U114" s="690"/>
    </row>
    <row r="115" spans="1:21" s="650" customFormat="1" ht="20.100000000000001" customHeight="1">
      <c r="A115" s="714" t="s">
        <v>408</v>
      </c>
      <c r="B115" s="95">
        <f>SUM(B105:B114)</f>
        <v>0</v>
      </c>
      <c r="C115" s="95">
        <f>SUM(C105:C114)</f>
        <v>0</v>
      </c>
      <c r="D115" s="95">
        <f>SUM(D105:D114)</f>
        <v>0</v>
      </c>
      <c r="E115" s="95">
        <f t="shared" si="21"/>
        <v>0</v>
      </c>
      <c r="F115" s="665"/>
      <c r="G115" s="690"/>
      <c r="H115" s="690"/>
      <c r="I115" s="690"/>
      <c r="J115" s="690"/>
      <c r="K115" s="690"/>
      <c r="L115" s="690"/>
      <c r="M115" s="690"/>
      <c r="N115" s="690"/>
      <c r="O115" s="690"/>
      <c r="P115" s="690"/>
      <c r="Q115" s="690"/>
      <c r="R115" s="690"/>
      <c r="S115" s="690"/>
      <c r="T115" s="690"/>
      <c r="U115" s="690"/>
    </row>
    <row r="116" spans="1:21" s="650" customFormat="1" ht="20.100000000000001" customHeight="1">
      <c r="A116" s="714" t="s">
        <v>409</v>
      </c>
      <c r="B116" s="95">
        <f>B115+B103</f>
        <v>0</v>
      </c>
      <c r="C116" s="95">
        <f>C115+C103</f>
        <v>0</v>
      </c>
      <c r="D116" s="95">
        <f>D115+D103</f>
        <v>0</v>
      </c>
      <c r="E116" s="95">
        <f t="shared" si="21"/>
        <v>0</v>
      </c>
      <c r="F116" s="665"/>
      <c r="G116" s="690"/>
      <c r="H116" s="690"/>
      <c r="I116" s="690"/>
      <c r="J116" s="729"/>
      <c r="K116" s="690"/>
      <c r="L116" s="690"/>
      <c r="M116" s="690"/>
      <c r="N116" s="690"/>
      <c r="O116" s="690"/>
      <c r="P116" s="690"/>
      <c r="Q116" s="690"/>
      <c r="R116" s="690"/>
      <c r="S116" s="690"/>
      <c r="T116" s="690"/>
      <c r="U116" s="690"/>
    </row>
    <row r="117" spans="1:21" s="650" customFormat="1" ht="20.100000000000001" customHeight="1">
      <c r="A117" s="714" t="s">
        <v>2292</v>
      </c>
      <c r="B117" s="108"/>
      <c r="C117" s="95">
        <f>-SUMIF(A117,$P:$P,R:R)+SUMIF(A117,$P:$P,S:S)</f>
        <v>0</v>
      </c>
      <c r="D117" s="95">
        <f>-SUMIF(A117,$H:$H,J:J)+SUMIF(A117,$H:$H,K:K)</f>
        <v>0</v>
      </c>
      <c r="E117" s="95">
        <f t="shared" si="21"/>
        <v>0</v>
      </c>
      <c r="F117" s="665"/>
      <c r="G117" s="690"/>
      <c r="H117" s="690"/>
      <c r="I117" s="690"/>
      <c r="J117" s="690"/>
      <c r="K117" s="728"/>
      <c r="L117" s="690"/>
      <c r="M117" s="690"/>
      <c r="N117" s="690"/>
      <c r="O117" s="690"/>
      <c r="P117" s="690"/>
      <c r="Q117" s="690"/>
      <c r="R117" s="690"/>
      <c r="S117" s="690"/>
      <c r="T117" s="690"/>
      <c r="U117" s="690"/>
    </row>
    <row r="118" spans="1:21" s="650" customFormat="1" ht="20.100000000000001" customHeight="1">
      <c r="A118" s="714" t="s">
        <v>2260</v>
      </c>
      <c r="B118" s="108"/>
      <c r="C118" s="95">
        <f t="shared" ref="C118:C127" si="25">-SUMIF($P:$P,A118,R:R)+SUMIF($P:$P,A118,S:S)</f>
        <v>0</v>
      </c>
      <c r="D118" s="95">
        <f t="shared" ref="D118:D131" si="26">-SUMIF($H:$H,A118,J:J)+SUMIF($H:$H,A118,K:K)</f>
        <v>0</v>
      </c>
      <c r="E118" s="95">
        <f t="shared" si="21"/>
        <v>0</v>
      </c>
      <c r="F118" s="665"/>
      <c r="G118" s="690"/>
      <c r="H118" s="690"/>
      <c r="I118" s="690"/>
      <c r="J118" s="690"/>
      <c r="K118" s="728"/>
      <c r="L118" s="690"/>
      <c r="M118" s="690"/>
      <c r="N118" s="690"/>
      <c r="O118" s="690"/>
      <c r="P118" s="690"/>
      <c r="Q118" s="690"/>
      <c r="R118" s="690"/>
      <c r="S118" s="690"/>
      <c r="T118" s="690"/>
      <c r="U118" s="690"/>
    </row>
    <row r="119" spans="1:21" s="650" customFormat="1" ht="20.100000000000001" customHeight="1">
      <c r="A119" s="714" t="s">
        <v>410</v>
      </c>
      <c r="B119" s="108"/>
      <c r="C119" s="95">
        <f t="shared" si="25"/>
        <v>0</v>
      </c>
      <c r="D119" s="95">
        <f t="shared" si="26"/>
        <v>0</v>
      </c>
      <c r="E119" s="95">
        <f t="shared" si="21"/>
        <v>0</v>
      </c>
      <c r="F119" s="665"/>
      <c r="G119" s="690"/>
      <c r="H119" s="690"/>
      <c r="I119" s="690"/>
      <c r="J119" s="690"/>
      <c r="K119" s="728"/>
      <c r="L119" s="690"/>
      <c r="M119" s="690"/>
      <c r="N119" s="690"/>
      <c r="O119" s="690"/>
      <c r="P119" s="690"/>
      <c r="Q119" s="690"/>
      <c r="R119" s="690"/>
      <c r="S119" s="690"/>
      <c r="T119" s="690"/>
      <c r="U119" s="690"/>
    </row>
    <row r="120" spans="1:21" s="650" customFormat="1" ht="20.100000000000001" customHeight="1">
      <c r="A120" s="714" t="s">
        <v>411</v>
      </c>
      <c r="B120" s="108"/>
      <c r="C120" s="95">
        <f t="shared" si="25"/>
        <v>0</v>
      </c>
      <c r="D120" s="95">
        <f t="shared" si="26"/>
        <v>0</v>
      </c>
      <c r="E120" s="95">
        <f t="shared" si="21"/>
        <v>0</v>
      </c>
      <c r="F120" s="665"/>
      <c r="G120" s="690"/>
      <c r="H120" s="690"/>
      <c r="I120" s="690"/>
      <c r="J120" s="690"/>
      <c r="K120" s="728"/>
      <c r="L120" s="690"/>
      <c r="M120" s="690"/>
      <c r="N120" s="690"/>
      <c r="O120" s="690"/>
      <c r="P120" s="690"/>
      <c r="Q120" s="690"/>
      <c r="R120" s="690"/>
      <c r="S120" s="690"/>
      <c r="T120" s="690"/>
      <c r="U120" s="690"/>
    </row>
    <row r="121" spans="1:21" s="650" customFormat="1" ht="20.100000000000001" customHeight="1">
      <c r="A121" s="714" t="s">
        <v>412</v>
      </c>
      <c r="B121" s="108"/>
      <c r="C121" s="95">
        <f t="shared" si="25"/>
        <v>0</v>
      </c>
      <c r="D121" s="95">
        <f t="shared" si="26"/>
        <v>0</v>
      </c>
      <c r="E121" s="95">
        <f t="shared" si="21"/>
        <v>0</v>
      </c>
      <c r="F121" s="665"/>
      <c r="G121" s="690"/>
      <c r="H121" s="690"/>
      <c r="I121" s="690"/>
      <c r="J121" s="690"/>
      <c r="K121" s="728"/>
      <c r="L121" s="690"/>
      <c r="M121" s="690"/>
      <c r="N121" s="690"/>
      <c r="O121" s="690"/>
      <c r="P121" s="690"/>
      <c r="Q121" s="690"/>
      <c r="R121" s="690"/>
      <c r="S121" s="690"/>
      <c r="T121" s="690"/>
      <c r="U121" s="690"/>
    </row>
    <row r="122" spans="1:21" s="650" customFormat="1" ht="20.100000000000001" customHeight="1">
      <c r="A122" s="714" t="s">
        <v>210</v>
      </c>
      <c r="B122" s="108"/>
      <c r="C122" s="95">
        <f t="shared" si="25"/>
        <v>0</v>
      </c>
      <c r="D122" s="95">
        <f t="shared" si="26"/>
        <v>0</v>
      </c>
      <c r="E122" s="95">
        <f t="shared" si="21"/>
        <v>0</v>
      </c>
      <c r="F122" s="665"/>
      <c r="G122" s="690"/>
      <c r="H122" s="690"/>
      <c r="I122" s="690"/>
      <c r="J122" s="690"/>
      <c r="K122" s="690"/>
      <c r="L122" s="690"/>
      <c r="M122" s="690"/>
      <c r="N122" s="690"/>
      <c r="O122" s="690"/>
      <c r="P122" s="690"/>
      <c r="Q122" s="690"/>
      <c r="R122" s="690"/>
      <c r="S122" s="690"/>
      <c r="T122" s="690"/>
      <c r="U122" s="690"/>
    </row>
    <row r="123" spans="1:21" s="650" customFormat="1" ht="20.100000000000001" customHeight="1">
      <c r="A123" s="714" t="s">
        <v>211</v>
      </c>
      <c r="B123" s="108"/>
      <c r="C123" s="95">
        <f t="shared" si="25"/>
        <v>0</v>
      </c>
      <c r="D123" s="95">
        <f t="shared" si="26"/>
        <v>0</v>
      </c>
      <c r="E123" s="95">
        <f t="shared" si="21"/>
        <v>0</v>
      </c>
      <c r="F123" s="665"/>
      <c r="G123" s="690"/>
      <c r="H123" s="690"/>
      <c r="I123" s="690"/>
      <c r="J123" s="729"/>
      <c r="K123" s="729"/>
      <c r="L123" s="690"/>
      <c r="M123" s="690"/>
      <c r="N123" s="690"/>
      <c r="O123" s="690"/>
      <c r="P123" s="690"/>
      <c r="Q123" s="690"/>
      <c r="R123" s="690"/>
      <c r="S123" s="690"/>
      <c r="T123" s="690"/>
      <c r="U123" s="690"/>
    </row>
    <row r="124" spans="1:21" s="650" customFormat="1" ht="20.100000000000001" customHeight="1">
      <c r="A124" s="714" t="s">
        <v>212</v>
      </c>
      <c r="B124" s="108"/>
      <c r="C124" s="95">
        <f t="shared" si="25"/>
        <v>0</v>
      </c>
      <c r="D124" s="95">
        <f t="shared" si="26"/>
        <v>0</v>
      </c>
      <c r="E124" s="95">
        <f t="shared" si="21"/>
        <v>0</v>
      </c>
      <c r="F124" s="665"/>
      <c r="G124" s="690"/>
      <c r="H124" s="690"/>
      <c r="I124" s="690"/>
      <c r="J124" s="729"/>
      <c r="K124" s="729"/>
      <c r="L124" s="690"/>
      <c r="M124" s="690"/>
      <c r="N124" s="690"/>
      <c r="O124" s="690"/>
      <c r="P124" s="690"/>
      <c r="Q124" s="690"/>
      <c r="R124" s="690"/>
      <c r="S124" s="690"/>
      <c r="T124" s="690"/>
      <c r="U124" s="690"/>
    </row>
    <row r="125" spans="1:21" s="650" customFormat="1" ht="20.100000000000001" customHeight="1">
      <c r="A125" s="966" t="s">
        <v>2293</v>
      </c>
      <c r="B125" s="108"/>
      <c r="C125" s="95">
        <f t="shared" si="25"/>
        <v>0</v>
      </c>
      <c r="D125" s="95">
        <f t="shared" si="26"/>
        <v>0</v>
      </c>
      <c r="E125" s="95">
        <f t="shared" ref="E125" si="27">SUM(B125:D125)</f>
        <v>0</v>
      </c>
      <c r="F125" s="665"/>
      <c r="G125" s="690"/>
      <c r="H125" s="690"/>
      <c r="I125" s="690"/>
      <c r="J125" s="729"/>
      <c r="K125" s="729"/>
      <c r="L125" s="690"/>
      <c r="M125" s="690"/>
      <c r="N125" s="690"/>
      <c r="O125" s="690"/>
      <c r="P125" s="690"/>
      <c r="Q125" s="690"/>
      <c r="R125" s="690"/>
      <c r="S125" s="690"/>
      <c r="T125" s="690"/>
      <c r="U125" s="690"/>
    </row>
    <row r="126" spans="1:21" s="650" customFormat="1" ht="20.100000000000001" customHeight="1">
      <c r="A126" s="714" t="s">
        <v>214</v>
      </c>
      <c r="B126" s="108"/>
      <c r="C126" s="95">
        <f t="shared" si="25"/>
        <v>0</v>
      </c>
      <c r="D126" s="95">
        <f t="shared" si="26"/>
        <v>0</v>
      </c>
      <c r="E126" s="95">
        <f t="shared" si="21"/>
        <v>0</v>
      </c>
      <c r="F126" s="665"/>
      <c r="G126" s="690"/>
      <c r="H126" s="690"/>
      <c r="I126" s="690"/>
      <c r="J126" s="729"/>
      <c r="K126" s="729"/>
      <c r="L126" s="690"/>
      <c r="M126" s="690"/>
      <c r="N126" s="690"/>
      <c r="O126" s="690"/>
      <c r="P126" s="690"/>
      <c r="Q126" s="690"/>
      <c r="R126" s="690"/>
      <c r="S126" s="690"/>
      <c r="T126" s="690"/>
      <c r="U126" s="690"/>
    </row>
    <row r="127" spans="1:21" s="650" customFormat="1" ht="20.100000000000001" customHeight="1">
      <c r="A127" s="714" t="s">
        <v>215</v>
      </c>
      <c r="B127" s="95">
        <f>B181</f>
        <v>0</v>
      </c>
      <c r="C127" s="95">
        <f t="shared" si="25"/>
        <v>0</v>
      </c>
      <c r="D127" s="95">
        <f t="shared" si="26"/>
        <v>0</v>
      </c>
      <c r="E127" s="95">
        <f t="shared" si="21"/>
        <v>0</v>
      </c>
      <c r="F127" s="665"/>
      <c r="G127" s="690"/>
      <c r="H127" s="690"/>
      <c r="I127" s="690"/>
      <c r="J127" s="690"/>
      <c r="K127" s="690"/>
      <c r="L127" s="690"/>
      <c r="M127" s="690"/>
      <c r="N127" s="690"/>
      <c r="O127" s="690"/>
      <c r="P127" s="690"/>
      <c r="Q127" s="690"/>
      <c r="R127" s="690"/>
      <c r="S127" s="690"/>
      <c r="T127" s="690"/>
      <c r="U127" s="690"/>
    </row>
    <row r="128" spans="1:21" s="650" customFormat="1" ht="20.100000000000001" customHeight="1">
      <c r="A128" s="714" t="s">
        <v>216</v>
      </c>
      <c r="B128" s="95">
        <f>SUM(B118:B122,B124:B127)-B123</f>
        <v>0</v>
      </c>
      <c r="C128" s="95">
        <f>SUM(C118:C122,C124:C127)-C123</f>
        <v>0</v>
      </c>
      <c r="D128" s="95">
        <f t="shared" si="26"/>
        <v>0</v>
      </c>
      <c r="E128" s="95">
        <f>SUM(B128:D128)</f>
        <v>0</v>
      </c>
      <c r="F128" s="665"/>
      <c r="G128" s="690"/>
      <c r="H128" s="690"/>
      <c r="I128" s="690"/>
      <c r="J128" s="690"/>
      <c r="K128" s="690"/>
      <c r="L128" s="690"/>
      <c r="M128" s="690"/>
      <c r="N128" s="690"/>
      <c r="O128" s="690"/>
      <c r="P128" s="690"/>
      <c r="Q128" s="690"/>
      <c r="R128" s="690"/>
      <c r="S128" s="690"/>
      <c r="T128" s="690"/>
      <c r="U128" s="690"/>
    </row>
    <row r="129" spans="1:21" s="650" customFormat="1" ht="20.100000000000001" customHeight="1">
      <c r="A129" s="714" t="s">
        <v>217</v>
      </c>
      <c r="B129" s="108"/>
      <c r="C129" s="95">
        <f>-SUMIF($P:$P,A129,R:R)+SUMIF($P:$P,A129,S:S)</f>
        <v>0</v>
      </c>
      <c r="D129" s="95">
        <f t="shared" si="26"/>
        <v>0</v>
      </c>
      <c r="E129" s="95">
        <f>SUM(B129:D129)</f>
        <v>0</v>
      </c>
      <c r="F129" s="665"/>
      <c r="G129" s="690"/>
      <c r="H129" s="690"/>
      <c r="I129" s="690"/>
      <c r="J129" s="690"/>
      <c r="K129" s="690"/>
      <c r="L129" s="690"/>
      <c r="M129" s="690"/>
      <c r="N129" s="690"/>
      <c r="O129" s="690"/>
      <c r="P129" s="690"/>
      <c r="Q129" s="690"/>
      <c r="R129" s="690"/>
      <c r="S129" s="690"/>
      <c r="T129" s="690"/>
      <c r="U129" s="690"/>
    </row>
    <row r="130" spans="1:21" s="650" customFormat="1" ht="20.100000000000001" customHeight="1">
      <c r="A130" s="714" t="s">
        <v>2262</v>
      </c>
      <c r="B130" s="95">
        <f>B128+B129</f>
        <v>0</v>
      </c>
      <c r="C130" s="95">
        <f>-SUMIF($P:$P,A130,R:R)+SUMIF($P:$P,A130,S:S)</f>
        <v>0</v>
      </c>
      <c r="D130" s="95">
        <f t="shared" si="26"/>
        <v>0</v>
      </c>
      <c r="E130" s="95">
        <f t="shared" si="21"/>
        <v>0</v>
      </c>
      <c r="F130" s="665"/>
      <c r="G130" s="690"/>
      <c r="H130" s="690"/>
      <c r="I130" s="690"/>
      <c r="J130" s="690"/>
      <c r="K130" s="690"/>
      <c r="L130" s="690"/>
      <c r="M130" s="690"/>
      <c r="N130" s="690"/>
      <c r="O130" s="690"/>
      <c r="P130" s="690"/>
      <c r="Q130" s="690"/>
      <c r="R130" s="690"/>
      <c r="S130" s="690"/>
      <c r="T130" s="690"/>
      <c r="U130" s="690"/>
    </row>
    <row r="131" spans="1:21" s="650" customFormat="1" ht="20.100000000000001" customHeight="1">
      <c r="A131" s="714" t="s">
        <v>2263</v>
      </c>
      <c r="B131" s="95">
        <f>B130+B116</f>
        <v>0</v>
      </c>
      <c r="C131" s="95">
        <f>-SUMIF($P:$P,A131,R:R)+SUMIF($P:$P,A131,S:S)</f>
        <v>0</v>
      </c>
      <c r="D131" s="95">
        <f t="shared" si="26"/>
        <v>0</v>
      </c>
      <c r="E131" s="95">
        <f t="shared" si="21"/>
        <v>0</v>
      </c>
      <c r="F131" s="665"/>
      <c r="G131" s="690"/>
      <c r="H131" s="690"/>
      <c r="I131" s="690"/>
      <c r="J131" s="690"/>
      <c r="K131" s="690"/>
      <c r="L131" s="690"/>
      <c r="M131" s="690"/>
      <c r="N131" s="690"/>
      <c r="O131" s="690"/>
      <c r="P131" s="690"/>
      <c r="Q131" s="690"/>
      <c r="R131" s="690"/>
      <c r="S131" s="690"/>
      <c r="T131" s="690"/>
      <c r="U131" s="690"/>
    </row>
    <row r="132" spans="1:21" s="650" customFormat="1" ht="20.100000000000001" customHeight="1">
      <c r="A132" s="664"/>
      <c r="B132" s="95">
        <f>B131-B75</f>
        <v>0</v>
      </c>
      <c r="C132" s="95">
        <f>C131-C75</f>
        <v>0</v>
      </c>
      <c r="D132" s="95">
        <f>D131-D75</f>
        <v>0</v>
      </c>
      <c r="E132" s="95">
        <f t="shared" si="21"/>
        <v>0</v>
      </c>
      <c r="F132" s="665"/>
      <c r="G132" s="690"/>
      <c r="H132" s="690"/>
      <c r="I132" s="690"/>
      <c r="J132" s="690"/>
      <c r="K132" s="690"/>
      <c r="L132" s="690"/>
      <c r="M132" s="690"/>
      <c r="N132" s="690"/>
      <c r="O132" s="690"/>
      <c r="P132" s="690"/>
      <c r="Q132" s="690"/>
      <c r="R132" s="690"/>
      <c r="S132" s="690"/>
      <c r="T132" s="690"/>
      <c r="U132" s="690"/>
    </row>
    <row r="133" spans="1:21" s="650" customFormat="1" ht="24.9" customHeight="1">
      <c r="A133" s="719" t="s">
        <v>145</v>
      </c>
      <c r="B133" s="683">
        <f>基础信息!B6</f>
        <v>0</v>
      </c>
      <c r="C133" s="684"/>
      <c r="D133" s="684"/>
      <c r="E133" s="685"/>
      <c r="F133" s="686"/>
      <c r="G133" s="687"/>
      <c r="H133" s="687"/>
      <c r="I133" s="687"/>
      <c r="J133" s="687"/>
      <c r="K133" s="687"/>
      <c r="L133" s="701"/>
      <c r="M133" s="701"/>
      <c r="N133" s="702"/>
      <c r="O133" s="702"/>
      <c r="P133" s="702"/>
      <c r="Q133" s="702"/>
      <c r="R133" s="702"/>
      <c r="S133" s="702"/>
      <c r="T133" s="702"/>
      <c r="U133" s="702"/>
    </row>
    <row r="134" spans="1:21" s="650" customFormat="1" ht="24.9" customHeight="1">
      <c r="A134" s="642" t="s">
        <v>147</v>
      </c>
      <c r="B134" s="655">
        <f>基础信息!B9</f>
        <v>0</v>
      </c>
      <c r="F134" s="657"/>
      <c r="G134" s="658"/>
      <c r="H134" s="658"/>
      <c r="I134" s="599"/>
      <c r="J134" s="688" t="s">
        <v>351</v>
      </c>
      <c r="K134" s="658"/>
      <c r="L134" s="658"/>
      <c r="M134" s="658"/>
      <c r="N134" s="658"/>
      <c r="O134" s="658"/>
      <c r="P134" s="658"/>
      <c r="Q134" s="599"/>
      <c r="R134" s="688" t="s">
        <v>352</v>
      </c>
      <c r="S134" s="658"/>
      <c r="T134" s="658"/>
      <c r="U134" s="658"/>
    </row>
    <row r="135" spans="1:21" s="650" customFormat="1" ht="24.9" customHeight="1">
      <c r="A135" s="720" t="s">
        <v>148</v>
      </c>
      <c r="B135" s="710" t="s">
        <v>392</v>
      </c>
      <c r="C135" s="711"/>
      <c r="D135" s="711"/>
      <c r="E135" s="711"/>
      <c r="F135" s="712"/>
      <c r="G135" s="713"/>
      <c r="H135" s="713"/>
      <c r="I135" s="713"/>
      <c r="J135" s="713"/>
      <c r="K135" s="713"/>
      <c r="L135" s="722"/>
      <c r="M135" s="722"/>
      <c r="N135" s="723"/>
      <c r="O135" s="723"/>
      <c r="P135" s="723"/>
      <c r="Q135" s="723"/>
      <c r="R135" s="723"/>
      <c r="S135" s="723"/>
      <c r="T135" s="723"/>
      <c r="U135" s="723"/>
    </row>
    <row r="136" spans="1:21" s="245" customFormat="1" ht="20.100000000000001" customHeight="1">
      <c r="A136" s="721" t="s">
        <v>137</v>
      </c>
      <c r="B136" s="20" t="s">
        <v>393</v>
      </c>
      <c r="C136" s="661" t="s">
        <v>355</v>
      </c>
      <c r="D136" s="661" t="s">
        <v>356</v>
      </c>
      <c r="E136" s="661" t="s">
        <v>395</v>
      </c>
      <c r="F136" s="662" t="s">
        <v>1</v>
      </c>
      <c r="G136" s="663" t="s">
        <v>358</v>
      </c>
      <c r="H136" s="663" t="s">
        <v>359</v>
      </c>
      <c r="I136" s="663" t="s">
        <v>360</v>
      </c>
      <c r="J136" s="663" t="s">
        <v>361</v>
      </c>
      <c r="K136" s="663" t="s">
        <v>362</v>
      </c>
      <c r="L136" s="663" t="s">
        <v>363</v>
      </c>
      <c r="M136" s="663" t="s">
        <v>364</v>
      </c>
      <c r="N136" s="662" t="s">
        <v>1</v>
      </c>
      <c r="O136" s="662" t="s">
        <v>358</v>
      </c>
      <c r="P136" s="662" t="s">
        <v>359</v>
      </c>
      <c r="Q136" s="662" t="s">
        <v>360</v>
      </c>
      <c r="R136" s="703" t="s">
        <v>361</v>
      </c>
      <c r="S136" s="703" t="s">
        <v>362</v>
      </c>
      <c r="T136" s="662" t="s">
        <v>363</v>
      </c>
      <c r="U136" s="662" t="s">
        <v>364</v>
      </c>
    </row>
    <row r="137" spans="1:21" s="650" customFormat="1" ht="20.100000000000001" customHeight="1">
      <c r="A137" s="714" t="s">
        <v>413</v>
      </c>
      <c r="B137" s="108"/>
      <c r="C137" s="95">
        <f>-SUMIF($P:$P,A137,R:R)+SUMIF($P:$P,A137,S:S)</f>
        <v>0</v>
      </c>
      <c r="D137" s="95">
        <f t="shared" ref="D137:D143" si="28">-SUMIF($H:$H,A137,J:J)+SUMIF($H:$H,A137,K:K)</f>
        <v>0</v>
      </c>
      <c r="E137" s="95">
        <f t="shared" ref="E137:E143" si="29">SUM(B137:D137)</f>
        <v>0</v>
      </c>
      <c r="F137" s="665"/>
      <c r="G137" s="690"/>
      <c r="H137" s="690"/>
      <c r="I137" s="690"/>
      <c r="J137" s="690"/>
      <c r="K137" s="690"/>
      <c r="L137" s="690"/>
      <c r="M137" s="690"/>
      <c r="N137" s="690"/>
      <c r="O137" s="690"/>
      <c r="P137" s="690"/>
      <c r="Q137" s="690"/>
      <c r="R137" s="690"/>
      <c r="S137" s="690"/>
      <c r="T137" s="690"/>
      <c r="U137" s="690"/>
    </row>
    <row r="138" spans="1:21" s="650" customFormat="1" ht="20.100000000000001" customHeight="1">
      <c r="A138" s="714" t="s">
        <v>414</v>
      </c>
      <c r="B138" s="108"/>
      <c r="C138" s="95">
        <f t="shared" ref="C138:C143" si="30">SUMIF($P:$P,A138,R:R)-SUMIF($P:$P,A138,S:S)</f>
        <v>0</v>
      </c>
      <c r="D138" s="95">
        <f t="shared" si="28"/>
        <v>0</v>
      </c>
      <c r="E138" s="95">
        <f t="shared" si="29"/>
        <v>0</v>
      </c>
      <c r="F138" s="665"/>
      <c r="G138" s="690"/>
      <c r="H138" s="690"/>
      <c r="I138" s="690"/>
      <c r="J138" s="690"/>
      <c r="K138" s="690"/>
      <c r="L138" s="690"/>
      <c r="M138" s="690"/>
      <c r="N138" s="690"/>
      <c r="O138" s="690"/>
      <c r="P138" s="690"/>
      <c r="Q138" s="690"/>
      <c r="R138" s="690"/>
      <c r="S138" s="690"/>
      <c r="T138" s="690"/>
      <c r="U138" s="690"/>
    </row>
    <row r="139" spans="1:21" s="650" customFormat="1" ht="20.100000000000001" customHeight="1">
      <c r="A139" s="716" t="s">
        <v>94</v>
      </c>
      <c r="B139" s="108"/>
      <c r="C139" s="95">
        <f t="shared" si="30"/>
        <v>0</v>
      </c>
      <c r="D139" s="95">
        <f t="shared" si="28"/>
        <v>0</v>
      </c>
      <c r="E139" s="95">
        <f t="shared" si="29"/>
        <v>0</v>
      </c>
      <c r="F139" s="665"/>
      <c r="G139" s="690"/>
      <c r="H139" s="690"/>
      <c r="I139" s="690"/>
      <c r="J139" s="690"/>
      <c r="K139" s="690"/>
      <c r="L139" s="690"/>
      <c r="M139" s="690"/>
      <c r="N139" s="690"/>
      <c r="O139" s="690"/>
      <c r="P139" s="690"/>
      <c r="Q139" s="690"/>
      <c r="R139" s="690"/>
      <c r="S139" s="690"/>
      <c r="T139" s="690"/>
      <c r="U139" s="690"/>
    </row>
    <row r="140" spans="1:21" s="650" customFormat="1" ht="20.100000000000001" customHeight="1">
      <c r="A140" s="714" t="s">
        <v>95</v>
      </c>
      <c r="B140" s="108"/>
      <c r="C140" s="95">
        <f t="shared" si="30"/>
        <v>0</v>
      </c>
      <c r="D140" s="95">
        <f t="shared" si="28"/>
        <v>0</v>
      </c>
      <c r="E140" s="95">
        <f t="shared" si="29"/>
        <v>0</v>
      </c>
      <c r="F140" s="665"/>
      <c r="G140" s="690"/>
      <c r="H140" s="690"/>
      <c r="I140" s="690"/>
      <c r="J140" s="690"/>
      <c r="K140" s="690"/>
      <c r="L140" s="690"/>
      <c r="M140" s="690"/>
      <c r="N140" s="96"/>
      <c r="O140" s="96"/>
      <c r="P140" s="96"/>
      <c r="Q140" s="96"/>
      <c r="R140" s="96"/>
      <c r="S140" s="96"/>
      <c r="T140" s="96"/>
      <c r="U140" s="96"/>
    </row>
    <row r="141" spans="1:21" s="650" customFormat="1" ht="20.100000000000001" customHeight="1">
      <c r="A141" s="714" t="s">
        <v>96</v>
      </c>
      <c r="B141" s="108"/>
      <c r="C141" s="95">
        <f t="shared" si="30"/>
        <v>0</v>
      </c>
      <c r="D141" s="95">
        <f t="shared" si="28"/>
        <v>0</v>
      </c>
      <c r="E141" s="95">
        <f t="shared" si="29"/>
        <v>0</v>
      </c>
      <c r="F141" s="665"/>
      <c r="G141" s="690"/>
      <c r="H141" s="690"/>
      <c r="I141" s="690"/>
      <c r="J141" s="690"/>
      <c r="K141" s="690"/>
      <c r="L141" s="690"/>
      <c r="M141" s="690"/>
      <c r="N141" s="96"/>
      <c r="O141" s="96"/>
      <c r="P141" s="96"/>
      <c r="Q141" s="96"/>
      <c r="R141" s="96"/>
      <c r="S141" s="96"/>
      <c r="T141" s="96"/>
      <c r="U141" s="96"/>
    </row>
    <row r="142" spans="1:21" s="245" customFormat="1" ht="20.100000000000001" customHeight="1">
      <c r="A142" s="714" t="s">
        <v>97</v>
      </c>
      <c r="B142" s="284"/>
      <c r="C142" s="95">
        <f t="shared" si="30"/>
        <v>0</v>
      </c>
      <c r="D142" s="95">
        <f t="shared" si="28"/>
        <v>0</v>
      </c>
      <c r="E142" s="95">
        <f t="shared" si="29"/>
        <v>0</v>
      </c>
      <c r="F142" s="665"/>
      <c r="G142" s="690"/>
      <c r="H142" s="690"/>
      <c r="I142" s="690"/>
      <c r="J142" s="690"/>
      <c r="K142" s="690"/>
      <c r="L142" s="690"/>
      <c r="M142" s="690"/>
      <c r="N142" s="96"/>
      <c r="O142" s="96"/>
      <c r="P142" s="96"/>
      <c r="Q142" s="96"/>
      <c r="R142" s="96"/>
      <c r="S142" s="96"/>
      <c r="T142" s="96"/>
      <c r="U142" s="96"/>
    </row>
    <row r="143" spans="1:21" s="650" customFormat="1" ht="20.100000000000001" customHeight="1">
      <c r="A143" s="714" t="s">
        <v>98</v>
      </c>
      <c r="B143" s="108"/>
      <c r="C143" s="95">
        <f t="shared" si="30"/>
        <v>0</v>
      </c>
      <c r="D143" s="95">
        <f t="shared" si="28"/>
        <v>0</v>
      </c>
      <c r="E143" s="95">
        <f t="shared" si="29"/>
        <v>0</v>
      </c>
      <c r="F143" s="665"/>
      <c r="G143" s="690"/>
      <c r="H143" s="690"/>
      <c r="I143" s="690"/>
      <c r="J143" s="690"/>
      <c r="K143" s="690"/>
      <c r="L143" s="690"/>
      <c r="M143" s="690"/>
      <c r="N143" s="96"/>
      <c r="O143" s="96"/>
      <c r="P143" s="96"/>
      <c r="Q143" s="96"/>
      <c r="R143" s="96"/>
      <c r="S143" s="96"/>
      <c r="T143" s="96"/>
      <c r="U143" s="96"/>
    </row>
    <row r="144" spans="1:21" s="650" customFormat="1" ht="20.100000000000001" customHeight="1">
      <c r="A144" s="716" t="s">
        <v>415</v>
      </c>
      <c r="B144" s="108"/>
      <c r="C144" s="95"/>
      <c r="D144" s="95"/>
      <c r="E144" s="95"/>
      <c r="F144" s="665"/>
      <c r="G144" s="690"/>
      <c r="H144" s="690"/>
      <c r="I144" s="690"/>
      <c r="J144" s="690"/>
      <c r="K144" s="690"/>
      <c r="L144" s="690"/>
      <c r="M144" s="690"/>
      <c r="N144" s="96"/>
      <c r="O144" s="96"/>
      <c r="P144" s="96"/>
      <c r="Q144" s="96"/>
      <c r="R144" s="96"/>
      <c r="S144" s="96"/>
      <c r="T144" s="96"/>
      <c r="U144" s="96"/>
    </row>
    <row r="145" spans="1:21" s="650" customFormat="1" ht="20.100000000000001" customHeight="1">
      <c r="A145" s="714" t="s">
        <v>416</v>
      </c>
      <c r="B145" s="108"/>
      <c r="C145" s="95"/>
      <c r="D145" s="95"/>
      <c r="E145" s="95"/>
      <c r="F145" s="665"/>
      <c r="G145" s="690"/>
      <c r="H145" s="690"/>
      <c r="I145" s="690"/>
      <c r="J145" s="690"/>
      <c r="K145" s="690"/>
      <c r="L145" s="690"/>
      <c r="M145" s="690"/>
      <c r="N145" s="96"/>
      <c r="O145" s="96"/>
      <c r="P145" s="96"/>
      <c r="Q145" s="96"/>
      <c r="R145" s="96"/>
      <c r="S145" s="96"/>
      <c r="T145" s="96"/>
      <c r="U145" s="96"/>
    </row>
    <row r="146" spans="1:21" s="245" customFormat="1" ht="20.100000000000001" customHeight="1">
      <c r="A146" s="731" t="s">
        <v>231</v>
      </c>
      <c r="B146" s="284"/>
      <c r="C146" s="95">
        <f t="shared" ref="C146:C151" si="31">-SUMIF($P:$P,A146,R:R)+SUMIF($P:$P,A146,S:S)</f>
        <v>0</v>
      </c>
      <c r="D146" s="95">
        <f t="shared" ref="D146:D154" si="32">-SUMIF($H:$H,A146,J:J)+SUMIF($H:$H,A146,K:K)</f>
        <v>0</v>
      </c>
      <c r="E146" s="95">
        <f t="shared" ref="E146:E154" si="33">SUM(B146:D146)</f>
        <v>0</v>
      </c>
      <c r="F146" s="665"/>
      <c r="G146" s="690"/>
      <c r="H146" s="690"/>
      <c r="I146" s="690"/>
      <c r="J146" s="690"/>
      <c r="K146" s="690"/>
      <c r="L146" s="690"/>
      <c r="M146" s="690"/>
      <c r="N146" s="96"/>
      <c r="O146" s="96"/>
      <c r="P146" s="96"/>
      <c r="Q146" s="96"/>
      <c r="R146" s="96"/>
      <c r="S146" s="96"/>
      <c r="T146" s="96"/>
      <c r="U146" s="96"/>
    </row>
    <row r="147" spans="1:21" s="650" customFormat="1" ht="20.100000000000001" customHeight="1">
      <c r="A147" s="716" t="s">
        <v>2298</v>
      </c>
      <c r="B147" s="108"/>
      <c r="C147" s="95">
        <f t="shared" si="31"/>
        <v>0</v>
      </c>
      <c r="D147" s="95">
        <f t="shared" si="32"/>
        <v>0</v>
      </c>
      <c r="E147" s="95">
        <f t="shared" si="33"/>
        <v>0</v>
      </c>
      <c r="F147" s="665"/>
      <c r="G147" s="690"/>
      <c r="H147" s="690"/>
      <c r="I147" s="690"/>
      <c r="J147" s="690"/>
      <c r="K147" s="690"/>
      <c r="L147" s="690"/>
      <c r="M147" s="690"/>
      <c r="N147" s="96"/>
      <c r="O147" s="96"/>
      <c r="P147" s="96"/>
      <c r="Q147" s="96"/>
      <c r="R147" s="96"/>
      <c r="S147" s="96"/>
      <c r="T147" s="96"/>
      <c r="U147" s="96"/>
    </row>
    <row r="148" spans="1:21" s="650" customFormat="1" ht="20.100000000000001" customHeight="1">
      <c r="A148" s="731" t="s">
        <v>417</v>
      </c>
      <c r="B148" s="108"/>
      <c r="C148" s="95">
        <f t="shared" si="31"/>
        <v>0</v>
      </c>
      <c r="D148" s="95">
        <f t="shared" si="32"/>
        <v>0</v>
      </c>
      <c r="E148" s="95">
        <f t="shared" si="33"/>
        <v>0</v>
      </c>
      <c r="F148" s="665"/>
      <c r="G148" s="690"/>
      <c r="H148" s="690"/>
      <c r="I148" s="690"/>
      <c r="J148" s="690"/>
      <c r="K148" s="690"/>
      <c r="L148" s="690"/>
      <c r="M148" s="690"/>
      <c r="N148" s="96"/>
      <c r="O148" s="96"/>
      <c r="P148" s="96"/>
      <c r="Q148" s="96"/>
      <c r="R148" s="96"/>
      <c r="S148" s="96"/>
      <c r="T148" s="96"/>
      <c r="U148" s="96"/>
    </row>
    <row r="149" spans="1:21" s="650" customFormat="1" ht="24">
      <c r="A149" s="730" t="s">
        <v>2299</v>
      </c>
      <c r="B149" s="108"/>
      <c r="C149" s="95">
        <f t="shared" si="31"/>
        <v>0</v>
      </c>
      <c r="D149" s="95">
        <f t="shared" si="32"/>
        <v>0</v>
      </c>
      <c r="E149" s="95">
        <f t="shared" ref="E149" si="34">SUM(B149:D149)</f>
        <v>0</v>
      </c>
      <c r="F149" s="665"/>
      <c r="G149" s="690"/>
      <c r="H149" s="690"/>
      <c r="I149" s="690"/>
      <c r="J149" s="690"/>
      <c r="K149" s="690"/>
      <c r="L149" s="690"/>
      <c r="M149" s="690"/>
      <c r="N149" s="96"/>
      <c r="O149" s="96"/>
      <c r="P149" s="96"/>
      <c r="Q149" s="96"/>
      <c r="R149" s="96"/>
      <c r="S149" s="96"/>
      <c r="T149" s="96"/>
      <c r="U149" s="96"/>
    </row>
    <row r="150" spans="1:21" s="650" customFormat="1" ht="20.100000000000001" customHeight="1">
      <c r="A150" s="730" t="s">
        <v>2295</v>
      </c>
      <c r="B150" s="108"/>
      <c r="C150" s="95">
        <f t="shared" si="31"/>
        <v>0</v>
      </c>
      <c r="D150" s="95">
        <f t="shared" si="32"/>
        <v>0</v>
      </c>
      <c r="E150" s="95">
        <f t="shared" ref="E150" si="35">SUM(B150:D150)</f>
        <v>0</v>
      </c>
      <c r="F150" s="665"/>
      <c r="G150" s="690"/>
      <c r="H150" s="690"/>
      <c r="I150" s="690"/>
      <c r="J150" s="690"/>
      <c r="K150" s="690"/>
      <c r="L150" s="690"/>
      <c r="M150" s="690"/>
      <c r="N150" s="96"/>
      <c r="O150" s="96"/>
      <c r="P150" s="96"/>
      <c r="Q150" s="96"/>
      <c r="R150" s="96"/>
      <c r="S150" s="96"/>
      <c r="T150" s="96"/>
      <c r="U150" s="96"/>
    </row>
    <row r="151" spans="1:21" s="650" customFormat="1" ht="19.5" customHeight="1">
      <c r="A151" s="716" t="s">
        <v>2294</v>
      </c>
      <c r="B151" s="108"/>
      <c r="C151" s="95">
        <f t="shared" si="31"/>
        <v>0</v>
      </c>
      <c r="D151" s="95">
        <f t="shared" si="32"/>
        <v>0</v>
      </c>
      <c r="E151" s="95">
        <f t="shared" si="33"/>
        <v>0</v>
      </c>
      <c r="F151" s="665"/>
      <c r="G151" s="690"/>
      <c r="H151" s="690"/>
      <c r="I151" s="690"/>
      <c r="J151" s="690"/>
      <c r="K151" s="690"/>
      <c r="L151" s="690"/>
      <c r="M151" s="690"/>
      <c r="N151" s="96"/>
      <c r="O151" s="96"/>
      <c r="P151" s="96"/>
      <c r="Q151" s="96"/>
      <c r="R151" s="96"/>
      <c r="S151" s="96"/>
      <c r="T151" s="96"/>
      <c r="U151" s="96"/>
    </row>
    <row r="152" spans="1:21" s="650" customFormat="1" ht="20.100000000000001" customHeight="1">
      <c r="A152" s="966" t="s">
        <v>2296</v>
      </c>
      <c r="B152" s="108"/>
      <c r="C152" s="95">
        <f>SUMIF($P:$P,A152,R:R)-SUMIF($P:$P,A152,S:S)</f>
        <v>0</v>
      </c>
      <c r="D152" s="95">
        <f t="shared" si="32"/>
        <v>0</v>
      </c>
      <c r="E152" s="95">
        <f t="shared" ref="E152" si="36">SUM(B152:D152)</f>
        <v>0</v>
      </c>
      <c r="F152" s="665"/>
      <c r="G152" s="690"/>
      <c r="H152" s="690"/>
      <c r="I152" s="690"/>
      <c r="J152" s="690"/>
      <c r="K152" s="690"/>
      <c r="L152" s="690"/>
      <c r="M152" s="690"/>
      <c r="N152" s="96"/>
      <c r="O152" s="96"/>
      <c r="P152" s="96"/>
      <c r="Q152" s="96"/>
      <c r="R152" s="96"/>
      <c r="S152" s="96"/>
      <c r="T152" s="96"/>
      <c r="U152" s="96"/>
    </row>
    <row r="153" spans="1:21" s="650" customFormat="1" ht="20.100000000000001" customHeight="1">
      <c r="A153" s="966" t="s">
        <v>2297</v>
      </c>
      <c r="B153" s="108"/>
      <c r="C153" s="95">
        <f>SUMIF($P:$P,A153,R:R)-SUMIF($P:$P,A153,S:S)</f>
        <v>0</v>
      </c>
      <c r="D153" s="95">
        <f t="shared" si="32"/>
        <v>0</v>
      </c>
      <c r="E153" s="95">
        <f>SUM(B153:D153)</f>
        <v>0</v>
      </c>
      <c r="F153" s="665"/>
      <c r="G153" s="690"/>
      <c r="H153" s="690"/>
      <c r="I153" s="690"/>
      <c r="J153" s="690"/>
      <c r="K153" s="690"/>
      <c r="L153" s="690"/>
      <c r="M153" s="690"/>
      <c r="N153" s="96"/>
      <c r="O153" s="96"/>
      <c r="P153" s="96"/>
      <c r="Q153" s="96"/>
      <c r="R153" s="96"/>
      <c r="S153" s="96"/>
      <c r="T153" s="96"/>
      <c r="U153" s="96"/>
    </row>
    <row r="154" spans="1:21" s="650" customFormat="1" ht="19.5" customHeight="1">
      <c r="A154" s="715" t="s">
        <v>2300</v>
      </c>
      <c r="B154" s="108"/>
      <c r="C154" s="95">
        <f>-SUMIF($P:$P,A154,R:R)+SUMIF($P:$P,A154,S:S)</f>
        <v>0</v>
      </c>
      <c r="D154" s="95">
        <f t="shared" si="32"/>
        <v>0</v>
      </c>
      <c r="E154" s="95">
        <f t="shared" si="33"/>
        <v>0</v>
      </c>
      <c r="F154" s="665"/>
      <c r="G154" s="690"/>
      <c r="H154" s="690"/>
      <c r="I154" s="690"/>
      <c r="J154" s="690"/>
      <c r="K154" s="690"/>
      <c r="L154" s="690"/>
      <c r="M154" s="690"/>
      <c r="N154" s="96"/>
      <c r="O154" s="96"/>
      <c r="P154" s="96"/>
      <c r="Q154" s="96"/>
      <c r="R154" s="96"/>
      <c r="S154" s="96"/>
      <c r="T154" s="96"/>
      <c r="U154" s="96"/>
    </row>
    <row r="155" spans="1:21" s="650" customFormat="1" ht="20.100000000000001" customHeight="1">
      <c r="A155" s="714" t="s">
        <v>2301</v>
      </c>
      <c r="B155" s="95">
        <f>B137-B138-B139-B140-B141-B143-B153-B142+B146+B147+B151+B154</f>
        <v>0</v>
      </c>
      <c r="C155" s="95">
        <f>C137-C138-C139-C140-C141-C143-C153-C142+C146+C147+C151+C154</f>
        <v>0</v>
      </c>
      <c r="D155" s="95">
        <f>D137-D138-D139-D140-D141-D143-D153-D142+D146+D147+D151+D154</f>
        <v>0</v>
      </c>
      <c r="E155" s="95">
        <f>E137-E138-E139-E140-E141-E143-E153-E142+E146+E147+E151+E154</f>
        <v>0</v>
      </c>
      <c r="F155" s="665"/>
      <c r="G155" s="690"/>
      <c r="H155" s="690"/>
      <c r="I155" s="690"/>
      <c r="J155" s="690"/>
      <c r="K155" s="690"/>
      <c r="L155" s="690"/>
      <c r="M155" s="690"/>
      <c r="N155" s="96"/>
      <c r="O155" s="96"/>
      <c r="P155" s="96"/>
      <c r="Q155" s="96"/>
      <c r="R155" s="96"/>
      <c r="S155" s="96"/>
      <c r="T155" s="96"/>
      <c r="U155" s="96"/>
    </row>
    <row r="156" spans="1:21" s="650" customFormat="1" ht="20.100000000000001" customHeight="1">
      <c r="A156" s="714" t="s">
        <v>103</v>
      </c>
      <c r="B156" s="108"/>
      <c r="C156" s="95">
        <f>-SUMIF($P:$P,A156,R:R)+SUMIF($P:$P,A156,S:S)</f>
        <v>0</v>
      </c>
      <c r="D156" s="95">
        <f>-SUMIF($H:$H,A156,J:J)+SUMIF($H:$H,A156,K:K)</f>
        <v>0</v>
      </c>
      <c r="E156" s="95">
        <f t="shared" ref="E156:E181" si="37">SUM(B156:D156)</f>
        <v>0</v>
      </c>
      <c r="F156" s="665"/>
      <c r="G156" s="690"/>
      <c r="H156" s="690"/>
      <c r="I156" s="690"/>
      <c r="J156" s="690"/>
      <c r="K156" s="690"/>
      <c r="L156" s="690"/>
      <c r="M156" s="690"/>
      <c r="N156" s="96"/>
      <c r="O156" s="96"/>
      <c r="P156" s="96"/>
      <c r="Q156" s="96"/>
      <c r="R156" s="96"/>
      <c r="S156" s="96"/>
      <c r="T156" s="96"/>
      <c r="U156" s="96"/>
    </row>
    <row r="157" spans="1:21" s="650" customFormat="1" ht="20.100000000000001" customHeight="1">
      <c r="A157" s="714" t="s">
        <v>104</v>
      </c>
      <c r="B157" s="108"/>
      <c r="C157" s="95">
        <f>SUMIF($P:$P,A157,R:R)-SUMIF($P:$P,A157,S:S)</f>
        <v>0</v>
      </c>
      <c r="D157" s="95">
        <f>-SUMIF($H:$H,A157,J:J)+SUMIF($H:$H,A157,K:K)</f>
        <v>0</v>
      </c>
      <c r="E157" s="95">
        <f t="shared" si="37"/>
        <v>0</v>
      </c>
      <c r="F157" s="665"/>
      <c r="G157" s="690"/>
      <c r="H157" s="690"/>
      <c r="I157" s="690"/>
      <c r="J157" s="690"/>
      <c r="K157" s="690"/>
      <c r="L157" s="690"/>
      <c r="M157" s="690"/>
      <c r="N157" s="96"/>
      <c r="O157" s="96"/>
      <c r="P157" s="96"/>
      <c r="Q157" s="96"/>
      <c r="R157" s="96"/>
      <c r="S157" s="96"/>
      <c r="T157" s="96"/>
      <c r="U157" s="96"/>
    </row>
    <row r="158" spans="1:21" s="650" customFormat="1" ht="20.100000000000001" customHeight="1">
      <c r="A158" s="714" t="s">
        <v>2302</v>
      </c>
      <c r="B158" s="95">
        <f>B155+B156-B157</f>
        <v>0</v>
      </c>
      <c r="C158" s="95">
        <f>C155+C156-C157</f>
        <v>0</v>
      </c>
      <c r="D158" s="95">
        <f>-SUMIF($H:$H,A158,J:J)+SUMIF($H:$H,A158,K:K)</f>
        <v>0</v>
      </c>
      <c r="E158" s="95">
        <f t="shared" si="37"/>
        <v>0</v>
      </c>
      <c r="F158" s="665"/>
      <c r="G158" s="690"/>
      <c r="H158" s="690"/>
      <c r="I158" s="690"/>
      <c r="J158" s="690"/>
      <c r="K158" s="690"/>
      <c r="L158" s="690"/>
      <c r="M158" s="690"/>
      <c r="N158" s="96"/>
      <c r="O158" s="96"/>
      <c r="P158" s="96"/>
      <c r="Q158" s="96"/>
      <c r="R158" s="96"/>
      <c r="S158" s="96"/>
      <c r="T158" s="96"/>
      <c r="U158" s="96"/>
    </row>
    <row r="159" spans="1:21" s="650" customFormat="1" ht="20.100000000000001" customHeight="1">
      <c r="A159" s="714" t="s">
        <v>105</v>
      </c>
      <c r="B159" s="108"/>
      <c r="C159" s="95">
        <f>SUMIF($P:$P,A159,R:R)-SUMIF($P:$P,A159,S:S)</f>
        <v>0</v>
      </c>
      <c r="D159" s="95">
        <f>-SUMIF($H:$H,A159,J:J)+SUMIF($H:$H,A159,K:K)</f>
        <v>0</v>
      </c>
      <c r="E159" s="95">
        <f t="shared" si="37"/>
        <v>0</v>
      </c>
      <c r="F159" s="665"/>
      <c r="G159" s="690"/>
      <c r="H159" s="690"/>
      <c r="I159" s="690"/>
      <c r="J159" s="690"/>
      <c r="K159" s="690"/>
      <c r="L159" s="690"/>
      <c r="M159" s="690"/>
      <c r="N159" s="96"/>
      <c r="O159" s="96"/>
      <c r="P159" s="96"/>
      <c r="Q159" s="96"/>
      <c r="R159" s="96"/>
      <c r="S159" s="96"/>
      <c r="T159" s="96"/>
      <c r="U159" s="96"/>
    </row>
    <row r="160" spans="1:21" s="650" customFormat="1" ht="20.100000000000001" customHeight="1">
      <c r="A160" s="714" t="s">
        <v>2303</v>
      </c>
      <c r="B160" s="95">
        <f>B158-B159</f>
        <v>0</v>
      </c>
      <c r="C160" s="95">
        <f>C158-C159</f>
        <v>0</v>
      </c>
      <c r="D160" s="95">
        <f>-SUMIF($H:$H,A160,J:J)+SUMIF($H:$H,A160,K:K)</f>
        <v>0</v>
      </c>
      <c r="E160" s="95">
        <f t="shared" si="37"/>
        <v>0</v>
      </c>
      <c r="F160" s="665"/>
      <c r="G160" s="690"/>
      <c r="H160" s="690"/>
      <c r="I160" s="690"/>
      <c r="J160" s="690"/>
      <c r="K160" s="690"/>
      <c r="L160" s="690"/>
      <c r="M160" s="690"/>
      <c r="N160" s="96"/>
      <c r="O160" s="96"/>
      <c r="P160" s="96"/>
      <c r="Q160" s="96"/>
      <c r="R160" s="96"/>
      <c r="S160" s="96"/>
      <c r="T160" s="96"/>
      <c r="U160" s="96"/>
    </row>
    <row r="161" spans="1:21" s="650" customFormat="1" ht="16.5" customHeight="1">
      <c r="A161" s="715" t="s">
        <v>418</v>
      </c>
      <c r="B161" s="108"/>
      <c r="C161" s="95"/>
      <c r="D161" s="95"/>
      <c r="E161" s="95"/>
      <c r="F161" s="665"/>
      <c r="G161" s="690"/>
      <c r="H161" s="690"/>
      <c r="I161" s="690"/>
      <c r="J161" s="690"/>
      <c r="K161" s="690"/>
      <c r="L161" s="690"/>
      <c r="M161" s="690"/>
      <c r="N161" s="96"/>
      <c r="O161" s="96"/>
      <c r="P161" s="96"/>
      <c r="Q161" s="96"/>
      <c r="R161" s="96"/>
      <c r="S161" s="96"/>
      <c r="T161" s="96"/>
      <c r="U161" s="96"/>
    </row>
    <row r="162" spans="1:21" s="650" customFormat="1" ht="20.100000000000001" customHeight="1">
      <c r="A162" s="714" t="s">
        <v>419</v>
      </c>
      <c r="B162" s="95">
        <f>B160-B163</f>
        <v>0</v>
      </c>
      <c r="C162" s="95">
        <f>C160-C163</f>
        <v>0</v>
      </c>
      <c r="D162" s="95">
        <f>-SUMIF($H:$H,A162,J:J)+SUMIF($H:$H,A162,K:K)</f>
        <v>0</v>
      </c>
      <c r="E162" s="95">
        <f t="shared" si="37"/>
        <v>0</v>
      </c>
      <c r="F162" s="665"/>
      <c r="G162" s="690"/>
      <c r="H162" s="690"/>
      <c r="I162" s="690"/>
      <c r="J162" s="690"/>
      <c r="K162" s="690"/>
      <c r="L162" s="690"/>
      <c r="M162" s="690"/>
      <c r="N162" s="96"/>
      <c r="O162" s="96"/>
      <c r="P162" s="96"/>
      <c r="Q162" s="96"/>
      <c r="R162" s="96"/>
      <c r="S162" s="96"/>
      <c r="T162" s="96"/>
      <c r="U162" s="96"/>
    </row>
    <row r="163" spans="1:21" s="650" customFormat="1" ht="20.100000000000001" customHeight="1">
      <c r="A163" s="716" t="s">
        <v>420</v>
      </c>
      <c r="B163" s="108"/>
      <c r="C163" s="95">
        <f>-SUMIF(A163,$P:$P,R:R)+SUMIF(A163,$P:$P,S:S)</f>
        <v>0</v>
      </c>
      <c r="D163" s="95">
        <f>-SUMIF($H:$H,A163,J:J)+SUMIF($H:$H,A163,K:K)</f>
        <v>0</v>
      </c>
      <c r="E163" s="95">
        <f t="shared" si="37"/>
        <v>0</v>
      </c>
      <c r="F163" s="665"/>
      <c r="G163" s="690"/>
      <c r="H163" s="690"/>
      <c r="I163" s="690"/>
      <c r="J163" s="690"/>
      <c r="K163" s="690"/>
      <c r="L163" s="690"/>
      <c r="M163" s="690"/>
      <c r="N163" s="96"/>
      <c r="O163" s="96"/>
      <c r="P163" s="96"/>
      <c r="Q163" s="96"/>
      <c r="R163" s="96"/>
      <c r="S163" s="96"/>
      <c r="T163" s="96"/>
      <c r="U163" s="96"/>
    </row>
    <row r="164" spans="1:21" s="650" customFormat="1" ht="20.100000000000001" customHeight="1">
      <c r="A164" s="714" t="s">
        <v>421</v>
      </c>
      <c r="B164" s="108"/>
      <c r="C164" s="95"/>
      <c r="D164" s="95"/>
      <c r="E164" s="95"/>
      <c r="F164" s="665"/>
      <c r="G164" s="690"/>
      <c r="H164" s="690"/>
      <c r="I164" s="690"/>
      <c r="J164" s="690"/>
      <c r="K164" s="690"/>
      <c r="L164" s="690"/>
      <c r="M164" s="690"/>
      <c r="N164" s="96"/>
      <c r="O164" s="96"/>
      <c r="P164" s="96"/>
      <c r="Q164" s="96"/>
      <c r="R164" s="96"/>
      <c r="S164" s="96"/>
      <c r="T164" s="96"/>
      <c r="U164" s="96"/>
    </row>
    <row r="165" spans="1:21" s="650" customFormat="1" ht="20.100000000000001" customHeight="1">
      <c r="A165" s="714" t="s">
        <v>422</v>
      </c>
      <c r="B165" s="95">
        <f>B160-B166</f>
        <v>0</v>
      </c>
      <c r="C165" s="95">
        <f>C163-C166</f>
        <v>0</v>
      </c>
      <c r="D165" s="95">
        <f t="shared" ref="D165:D181" si="38">-SUMIF($H:$H,A165,J:J)+SUMIF($H:$H,A165,K:K)</f>
        <v>0</v>
      </c>
      <c r="E165" s="95">
        <f t="shared" ref="E165:E166" si="39">SUM(B165:D165)</f>
        <v>0</v>
      </c>
      <c r="F165" s="665"/>
      <c r="G165" s="690"/>
      <c r="H165" s="690"/>
      <c r="I165" s="690"/>
      <c r="J165" s="690"/>
      <c r="K165" s="690"/>
      <c r="L165" s="690"/>
      <c r="M165" s="690"/>
      <c r="N165" s="96"/>
      <c r="O165" s="96"/>
      <c r="P165" s="96"/>
      <c r="Q165" s="96"/>
      <c r="R165" s="96"/>
      <c r="S165" s="96"/>
      <c r="T165" s="96"/>
      <c r="U165" s="96"/>
    </row>
    <row r="166" spans="1:21" s="650" customFormat="1" ht="20.100000000000001" customHeight="1">
      <c r="A166" s="714" t="s">
        <v>423</v>
      </c>
      <c r="B166" s="108"/>
      <c r="C166" s="95">
        <f>-SUMIF(A166,$P:$P,R:R)+SUMIF(A166,$P:$P,S:S)</f>
        <v>0</v>
      </c>
      <c r="D166" s="95">
        <f t="shared" si="38"/>
        <v>0</v>
      </c>
      <c r="E166" s="95">
        <f t="shared" si="39"/>
        <v>0</v>
      </c>
      <c r="F166" s="665"/>
      <c r="G166" s="690"/>
      <c r="H166" s="690"/>
      <c r="I166" s="690"/>
      <c r="J166" s="690"/>
      <c r="K166" s="690"/>
      <c r="L166" s="690"/>
      <c r="M166" s="690"/>
      <c r="N166" s="96"/>
      <c r="O166" s="96"/>
      <c r="P166" s="96"/>
      <c r="Q166" s="96"/>
      <c r="R166" s="96"/>
      <c r="S166" s="96"/>
      <c r="T166" s="96"/>
      <c r="U166" s="96"/>
    </row>
    <row r="167" spans="1:21" s="650" customFormat="1" ht="20.100000000000001" customHeight="1">
      <c r="A167" s="732" t="s">
        <v>424</v>
      </c>
      <c r="B167" s="108"/>
      <c r="C167" s="95">
        <f>-SUMIF($P:$P,A167,R:R)+SUMIF($P:$P,A167,S:S)</f>
        <v>0</v>
      </c>
      <c r="D167" s="95">
        <f t="shared" si="38"/>
        <v>0</v>
      </c>
      <c r="E167" s="95">
        <f t="shared" si="37"/>
        <v>0</v>
      </c>
      <c r="F167" s="665"/>
      <c r="G167" s="690"/>
      <c r="H167" s="690"/>
      <c r="I167" s="690"/>
      <c r="J167" s="690"/>
      <c r="K167" s="690"/>
      <c r="L167" s="690"/>
      <c r="M167" s="690"/>
      <c r="N167" s="96"/>
      <c r="O167" s="96"/>
      <c r="P167" s="96"/>
      <c r="Q167" s="96"/>
      <c r="R167" s="96"/>
      <c r="S167" s="96"/>
      <c r="T167" s="96"/>
      <c r="U167" s="96"/>
    </row>
    <row r="168" spans="1:21" s="650" customFormat="1" ht="20.100000000000001" customHeight="1">
      <c r="A168" s="732" t="s">
        <v>425</v>
      </c>
      <c r="B168" s="108"/>
      <c r="C168" s="95">
        <f>-SUMIF(A168,$P:$P,R:R)+SUMIF(A168,$P:$P,S:S)</f>
        <v>0</v>
      </c>
      <c r="D168" s="95">
        <f t="shared" si="38"/>
        <v>0</v>
      </c>
      <c r="E168" s="95">
        <f t="shared" si="37"/>
        <v>0</v>
      </c>
      <c r="F168" s="665"/>
      <c r="G168" s="690"/>
      <c r="H168" s="690"/>
      <c r="I168" s="690"/>
      <c r="J168" s="690"/>
      <c r="K168" s="690"/>
      <c r="L168" s="690"/>
      <c r="M168" s="690"/>
      <c r="N168" s="96"/>
      <c r="O168" s="96"/>
      <c r="P168" s="96"/>
      <c r="Q168" s="96"/>
      <c r="R168" s="96"/>
      <c r="S168" s="96"/>
      <c r="T168" s="96"/>
      <c r="U168" s="96"/>
    </row>
    <row r="169" spans="1:21" s="650" customFormat="1" ht="20.100000000000001" customHeight="1">
      <c r="A169" s="732" t="s">
        <v>426</v>
      </c>
      <c r="B169" s="108"/>
      <c r="C169" s="95">
        <f>-SUMIF(A169,$P:$P,R:R)+SUMIF(A169,$P:$P,S:S)</f>
        <v>0</v>
      </c>
      <c r="D169" s="95">
        <f t="shared" si="38"/>
        <v>0</v>
      </c>
      <c r="E169" s="95">
        <f t="shared" si="37"/>
        <v>0</v>
      </c>
      <c r="F169" s="665"/>
      <c r="G169" s="690"/>
      <c r="H169" s="690"/>
      <c r="I169" s="690"/>
      <c r="J169" s="690"/>
      <c r="K169" s="690"/>
      <c r="L169" s="690"/>
      <c r="M169" s="690"/>
      <c r="N169" s="96"/>
      <c r="O169" s="96"/>
      <c r="P169" s="96"/>
      <c r="Q169" s="96"/>
      <c r="R169" s="96"/>
      <c r="S169" s="96"/>
      <c r="T169" s="96"/>
      <c r="U169" s="96"/>
    </row>
    <row r="170" spans="1:21" s="650" customFormat="1" ht="20.100000000000001" customHeight="1">
      <c r="A170" s="732" t="s">
        <v>377</v>
      </c>
      <c r="B170" s="108"/>
      <c r="C170" s="95">
        <f>-SUMIF(A170,$P:$P,R:R)+SUMIF(A170,$P:$P,S:S)</f>
        <v>0</v>
      </c>
      <c r="D170" s="95">
        <f t="shared" si="38"/>
        <v>0</v>
      </c>
      <c r="E170" s="95">
        <f t="shared" si="37"/>
        <v>0</v>
      </c>
      <c r="F170" s="665"/>
      <c r="G170" s="690"/>
      <c r="H170" s="690"/>
      <c r="I170" s="690"/>
      <c r="J170" s="690"/>
      <c r="K170" s="690"/>
      <c r="L170" s="690"/>
      <c r="M170" s="690"/>
      <c r="N170" s="96"/>
      <c r="O170" s="96"/>
      <c r="P170" s="96"/>
      <c r="Q170" s="96"/>
      <c r="R170" s="96"/>
      <c r="S170" s="96"/>
      <c r="T170" s="96"/>
      <c r="U170" s="96"/>
    </row>
    <row r="171" spans="1:21" s="650" customFormat="1" ht="20.100000000000001" customHeight="1">
      <c r="A171" s="732" t="s">
        <v>427</v>
      </c>
      <c r="B171" s="95">
        <f>B162+B167+B168+B169</f>
        <v>0</v>
      </c>
      <c r="C171" s="95">
        <f>C162+C167+C168+C169</f>
        <v>0</v>
      </c>
      <c r="D171" s="95">
        <f t="shared" si="38"/>
        <v>0</v>
      </c>
      <c r="E171" s="95">
        <f t="shared" si="37"/>
        <v>0</v>
      </c>
      <c r="F171" s="665"/>
      <c r="G171" s="690"/>
      <c r="H171" s="690"/>
      <c r="I171" s="690"/>
      <c r="J171" s="690"/>
      <c r="K171" s="690"/>
      <c r="L171" s="690"/>
      <c r="M171" s="690"/>
      <c r="N171" s="96"/>
      <c r="O171" s="96"/>
      <c r="P171" s="96"/>
      <c r="Q171" s="96"/>
      <c r="R171" s="96"/>
      <c r="S171" s="96"/>
      <c r="T171" s="96"/>
      <c r="U171" s="96"/>
    </row>
    <row r="172" spans="1:21" s="650" customFormat="1" ht="20.100000000000001" customHeight="1">
      <c r="A172" s="732" t="s">
        <v>428</v>
      </c>
      <c r="B172" s="108"/>
      <c r="C172" s="95">
        <f>SUMIF($P:$P,A172,R:R)-SUMIF($P:$P,A172,S:S)</f>
        <v>0</v>
      </c>
      <c r="D172" s="95">
        <f t="shared" si="38"/>
        <v>0</v>
      </c>
      <c r="E172" s="95">
        <f t="shared" si="37"/>
        <v>0</v>
      </c>
      <c r="F172" s="665"/>
      <c r="G172" s="690"/>
      <c r="H172" s="690"/>
      <c r="I172" s="690"/>
      <c r="J172" s="690"/>
      <c r="K172" s="690"/>
      <c r="L172" s="690"/>
      <c r="M172" s="690"/>
      <c r="N172" s="96"/>
      <c r="O172" s="96"/>
      <c r="P172" s="96"/>
      <c r="Q172" s="96"/>
      <c r="R172" s="96"/>
      <c r="S172" s="96"/>
      <c r="T172" s="96"/>
      <c r="U172" s="96"/>
    </row>
    <row r="173" spans="1:21" s="650" customFormat="1" ht="20.100000000000001" customHeight="1">
      <c r="A173" s="732" t="s">
        <v>429</v>
      </c>
      <c r="B173" s="108"/>
      <c r="C173" s="95">
        <f>SUMIF($P:$P,A173,R:R)-SUMIF($P:$P,A173,S:S)</f>
        <v>0</v>
      </c>
      <c r="D173" s="95">
        <f t="shared" si="38"/>
        <v>0</v>
      </c>
      <c r="E173" s="95">
        <f t="shared" si="37"/>
        <v>0</v>
      </c>
      <c r="F173" s="665"/>
      <c r="G173" s="690"/>
      <c r="H173" s="690"/>
      <c r="I173" s="690"/>
      <c r="J173" s="690"/>
      <c r="K173" s="690"/>
      <c r="L173" s="690"/>
      <c r="M173" s="690"/>
      <c r="N173" s="96"/>
      <c r="O173" s="96"/>
      <c r="P173" s="96"/>
      <c r="Q173" s="96"/>
      <c r="R173" s="96"/>
      <c r="S173" s="96"/>
      <c r="T173" s="96"/>
      <c r="U173" s="96"/>
    </row>
    <row r="174" spans="1:21" s="650" customFormat="1" ht="20.100000000000001" customHeight="1">
      <c r="A174" s="732" t="s">
        <v>430</v>
      </c>
      <c r="B174" s="108"/>
      <c r="C174" s="95">
        <f>SUMIF($P:$P,A174,R:R)-SUMIF($P:$P,A174,S:S)</f>
        <v>0</v>
      </c>
      <c r="D174" s="95">
        <f t="shared" si="38"/>
        <v>0</v>
      </c>
      <c r="E174" s="95">
        <f t="shared" si="37"/>
        <v>0</v>
      </c>
      <c r="F174" s="665"/>
      <c r="G174" s="690"/>
      <c r="H174" s="690"/>
      <c r="I174" s="690"/>
      <c r="J174" s="690"/>
      <c r="K174" s="690"/>
      <c r="L174" s="690"/>
      <c r="M174" s="690"/>
      <c r="N174" s="96"/>
      <c r="O174" s="96"/>
      <c r="P174" s="96"/>
      <c r="Q174" s="96"/>
      <c r="R174" s="96"/>
      <c r="S174" s="96"/>
      <c r="T174" s="96"/>
      <c r="U174" s="96"/>
    </row>
    <row r="175" spans="1:21" s="650" customFormat="1" ht="20.100000000000001" customHeight="1">
      <c r="A175" s="732" t="s">
        <v>431</v>
      </c>
      <c r="B175" s="108">
        <f>B171-B172-B173-B174</f>
        <v>0</v>
      </c>
      <c r="C175" s="95">
        <f>C171-C172-C173-C174</f>
        <v>0</v>
      </c>
      <c r="D175" s="95">
        <f t="shared" si="38"/>
        <v>0</v>
      </c>
      <c r="E175" s="95">
        <f t="shared" si="37"/>
        <v>0</v>
      </c>
      <c r="F175" s="665"/>
      <c r="G175" s="690"/>
      <c r="H175" s="690"/>
      <c r="I175" s="690"/>
      <c r="J175" s="690"/>
      <c r="K175" s="690"/>
      <c r="L175" s="690"/>
      <c r="M175" s="690"/>
      <c r="N175" s="96"/>
      <c r="O175" s="96"/>
      <c r="P175" s="96"/>
      <c r="Q175" s="96"/>
      <c r="R175" s="96"/>
      <c r="S175" s="96"/>
      <c r="T175" s="96"/>
      <c r="U175" s="96"/>
    </row>
    <row r="176" spans="1:21" s="650" customFormat="1" ht="20.100000000000001" customHeight="1">
      <c r="A176" s="732" t="s">
        <v>432</v>
      </c>
      <c r="B176" s="108"/>
      <c r="C176" s="95">
        <f>SUMIF($P:$P,A176,R:R)-SUMIF($P:$P,A176,S:S)</f>
        <v>0</v>
      </c>
      <c r="D176" s="95">
        <f t="shared" si="38"/>
        <v>0</v>
      </c>
      <c r="E176" s="95">
        <f t="shared" si="37"/>
        <v>0</v>
      </c>
      <c r="F176" s="665"/>
      <c r="G176" s="690"/>
      <c r="H176" s="690"/>
      <c r="I176" s="690"/>
      <c r="J176" s="690"/>
      <c r="K176" s="690"/>
      <c r="L176" s="690"/>
      <c r="M176" s="690"/>
      <c r="N176" s="96"/>
      <c r="O176" s="96"/>
      <c r="P176" s="96"/>
      <c r="Q176" s="96"/>
      <c r="R176" s="96"/>
      <c r="S176" s="96"/>
      <c r="T176" s="96"/>
      <c r="U176" s="96"/>
    </row>
    <row r="177" spans="1:21" s="650" customFormat="1" ht="20.100000000000001" customHeight="1">
      <c r="A177" s="732" t="s">
        <v>433</v>
      </c>
      <c r="B177" s="108"/>
      <c r="C177" s="95">
        <f>SUMIF($P:$P,A177,R:R)-SUMIF($P:$P,A177,S:S)</f>
        <v>0</v>
      </c>
      <c r="D177" s="95">
        <f t="shared" si="38"/>
        <v>0</v>
      </c>
      <c r="E177" s="95">
        <f t="shared" si="37"/>
        <v>0</v>
      </c>
      <c r="F177" s="665"/>
      <c r="G177" s="690"/>
      <c r="H177" s="690"/>
      <c r="I177" s="690"/>
      <c r="J177" s="690"/>
      <c r="K177" s="690"/>
      <c r="L177" s="690"/>
      <c r="M177" s="690"/>
      <c r="N177" s="96"/>
      <c r="O177" s="96"/>
      <c r="P177" s="96"/>
      <c r="Q177" s="96"/>
      <c r="R177" s="96"/>
      <c r="S177" s="96"/>
      <c r="T177" s="96"/>
      <c r="U177" s="96"/>
    </row>
    <row r="178" spans="1:21" s="650" customFormat="1" ht="20.100000000000001" customHeight="1">
      <c r="A178" s="732" t="s">
        <v>434</v>
      </c>
      <c r="B178" s="108"/>
      <c r="C178" s="95">
        <f>SUMIF($P:$P,A178,R:R)-SUMIF($P:$P,A178,S:S)</f>
        <v>0</v>
      </c>
      <c r="D178" s="95">
        <f t="shared" si="38"/>
        <v>0</v>
      </c>
      <c r="E178" s="95">
        <f t="shared" si="37"/>
        <v>0</v>
      </c>
      <c r="F178" s="665"/>
      <c r="G178" s="690"/>
      <c r="H178" s="690"/>
      <c r="I178" s="690"/>
      <c r="J178" s="690"/>
      <c r="K178" s="690"/>
      <c r="L178" s="690"/>
      <c r="M178" s="690"/>
      <c r="N178" s="96"/>
      <c r="O178" s="96"/>
      <c r="P178" s="96"/>
      <c r="Q178" s="96"/>
      <c r="R178" s="96"/>
      <c r="S178" s="96"/>
      <c r="T178" s="96"/>
      <c r="U178" s="96"/>
    </row>
    <row r="179" spans="1:21" s="650" customFormat="1" ht="20.100000000000001" customHeight="1">
      <c r="A179" s="732" t="s">
        <v>435</v>
      </c>
      <c r="B179" s="108"/>
      <c r="C179" s="95">
        <f>SUMIF($P:$P,A179,R:R)-SUMIF($P:$P,A179,S:S)</f>
        <v>0</v>
      </c>
      <c r="D179" s="95">
        <f t="shared" si="38"/>
        <v>0</v>
      </c>
      <c r="E179" s="95">
        <f t="shared" si="37"/>
        <v>0</v>
      </c>
      <c r="F179" s="665"/>
      <c r="G179" s="690"/>
      <c r="H179" s="690"/>
      <c r="I179" s="690"/>
      <c r="J179" s="690"/>
      <c r="K179" s="690"/>
      <c r="L179" s="690"/>
      <c r="M179" s="690"/>
      <c r="N179" s="96"/>
      <c r="O179" s="96"/>
      <c r="P179" s="96"/>
      <c r="Q179" s="96"/>
      <c r="R179" s="96"/>
      <c r="S179" s="96"/>
      <c r="T179" s="96"/>
      <c r="U179" s="96"/>
    </row>
    <row r="180" spans="1:21" s="650" customFormat="1" ht="20.100000000000001" customHeight="1">
      <c r="A180" s="732" t="s">
        <v>430</v>
      </c>
      <c r="B180" s="108"/>
      <c r="C180" s="95">
        <f>SUMIF($P:$P,A180,R:R)-SUMIF($P:$P,A180,S:S)</f>
        <v>0</v>
      </c>
      <c r="D180" s="95">
        <f t="shared" si="38"/>
        <v>0</v>
      </c>
      <c r="E180" s="95">
        <f t="shared" si="37"/>
        <v>0</v>
      </c>
      <c r="F180" s="665"/>
      <c r="G180" s="690"/>
      <c r="H180" s="690"/>
      <c r="I180" s="690"/>
      <c r="J180" s="690"/>
      <c r="K180" s="690"/>
      <c r="L180" s="690"/>
      <c r="M180" s="690"/>
      <c r="N180" s="96"/>
      <c r="O180" s="96"/>
      <c r="P180" s="96"/>
      <c r="Q180" s="96"/>
      <c r="R180" s="96"/>
      <c r="S180" s="96"/>
      <c r="T180" s="96"/>
      <c r="U180" s="96"/>
    </row>
    <row r="181" spans="1:21" s="650" customFormat="1" ht="20.100000000000001" customHeight="1">
      <c r="A181" s="732" t="s">
        <v>436</v>
      </c>
      <c r="B181" s="95">
        <f>B175-B176-B177-B178-B179</f>
        <v>0</v>
      </c>
      <c r="C181" s="95">
        <f>C175-C176-C177-C178-C179</f>
        <v>0</v>
      </c>
      <c r="D181" s="95">
        <f t="shared" si="38"/>
        <v>0</v>
      </c>
      <c r="E181" s="95">
        <f t="shared" si="37"/>
        <v>0</v>
      </c>
      <c r="F181" s="665"/>
      <c r="G181" s="690"/>
      <c r="H181" s="690"/>
      <c r="I181" s="690"/>
      <c r="J181" s="690"/>
      <c r="K181" s="690"/>
      <c r="L181" s="690"/>
      <c r="M181" s="690"/>
      <c r="N181" s="96"/>
      <c r="O181" s="96"/>
      <c r="P181" s="96"/>
      <c r="Q181" s="96"/>
      <c r="R181" s="96"/>
      <c r="S181" s="96"/>
      <c r="T181" s="96"/>
      <c r="U181" s="96"/>
    </row>
    <row r="182" spans="1:21" ht="20.100000000000001" customHeight="1">
      <c r="A182" s="733" t="s">
        <v>437</v>
      </c>
      <c r="B182" s="734"/>
      <c r="C182" s="735"/>
      <c r="D182" s="735"/>
      <c r="F182" s="657"/>
      <c r="G182" s="658"/>
      <c r="H182" s="658"/>
      <c r="I182" s="658"/>
      <c r="J182" s="658"/>
      <c r="K182" s="658"/>
      <c r="L182" s="658"/>
      <c r="M182" s="658"/>
      <c r="N182" s="658"/>
      <c r="O182" s="658"/>
      <c r="P182" s="658"/>
      <c r="Q182" s="658"/>
      <c r="R182" s="658"/>
      <c r="S182" s="658"/>
      <c r="T182" s="658"/>
      <c r="U182" s="658"/>
    </row>
    <row r="183" spans="1:21" ht="20.100000000000001" customHeight="1">
      <c r="A183" s="6" t="s">
        <v>438</v>
      </c>
      <c r="B183" s="736">
        <f>基础信息!B6</f>
        <v>0</v>
      </c>
      <c r="C183" s="735"/>
      <c r="D183" s="735"/>
      <c r="F183" s="657"/>
      <c r="G183" s="658"/>
      <c r="H183" s="658"/>
      <c r="I183" s="599"/>
      <c r="J183" s="688" t="s">
        <v>351</v>
      </c>
      <c r="K183" s="658"/>
      <c r="L183" s="658"/>
      <c r="M183" s="658"/>
      <c r="N183" s="658"/>
      <c r="O183" s="658"/>
      <c r="P183" s="658"/>
      <c r="Q183" s="599"/>
      <c r="R183" s="688" t="s">
        <v>352</v>
      </c>
      <c r="S183" s="658"/>
      <c r="T183" s="658"/>
      <c r="U183" s="658"/>
    </row>
    <row r="184" spans="1:21" ht="20.100000000000001" customHeight="1">
      <c r="A184" s="6" t="s">
        <v>439</v>
      </c>
      <c r="B184" s="736">
        <f>基础信息!B9</f>
        <v>0</v>
      </c>
      <c r="F184" s="657"/>
      <c r="G184" s="658"/>
      <c r="H184" s="658"/>
      <c r="I184" s="658"/>
      <c r="J184" s="658"/>
      <c r="K184" s="658"/>
      <c r="L184" s="658"/>
      <c r="M184" s="658"/>
      <c r="N184" s="658"/>
      <c r="O184" s="658"/>
      <c r="P184" s="658"/>
      <c r="Q184" s="658"/>
      <c r="R184" s="658"/>
      <c r="S184" s="658"/>
      <c r="T184" s="658"/>
      <c r="U184" s="658"/>
    </row>
    <row r="185" spans="1:21" s="652" customFormat="1" ht="20.100000000000001" customHeight="1">
      <c r="A185" s="660" t="s">
        <v>137</v>
      </c>
      <c r="B185" s="20" t="s">
        <v>354</v>
      </c>
      <c r="C185" s="661" t="s">
        <v>355</v>
      </c>
      <c r="D185" s="661" t="s">
        <v>356</v>
      </c>
      <c r="E185" s="661" t="s">
        <v>357</v>
      </c>
      <c r="F185" s="662" t="s">
        <v>1</v>
      </c>
      <c r="G185" s="663" t="s">
        <v>358</v>
      </c>
      <c r="H185" s="663" t="s">
        <v>359</v>
      </c>
      <c r="I185" s="663" t="s">
        <v>360</v>
      </c>
      <c r="J185" s="663" t="s">
        <v>361</v>
      </c>
      <c r="K185" s="663" t="s">
        <v>362</v>
      </c>
      <c r="L185" s="663" t="s">
        <v>363</v>
      </c>
      <c r="M185" s="663" t="s">
        <v>364</v>
      </c>
      <c r="N185" s="662" t="s">
        <v>1</v>
      </c>
      <c r="O185" s="662" t="s">
        <v>358</v>
      </c>
      <c r="P185" s="662" t="s">
        <v>359</v>
      </c>
      <c r="Q185" s="662" t="s">
        <v>360</v>
      </c>
      <c r="R185" s="703" t="s">
        <v>361</v>
      </c>
      <c r="S185" s="703" t="s">
        <v>362</v>
      </c>
      <c r="T185" s="662" t="s">
        <v>363</v>
      </c>
      <c r="U185" s="662" t="s">
        <v>364</v>
      </c>
    </row>
    <row r="186" spans="1:21" s="650" customFormat="1" ht="20.100000000000001" customHeight="1">
      <c r="A186" s="108"/>
      <c r="B186" s="108"/>
      <c r="C186" s="108"/>
      <c r="D186" s="108"/>
      <c r="E186" s="108"/>
      <c r="F186" s="665"/>
      <c r="G186" s="690"/>
      <c r="H186" s="690"/>
      <c r="I186" s="690"/>
      <c r="J186" s="690"/>
      <c r="K186" s="690"/>
      <c r="L186" s="96"/>
      <c r="M186" s="96"/>
      <c r="N186" s="96"/>
      <c r="O186" s="96"/>
      <c r="P186" s="96"/>
      <c r="Q186" s="96"/>
      <c r="R186" s="96"/>
      <c r="S186" s="96"/>
      <c r="T186" s="96"/>
      <c r="U186" s="96"/>
    </row>
    <row r="187" spans="1:21" s="650" customFormat="1" ht="20.100000000000001" customHeight="1">
      <c r="A187" s="108" t="s">
        <v>440</v>
      </c>
      <c r="B187" s="108"/>
      <c r="C187" s="95">
        <f t="shared" ref="C187:C198" si="40">SUMIF($P:$P,A187,R:R)-SUMIF($P:$P,A187,S:S)</f>
        <v>0</v>
      </c>
      <c r="D187" s="95">
        <f t="shared" ref="D187:D198" si="41">SUMIF($H:$H,A187,J:J)-SUMIF($H:$H,A187,K:K)</f>
        <v>0</v>
      </c>
      <c r="E187" s="95">
        <f t="shared" ref="E187:E198" si="42">SUM(B187:D187)</f>
        <v>0</v>
      </c>
      <c r="F187" s="665"/>
      <c r="G187" s="690"/>
      <c r="H187" s="690"/>
      <c r="I187" s="690"/>
      <c r="J187" s="690"/>
      <c r="K187" s="690"/>
      <c r="L187" s="96"/>
      <c r="M187" s="96"/>
      <c r="N187" s="96"/>
      <c r="O187" s="96"/>
      <c r="P187" s="96"/>
      <c r="Q187" s="96"/>
      <c r="R187" s="96"/>
      <c r="S187" s="96"/>
      <c r="T187" s="96"/>
      <c r="U187" s="96"/>
    </row>
    <row r="188" spans="1:21" s="650" customFormat="1" ht="20.100000000000001" customHeight="1">
      <c r="A188" s="108" t="s">
        <v>441</v>
      </c>
      <c r="B188" s="108"/>
      <c r="C188" s="95">
        <f t="shared" si="40"/>
        <v>0</v>
      </c>
      <c r="D188" s="95">
        <f t="shared" si="41"/>
        <v>0</v>
      </c>
      <c r="E188" s="95">
        <f t="shared" si="42"/>
        <v>0</v>
      </c>
      <c r="F188" s="665"/>
      <c r="G188" s="690"/>
      <c r="H188" s="690"/>
      <c r="I188" s="690"/>
      <c r="J188" s="690"/>
      <c r="K188" s="690"/>
      <c r="L188" s="96"/>
      <c r="M188" s="96"/>
      <c r="N188" s="96"/>
      <c r="O188" s="96"/>
      <c r="P188" s="96"/>
      <c r="Q188" s="96"/>
      <c r="R188" s="96"/>
      <c r="S188" s="96"/>
      <c r="T188" s="96"/>
      <c r="U188" s="96"/>
    </row>
    <row r="189" spans="1:21" s="650" customFormat="1" ht="20.100000000000001" customHeight="1">
      <c r="A189" s="108" t="s">
        <v>442</v>
      </c>
      <c r="B189" s="108"/>
      <c r="C189" s="95">
        <f t="shared" si="40"/>
        <v>0</v>
      </c>
      <c r="D189" s="95">
        <f t="shared" si="41"/>
        <v>0</v>
      </c>
      <c r="E189" s="95">
        <f t="shared" si="42"/>
        <v>0</v>
      </c>
      <c r="F189" s="665"/>
      <c r="G189" s="690"/>
      <c r="H189" s="690"/>
      <c r="I189" s="690"/>
      <c r="J189" s="690"/>
      <c r="K189" s="690"/>
      <c r="L189" s="96"/>
      <c r="M189" s="96"/>
      <c r="N189" s="96"/>
      <c r="O189" s="96"/>
      <c r="P189" s="96"/>
      <c r="Q189" s="96"/>
      <c r="R189" s="96"/>
      <c r="S189" s="96"/>
      <c r="T189" s="96"/>
      <c r="U189" s="96"/>
    </row>
    <row r="190" spans="1:21" s="650" customFormat="1" ht="20.100000000000001" customHeight="1">
      <c r="A190" s="108" t="s">
        <v>443</v>
      </c>
      <c r="B190" s="108"/>
      <c r="C190" s="95">
        <f t="shared" si="40"/>
        <v>0</v>
      </c>
      <c r="D190" s="95">
        <f t="shared" si="41"/>
        <v>0</v>
      </c>
      <c r="E190" s="95">
        <f t="shared" si="42"/>
        <v>0</v>
      </c>
      <c r="F190" s="665"/>
      <c r="G190" s="690"/>
      <c r="H190" s="690"/>
      <c r="I190" s="690"/>
      <c r="J190" s="690"/>
      <c r="K190" s="690"/>
      <c r="L190" s="96"/>
      <c r="M190" s="96"/>
      <c r="N190" s="96"/>
      <c r="O190" s="96"/>
      <c r="P190" s="96"/>
      <c r="Q190" s="96"/>
      <c r="R190" s="96"/>
      <c r="S190" s="96"/>
      <c r="T190" s="96"/>
      <c r="U190" s="96"/>
    </row>
    <row r="191" spans="1:21" s="650" customFormat="1" ht="20.100000000000001" customHeight="1">
      <c r="A191" s="108"/>
      <c r="B191" s="108"/>
      <c r="C191" s="95">
        <f t="shared" si="40"/>
        <v>0</v>
      </c>
      <c r="D191" s="95">
        <f t="shared" si="41"/>
        <v>0</v>
      </c>
      <c r="E191" s="95">
        <f t="shared" si="42"/>
        <v>0</v>
      </c>
      <c r="F191" s="665"/>
      <c r="G191" s="690"/>
      <c r="H191" s="690"/>
      <c r="I191" s="690"/>
      <c r="J191" s="690"/>
      <c r="K191" s="690"/>
      <c r="L191" s="96"/>
      <c r="M191" s="96"/>
      <c r="N191" s="96"/>
      <c r="O191" s="96"/>
      <c r="P191" s="96"/>
      <c r="Q191" s="96"/>
      <c r="R191" s="96"/>
      <c r="S191" s="96"/>
      <c r="T191" s="96"/>
      <c r="U191" s="96"/>
    </row>
    <row r="192" spans="1:21" s="650" customFormat="1" ht="20.100000000000001" customHeight="1">
      <c r="A192" s="108"/>
      <c r="B192" s="108"/>
      <c r="C192" s="95">
        <f t="shared" si="40"/>
        <v>0</v>
      </c>
      <c r="D192" s="95">
        <f t="shared" si="41"/>
        <v>0</v>
      </c>
      <c r="E192" s="95">
        <f t="shared" si="42"/>
        <v>0</v>
      </c>
      <c r="F192" s="665"/>
      <c r="G192" s="690"/>
      <c r="H192" s="690"/>
      <c r="I192" s="690"/>
      <c r="J192" s="690"/>
      <c r="K192" s="690"/>
      <c r="L192" s="96"/>
      <c r="M192" s="96"/>
      <c r="N192" s="96"/>
      <c r="O192" s="96"/>
      <c r="P192" s="96"/>
      <c r="Q192" s="96"/>
      <c r="R192" s="96"/>
      <c r="S192" s="96"/>
      <c r="T192" s="96"/>
      <c r="U192" s="96"/>
    </row>
    <row r="193" spans="1:21" s="650" customFormat="1" ht="20.100000000000001" customHeight="1">
      <c r="A193" s="108"/>
      <c r="B193" s="108"/>
      <c r="C193" s="95">
        <f t="shared" si="40"/>
        <v>0</v>
      </c>
      <c r="D193" s="95">
        <f t="shared" si="41"/>
        <v>0</v>
      </c>
      <c r="E193" s="95">
        <f t="shared" si="42"/>
        <v>0</v>
      </c>
      <c r="F193" s="665"/>
      <c r="G193" s="690"/>
      <c r="H193" s="690"/>
      <c r="I193" s="690"/>
      <c r="J193" s="690"/>
      <c r="K193" s="690"/>
      <c r="L193" s="96"/>
      <c r="M193" s="96"/>
      <c r="N193" s="96"/>
      <c r="O193" s="96"/>
      <c r="P193" s="96"/>
      <c r="Q193" s="96"/>
      <c r="R193" s="96"/>
      <c r="S193" s="96"/>
      <c r="T193" s="96"/>
      <c r="U193" s="96"/>
    </row>
    <row r="194" spans="1:21" s="650" customFormat="1" ht="20.100000000000001" customHeight="1">
      <c r="A194" s="108"/>
      <c r="B194" s="108"/>
      <c r="C194" s="95">
        <f t="shared" si="40"/>
        <v>0</v>
      </c>
      <c r="D194" s="95">
        <f t="shared" si="41"/>
        <v>0</v>
      </c>
      <c r="E194" s="95">
        <f t="shared" si="42"/>
        <v>0</v>
      </c>
      <c r="F194" s="665"/>
      <c r="G194" s="690"/>
      <c r="H194" s="690"/>
      <c r="I194" s="690"/>
      <c r="J194" s="690"/>
      <c r="K194" s="690"/>
      <c r="L194" s="96"/>
      <c r="M194" s="96"/>
      <c r="N194" s="96"/>
      <c r="O194" s="96"/>
      <c r="P194" s="96"/>
      <c r="Q194" s="96"/>
      <c r="R194" s="96"/>
      <c r="S194" s="96"/>
      <c r="T194" s="96"/>
      <c r="U194" s="96"/>
    </row>
    <row r="195" spans="1:21" s="650" customFormat="1" ht="20.100000000000001" customHeight="1">
      <c r="A195" s="108"/>
      <c r="B195" s="108"/>
      <c r="C195" s="95">
        <f t="shared" si="40"/>
        <v>0</v>
      </c>
      <c r="D195" s="95">
        <f t="shared" si="41"/>
        <v>0</v>
      </c>
      <c r="E195" s="95">
        <f t="shared" si="42"/>
        <v>0</v>
      </c>
      <c r="F195" s="665"/>
      <c r="G195" s="690"/>
      <c r="H195" s="690"/>
      <c r="I195" s="690"/>
      <c r="J195" s="690"/>
      <c r="K195" s="690"/>
      <c r="L195" s="96"/>
      <c r="M195" s="96"/>
      <c r="N195" s="96"/>
      <c r="O195" s="96"/>
      <c r="P195" s="96"/>
      <c r="Q195" s="96"/>
      <c r="R195" s="96"/>
      <c r="S195" s="96"/>
      <c r="T195" s="96"/>
      <c r="U195" s="96"/>
    </row>
    <row r="196" spans="1:21" s="650" customFormat="1" ht="20.100000000000001" customHeight="1">
      <c r="A196" s="108"/>
      <c r="B196" s="108"/>
      <c r="C196" s="95">
        <f t="shared" si="40"/>
        <v>0</v>
      </c>
      <c r="D196" s="95">
        <f t="shared" si="41"/>
        <v>0</v>
      </c>
      <c r="E196" s="95">
        <f t="shared" si="42"/>
        <v>0</v>
      </c>
      <c r="F196" s="679"/>
      <c r="G196" s="96"/>
      <c r="H196" s="96"/>
      <c r="I196" s="96"/>
      <c r="J196" s="96"/>
      <c r="K196" s="96"/>
      <c r="L196" s="96"/>
      <c r="M196" s="96"/>
      <c r="N196" s="96"/>
      <c r="O196" s="96"/>
      <c r="P196" s="96"/>
      <c r="Q196" s="96"/>
      <c r="R196" s="96"/>
      <c r="S196" s="96"/>
      <c r="T196" s="96"/>
      <c r="U196" s="96"/>
    </row>
    <row r="197" spans="1:21" s="650" customFormat="1" ht="20.100000000000001" customHeight="1">
      <c r="A197" s="108"/>
      <c r="B197" s="108"/>
      <c r="C197" s="95">
        <f t="shared" si="40"/>
        <v>0</v>
      </c>
      <c r="D197" s="95">
        <f t="shared" si="41"/>
        <v>0</v>
      </c>
      <c r="E197" s="95">
        <f t="shared" si="42"/>
        <v>0</v>
      </c>
      <c r="F197" s="679"/>
      <c r="G197" s="96"/>
      <c r="H197" s="96"/>
      <c r="I197" s="96"/>
      <c r="J197" s="96"/>
      <c r="K197" s="96"/>
      <c r="L197" s="96"/>
      <c r="M197" s="96"/>
      <c r="N197" s="96"/>
      <c r="O197" s="96"/>
      <c r="P197" s="96"/>
      <c r="Q197" s="96"/>
      <c r="R197" s="96"/>
      <c r="S197" s="96"/>
      <c r="T197" s="96"/>
      <c r="U197" s="96"/>
    </row>
    <row r="198" spans="1:21" s="650" customFormat="1" ht="20.100000000000001" customHeight="1">
      <c r="A198" s="108"/>
      <c r="B198" s="108"/>
      <c r="C198" s="95">
        <f t="shared" si="40"/>
        <v>0</v>
      </c>
      <c r="D198" s="95">
        <f t="shared" si="41"/>
        <v>0</v>
      </c>
      <c r="E198" s="95">
        <f t="shared" si="42"/>
        <v>0</v>
      </c>
      <c r="F198" s="679"/>
      <c r="G198" s="96"/>
      <c r="H198" s="96"/>
      <c r="I198" s="96"/>
      <c r="J198" s="96"/>
      <c r="K198" s="96"/>
      <c r="L198" s="96"/>
      <c r="M198" s="96"/>
      <c r="N198" s="96"/>
      <c r="O198" s="96"/>
      <c r="P198" s="96"/>
      <c r="Q198" s="96"/>
      <c r="R198" s="96"/>
      <c r="S198" s="96"/>
      <c r="T198" s="96"/>
      <c r="U198" s="96"/>
    </row>
    <row r="199" spans="1:21" s="650" customFormat="1" ht="20.100000000000001" customHeight="1">
      <c r="A199" s="108" t="s">
        <v>444</v>
      </c>
      <c r="B199" s="95">
        <f>SUM(B187:B198)</f>
        <v>0</v>
      </c>
      <c r="C199" s="95">
        <f>SUM(C187:C198)</f>
        <v>0</v>
      </c>
      <c r="D199" s="95">
        <f>SUM(D187:D198)</f>
        <v>0</v>
      </c>
      <c r="E199" s="95">
        <f>SUM(E187:E198)</f>
        <v>0</v>
      </c>
      <c r="F199" s="679"/>
      <c r="G199" s="96"/>
      <c r="H199" s="96"/>
      <c r="I199" s="96"/>
      <c r="J199" s="96"/>
      <c r="K199" s="96"/>
      <c r="L199" s="96"/>
      <c r="M199" s="96"/>
      <c r="N199" s="96"/>
      <c r="O199" s="96"/>
      <c r="P199" s="96"/>
      <c r="Q199" s="96"/>
      <c r="R199" s="96"/>
      <c r="S199" s="96"/>
      <c r="T199" s="96"/>
      <c r="U199" s="96"/>
    </row>
    <row r="200" spans="1:21" s="650" customFormat="1" ht="20.100000000000001" customHeight="1">
      <c r="A200" s="108" t="s">
        <v>445</v>
      </c>
      <c r="B200" s="108"/>
      <c r="C200" s="95">
        <f t="shared" ref="C200:C211" si="43">SUMIF($P:$P,A200,R:R)-SUMIF($P:$P,A200,S:S)</f>
        <v>0</v>
      </c>
      <c r="D200" s="95">
        <f t="shared" ref="D200:D211" si="44">SUMIF($H:$H,A200,J:J)-SUMIF($H:$H,A200,K:K)</f>
        <v>0</v>
      </c>
      <c r="E200" s="95">
        <f t="shared" ref="E200:E211" si="45">SUM(B200:D200)</f>
        <v>0</v>
      </c>
      <c r="F200" s="679"/>
      <c r="G200" s="96"/>
      <c r="H200" s="96"/>
      <c r="I200" s="96"/>
      <c r="J200" s="96"/>
      <c r="K200" s="96"/>
      <c r="L200" s="96"/>
      <c r="M200" s="96"/>
      <c r="N200" s="96"/>
      <c r="O200" s="96"/>
      <c r="P200" s="96"/>
      <c r="Q200" s="96"/>
      <c r="R200" s="96"/>
      <c r="S200" s="96"/>
      <c r="T200" s="96"/>
      <c r="U200" s="96"/>
    </row>
    <row r="201" spans="1:21" s="650" customFormat="1" ht="20.100000000000001" customHeight="1">
      <c r="A201" s="108" t="s">
        <v>446</v>
      </c>
      <c r="B201" s="108"/>
      <c r="C201" s="95">
        <f t="shared" si="43"/>
        <v>0</v>
      </c>
      <c r="D201" s="95">
        <f t="shared" si="44"/>
        <v>0</v>
      </c>
      <c r="E201" s="95">
        <f t="shared" si="45"/>
        <v>0</v>
      </c>
      <c r="F201" s="679"/>
      <c r="G201" s="96"/>
      <c r="H201" s="96"/>
      <c r="I201" s="96"/>
      <c r="J201" s="96"/>
      <c r="K201" s="96"/>
      <c r="L201" s="96"/>
      <c r="M201" s="96"/>
      <c r="N201" s="96"/>
      <c r="O201" s="96"/>
      <c r="P201" s="96"/>
      <c r="Q201" s="96"/>
      <c r="R201" s="96"/>
      <c r="S201" s="96"/>
      <c r="T201" s="96"/>
      <c r="U201" s="96"/>
    </row>
    <row r="202" spans="1:21" s="650" customFormat="1" ht="20.100000000000001" customHeight="1">
      <c r="A202" s="108" t="s">
        <v>447</v>
      </c>
      <c r="B202" s="108"/>
      <c r="C202" s="95">
        <f t="shared" si="43"/>
        <v>0</v>
      </c>
      <c r="D202" s="95">
        <f t="shared" si="44"/>
        <v>0</v>
      </c>
      <c r="E202" s="95">
        <f t="shared" si="45"/>
        <v>0</v>
      </c>
      <c r="F202" s="679"/>
      <c r="G202" s="96"/>
      <c r="H202" s="96"/>
      <c r="I202" s="96"/>
      <c r="J202" s="96"/>
      <c r="K202" s="96"/>
      <c r="L202" s="96"/>
      <c r="M202" s="96"/>
      <c r="N202" s="96"/>
      <c r="O202" s="96"/>
      <c r="P202" s="96"/>
      <c r="Q202" s="96"/>
      <c r="R202" s="96"/>
      <c r="S202" s="96"/>
      <c r="T202" s="96"/>
      <c r="U202" s="96"/>
    </row>
    <row r="203" spans="1:21" s="650" customFormat="1" ht="20.100000000000001" customHeight="1">
      <c r="A203" s="108" t="s">
        <v>448</v>
      </c>
      <c r="B203" s="108"/>
      <c r="C203" s="95">
        <f t="shared" si="43"/>
        <v>0</v>
      </c>
      <c r="D203" s="95">
        <f t="shared" si="44"/>
        <v>0</v>
      </c>
      <c r="E203" s="95">
        <f t="shared" si="45"/>
        <v>0</v>
      </c>
      <c r="F203" s="679"/>
      <c r="G203" s="96"/>
      <c r="H203" s="96"/>
      <c r="I203" s="96"/>
      <c r="J203" s="96"/>
      <c r="K203" s="96"/>
      <c r="L203" s="96"/>
      <c r="M203" s="96"/>
      <c r="N203" s="96"/>
      <c r="O203" s="96"/>
      <c r="P203" s="96"/>
      <c r="Q203" s="96"/>
      <c r="R203" s="96"/>
      <c r="S203" s="96"/>
      <c r="T203" s="96"/>
      <c r="U203" s="96"/>
    </row>
    <row r="204" spans="1:21" s="650" customFormat="1" ht="20.100000000000001" customHeight="1">
      <c r="A204" s="108" t="s">
        <v>449</v>
      </c>
      <c r="B204" s="108"/>
      <c r="C204" s="95">
        <f t="shared" si="43"/>
        <v>0</v>
      </c>
      <c r="D204" s="95">
        <f t="shared" si="44"/>
        <v>0</v>
      </c>
      <c r="E204" s="95">
        <f t="shared" si="45"/>
        <v>0</v>
      </c>
      <c r="F204" s="679"/>
      <c r="G204" s="96"/>
      <c r="H204" s="96"/>
      <c r="I204" s="96"/>
      <c r="J204" s="96"/>
      <c r="K204" s="96"/>
      <c r="L204" s="96"/>
      <c r="M204" s="96"/>
      <c r="N204" s="96"/>
      <c r="O204" s="96"/>
      <c r="P204" s="96"/>
      <c r="Q204" s="96"/>
      <c r="R204" s="96"/>
      <c r="S204" s="96"/>
      <c r="T204" s="96"/>
      <c r="U204" s="96"/>
    </row>
    <row r="205" spans="1:21" s="650" customFormat="1" ht="20.100000000000001" customHeight="1">
      <c r="A205" s="108" t="s">
        <v>450</v>
      </c>
      <c r="B205" s="108"/>
      <c r="C205" s="95">
        <f t="shared" si="43"/>
        <v>0</v>
      </c>
      <c r="D205" s="95">
        <f t="shared" si="44"/>
        <v>0</v>
      </c>
      <c r="E205" s="95">
        <f t="shared" si="45"/>
        <v>0</v>
      </c>
      <c r="F205" s="679"/>
      <c r="G205" s="96"/>
      <c r="H205" s="96"/>
      <c r="I205" s="96"/>
      <c r="J205" s="96"/>
      <c r="K205" s="96"/>
      <c r="L205" s="96"/>
      <c r="M205" s="96"/>
      <c r="N205" s="96"/>
      <c r="O205" s="96"/>
      <c r="P205" s="96"/>
      <c r="Q205" s="96"/>
      <c r="R205" s="96"/>
      <c r="S205" s="96"/>
      <c r="T205" s="96"/>
      <c r="U205" s="96"/>
    </row>
    <row r="206" spans="1:21" s="650" customFormat="1" ht="20.100000000000001" customHeight="1">
      <c r="A206" s="108" t="s">
        <v>451</v>
      </c>
      <c r="B206" s="108"/>
      <c r="C206" s="95">
        <f t="shared" si="43"/>
        <v>0</v>
      </c>
      <c r="D206" s="95">
        <f t="shared" si="44"/>
        <v>0</v>
      </c>
      <c r="E206" s="95">
        <f t="shared" si="45"/>
        <v>0</v>
      </c>
      <c r="F206" s="679"/>
      <c r="G206" s="96"/>
      <c r="H206" s="96"/>
      <c r="I206" s="96"/>
      <c r="J206" s="96"/>
      <c r="K206" s="96"/>
      <c r="L206" s="96"/>
      <c r="M206" s="96"/>
      <c r="N206" s="96"/>
      <c r="O206" s="96"/>
      <c r="P206" s="96"/>
      <c r="Q206" s="96"/>
      <c r="R206" s="96"/>
      <c r="S206" s="96"/>
      <c r="T206" s="96"/>
      <c r="U206" s="96"/>
    </row>
    <row r="207" spans="1:21" s="650" customFormat="1" ht="20.100000000000001" customHeight="1">
      <c r="A207" s="108"/>
      <c r="B207" s="108"/>
      <c r="C207" s="95">
        <f t="shared" si="43"/>
        <v>0</v>
      </c>
      <c r="D207" s="95">
        <f t="shared" si="44"/>
        <v>0</v>
      </c>
      <c r="E207" s="95">
        <f t="shared" si="45"/>
        <v>0</v>
      </c>
      <c r="F207" s="679"/>
      <c r="G207" s="96"/>
      <c r="H207" s="96"/>
      <c r="I207" s="96"/>
      <c r="J207" s="96"/>
      <c r="K207" s="96"/>
      <c r="L207" s="96"/>
      <c r="M207" s="96"/>
      <c r="N207" s="96"/>
      <c r="O207" s="96"/>
      <c r="P207" s="96"/>
      <c r="Q207" s="96"/>
      <c r="R207" s="96"/>
      <c r="S207" s="96"/>
      <c r="T207" s="96"/>
      <c r="U207" s="96"/>
    </row>
    <row r="208" spans="1:21" s="650" customFormat="1" ht="20.100000000000001" customHeight="1">
      <c r="A208" s="108"/>
      <c r="B208" s="108"/>
      <c r="C208" s="95">
        <f t="shared" si="43"/>
        <v>0</v>
      </c>
      <c r="D208" s="95">
        <f t="shared" si="44"/>
        <v>0</v>
      </c>
      <c r="E208" s="95">
        <f t="shared" si="45"/>
        <v>0</v>
      </c>
      <c r="F208" s="679"/>
      <c r="G208" s="96"/>
      <c r="H208" s="96"/>
      <c r="I208" s="96"/>
      <c r="J208" s="96"/>
      <c r="K208" s="96"/>
      <c r="L208" s="96"/>
      <c r="M208" s="96"/>
      <c r="N208" s="96"/>
      <c r="O208" s="96"/>
      <c r="P208" s="96"/>
      <c r="Q208" s="96"/>
      <c r="R208" s="96"/>
      <c r="S208" s="96"/>
      <c r="T208" s="96"/>
      <c r="U208" s="96"/>
    </row>
    <row r="209" spans="1:21" s="650" customFormat="1" ht="20.100000000000001" customHeight="1">
      <c r="A209" s="108"/>
      <c r="B209" s="108"/>
      <c r="C209" s="95">
        <f t="shared" si="43"/>
        <v>0</v>
      </c>
      <c r="D209" s="95">
        <f t="shared" si="44"/>
        <v>0</v>
      </c>
      <c r="E209" s="95">
        <f t="shared" si="45"/>
        <v>0</v>
      </c>
      <c r="F209" s="679"/>
      <c r="G209" s="96"/>
      <c r="H209" s="96"/>
      <c r="I209" s="96"/>
      <c r="J209" s="96"/>
      <c r="K209" s="96"/>
      <c r="L209" s="96"/>
      <c r="M209" s="96"/>
      <c r="N209" s="96"/>
      <c r="O209" s="96"/>
      <c r="P209" s="96"/>
      <c r="Q209" s="96"/>
      <c r="R209" s="96"/>
      <c r="S209" s="96"/>
      <c r="T209" s="96"/>
      <c r="U209" s="96"/>
    </row>
    <row r="210" spans="1:21" s="650" customFormat="1" ht="20.100000000000001" customHeight="1">
      <c r="A210" s="108"/>
      <c r="B210" s="108"/>
      <c r="C210" s="95">
        <f t="shared" si="43"/>
        <v>0</v>
      </c>
      <c r="D210" s="95">
        <f t="shared" si="44"/>
        <v>0</v>
      </c>
      <c r="E210" s="95">
        <f t="shared" si="45"/>
        <v>0</v>
      </c>
      <c r="F210" s="679"/>
      <c r="G210" s="96"/>
      <c r="H210" s="96"/>
      <c r="I210" s="96"/>
      <c r="J210" s="96"/>
      <c r="K210" s="96"/>
      <c r="L210" s="96"/>
      <c r="M210" s="96"/>
      <c r="N210" s="96"/>
      <c r="O210" s="96"/>
      <c r="P210" s="96"/>
      <c r="Q210" s="96"/>
      <c r="R210" s="96"/>
      <c r="S210" s="96"/>
      <c r="T210" s="96"/>
      <c r="U210" s="96"/>
    </row>
    <row r="211" spans="1:21" s="650" customFormat="1" ht="20.100000000000001" customHeight="1">
      <c r="A211" s="108"/>
      <c r="B211" s="108"/>
      <c r="C211" s="95">
        <f t="shared" si="43"/>
        <v>0</v>
      </c>
      <c r="D211" s="95">
        <f t="shared" si="44"/>
        <v>0</v>
      </c>
      <c r="E211" s="95">
        <f t="shared" si="45"/>
        <v>0</v>
      </c>
      <c r="F211" s="679"/>
      <c r="G211" s="96"/>
      <c r="H211" s="96"/>
      <c r="I211" s="96"/>
      <c r="J211" s="96"/>
      <c r="K211" s="96"/>
      <c r="L211" s="96"/>
      <c r="M211" s="96"/>
      <c r="N211" s="96"/>
      <c r="O211" s="96"/>
      <c r="P211" s="96"/>
      <c r="Q211" s="96"/>
      <c r="R211" s="96"/>
      <c r="S211" s="96"/>
      <c r="T211" s="96"/>
      <c r="U211" s="96"/>
    </row>
    <row r="212" spans="1:21" s="650" customFormat="1" ht="20.100000000000001" customHeight="1">
      <c r="A212" s="108" t="s">
        <v>452</v>
      </c>
      <c r="B212" s="95">
        <f>SUM(B201:B211)</f>
        <v>0</v>
      </c>
      <c r="C212" s="95">
        <f>SUM(C201:C211)</f>
        <v>0</v>
      </c>
      <c r="D212" s="95">
        <f>SUM(D201:D211)</f>
        <v>0</v>
      </c>
      <c r="E212" s="95">
        <f>SUM(E201:E211)</f>
        <v>0</v>
      </c>
      <c r="F212" s="679"/>
      <c r="G212" s="96"/>
      <c r="H212" s="96"/>
      <c r="I212" s="96"/>
      <c r="J212" s="96"/>
      <c r="K212" s="96"/>
      <c r="L212" s="96"/>
      <c r="M212" s="96"/>
      <c r="N212" s="96"/>
      <c r="O212" s="96"/>
      <c r="P212" s="96"/>
      <c r="Q212" s="96"/>
      <c r="R212" s="96"/>
      <c r="S212" s="96"/>
      <c r="T212" s="96"/>
      <c r="U212" s="96"/>
    </row>
    <row r="213" spans="1:21" s="650" customFormat="1" ht="20.100000000000001" customHeight="1">
      <c r="A213" s="108" t="s">
        <v>453</v>
      </c>
      <c r="B213" s="95">
        <f>B199+B212</f>
        <v>0</v>
      </c>
      <c r="C213" s="95">
        <f>C199+C212</f>
        <v>0</v>
      </c>
      <c r="D213" s="95">
        <f>D199+D212</f>
        <v>0</v>
      </c>
      <c r="E213" s="95">
        <f>E199+E212</f>
        <v>0</v>
      </c>
      <c r="F213" s="679"/>
      <c r="G213" s="96"/>
      <c r="H213" s="96"/>
      <c r="I213" s="96"/>
      <c r="J213" s="96"/>
      <c r="K213" s="96"/>
      <c r="L213" s="96"/>
      <c r="M213" s="96"/>
      <c r="N213" s="96"/>
      <c r="O213" s="96"/>
      <c r="P213" s="96"/>
      <c r="Q213" s="96"/>
      <c r="R213" s="96"/>
      <c r="S213" s="96"/>
      <c r="T213" s="96"/>
      <c r="U213" s="96"/>
    </row>
    <row r="214" spans="1:21" s="650" customFormat="1" ht="20.100000000000001" customHeight="1">
      <c r="A214" s="108" t="s">
        <v>454</v>
      </c>
      <c r="B214" s="108"/>
      <c r="C214" s="95">
        <f t="shared" ref="C214:C224" si="46">-SUMIF(A214,$P:$P,R:R)+SUMIF(A214,$P:$P,S:S)</f>
        <v>0</v>
      </c>
      <c r="D214" s="95">
        <f t="shared" ref="D214:D224" si="47">-SUMIF(A214,$H:$H,J:J)+SUMIF(A214,$H:$H,K:K)</f>
        <v>0</v>
      </c>
      <c r="E214" s="95">
        <f t="shared" ref="E214:E224" si="48">SUM(B214:D214)</f>
        <v>0</v>
      </c>
      <c r="F214" s="679"/>
      <c r="G214" s="96"/>
      <c r="H214" s="96"/>
      <c r="I214" s="96"/>
      <c r="J214" s="96"/>
      <c r="K214" s="96"/>
      <c r="L214" s="96"/>
      <c r="M214" s="96"/>
      <c r="N214" s="96"/>
      <c r="O214" s="96"/>
      <c r="P214" s="96"/>
      <c r="Q214" s="96"/>
      <c r="R214" s="96"/>
      <c r="S214" s="96"/>
      <c r="T214" s="96"/>
      <c r="U214" s="96"/>
    </row>
    <row r="215" spans="1:21" s="650" customFormat="1" ht="20.100000000000001" customHeight="1">
      <c r="A215" s="108" t="s">
        <v>455</v>
      </c>
      <c r="B215" s="108"/>
      <c r="C215" s="95">
        <f t="shared" si="46"/>
        <v>0</v>
      </c>
      <c r="D215" s="95">
        <f t="shared" si="47"/>
        <v>0</v>
      </c>
      <c r="E215" s="95">
        <f t="shared" si="48"/>
        <v>0</v>
      </c>
      <c r="F215" s="679"/>
      <c r="G215" s="96"/>
      <c r="H215" s="96"/>
      <c r="I215" s="96"/>
      <c r="J215" s="96"/>
      <c r="K215" s="96"/>
      <c r="L215" s="96"/>
      <c r="M215" s="96"/>
      <c r="N215" s="96"/>
      <c r="O215" s="96"/>
      <c r="P215" s="96"/>
      <c r="Q215" s="96"/>
      <c r="R215" s="96"/>
      <c r="S215" s="96"/>
      <c r="T215" s="96"/>
      <c r="U215" s="96"/>
    </row>
    <row r="216" spans="1:21" s="650" customFormat="1" ht="20.100000000000001" customHeight="1">
      <c r="A216" s="108" t="s">
        <v>456</v>
      </c>
      <c r="B216" s="108"/>
      <c r="C216" s="95">
        <f t="shared" si="46"/>
        <v>0</v>
      </c>
      <c r="D216" s="95">
        <f t="shared" si="47"/>
        <v>0</v>
      </c>
      <c r="E216" s="95">
        <f t="shared" si="48"/>
        <v>0</v>
      </c>
      <c r="F216" s="679"/>
      <c r="G216" s="96"/>
      <c r="H216" s="96"/>
      <c r="I216" s="96"/>
      <c r="J216" s="96"/>
      <c r="K216" s="96"/>
      <c r="L216" s="96"/>
      <c r="M216" s="96"/>
      <c r="N216" s="96"/>
      <c r="O216" s="96"/>
      <c r="P216" s="96"/>
      <c r="Q216" s="96"/>
      <c r="R216" s="96"/>
      <c r="S216" s="96"/>
      <c r="T216" s="96"/>
      <c r="U216" s="96"/>
    </row>
    <row r="217" spans="1:21" s="650" customFormat="1" ht="20.100000000000001" customHeight="1">
      <c r="A217" s="108" t="s">
        <v>457</v>
      </c>
      <c r="B217" s="108"/>
      <c r="C217" s="95">
        <f t="shared" si="46"/>
        <v>0</v>
      </c>
      <c r="D217" s="95">
        <f t="shared" si="47"/>
        <v>0</v>
      </c>
      <c r="E217" s="95">
        <f t="shared" si="48"/>
        <v>0</v>
      </c>
      <c r="F217" s="679"/>
      <c r="G217" s="96"/>
      <c r="H217" s="96"/>
      <c r="I217" s="96"/>
      <c r="J217" s="96"/>
      <c r="K217" s="96"/>
      <c r="L217" s="96"/>
      <c r="M217" s="96"/>
      <c r="N217" s="96"/>
      <c r="O217" s="96"/>
      <c r="P217" s="96"/>
      <c r="Q217" s="96"/>
      <c r="R217" s="96"/>
      <c r="S217" s="96"/>
      <c r="T217" s="96"/>
      <c r="U217" s="96"/>
    </row>
    <row r="218" spans="1:21" s="650" customFormat="1" ht="20.100000000000001" customHeight="1">
      <c r="A218" s="108" t="s">
        <v>458</v>
      </c>
      <c r="B218" s="108"/>
      <c r="C218" s="95">
        <f t="shared" si="46"/>
        <v>0</v>
      </c>
      <c r="D218" s="95">
        <f t="shared" si="47"/>
        <v>0</v>
      </c>
      <c r="E218" s="95">
        <f t="shared" si="48"/>
        <v>0</v>
      </c>
      <c r="F218" s="679"/>
      <c r="G218" s="96"/>
      <c r="H218" s="96"/>
      <c r="I218" s="96"/>
      <c r="J218" s="96"/>
      <c r="K218" s="96"/>
      <c r="L218" s="96"/>
      <c r="M218" s="96"/>
      <c r="N218" s="96"/>
      <c r="O218" s="96"/>
      <c r="P218" s="96"/>
      <c r="Q218" s="96"/>
      <c r="R218" s="96"/>
      <c r="S218" s="96"/>
      <c r="T218" s="96"/>
      <c r="U218" s="96"/>
    </row>
    <row r="219" spans="1:21" s="650" customFormat="1" ht="20.100000000000001" customHeight="1">
      <c r="A219" s="108"/>
      <c r="B219" s="108"/>
      <c r="C219" s="95">
        <f t="shared" si="46"/>
        <v>0</v>
      </c>
      <c r="D219" s="95">
        <f t="shared" si="47"/>
        <v>0</v>
      </c>
      <c r="E219" s="95">
        <f t="shared" si="48"/>
        <v>0</v>
      </c>
      <c r="F219" s="679"/>
      <c r="G219" s="96"/>
      <c r="H219" s="96"/>
      <c r="I219" s="96"/>
      <c r="J219" s="96"/>
      <c r="K219" s="96"/>
      <c r="L219" s="96"/>
      <c r="M219" s="96"/>
      <c r="N219" s="96"/>
      <c r="O219" s="96"/>
      <c r="P219" s="96"/>
      <c r="Q219" s="96"/>
      <c r="R219" s="96"/>
      <c r="S219" s="96"/>
      <c r="T219" s="96"/>
      <c r="U219" s="96"/>
    </row>
    <row r="220" spans="1:21" s="650" customFormat="1" ht="20.100000000000001" customHeight="1">
      <c r="A220" s="108"/>
      <c r="B220" s="108"/>
      <c r="C220" s="95">
        <f t="shared" si="46"/>
        <v>0</v>
      </c>
      <c r="D220" s="95">
        <f t="shared" si="47"/>
        <v>0</v>
      </c>
      <c r="E220" s="95">
        <f t="shared" si="48"/>
        <v>0</v>
      </c>
      <c r="F220" s="679"/>
      <c r="G220" s="96"/>
      <c r="H220" s="96"/>
      <c r="I220" s="96"/>
      <c r="J220" s="96"/>
      <c r="K220" s="96"/>
      <c r="L220" s="96"/>
      <c r="M220" s="96"/>
      <c r="N220" s="96"/>
      <c r="O220" s="96"/>
      <c r="P220" s="96"/>
      <c r="Q220" s="96"/>
      <c r="R220" s="96"/>
      <c r="S220" s="96"/>
      <c r="T220" s="96"/>
      <c r="U220" s="96"/>
    </row>
    <row r="221" spans="1:21" s="650" customFormat="1" ht="20.100000000000001" customHeight="1">
      <c r="A221" s="108"/>
      <c r="B221" s="108"/>
      <c r="C221" s="95">
        <f t="shared" si="46"/>
        <v>0</v>
      </c>
      <c r="D221" s="95">
        <f t="shared" si="47"/>
        <v>0</v>
      </c>
      <c r="E221" s="95">
        <f t="shared" si="48"/>
        <v>0</v>
      </c>
      <c r="F221" s="679"/>
      <c r="G221" s="96"/>
      <c r="H221" s="96"/>
      <c r="I221" s="96"/>
      <c r="J221" s="96"/>
      <c r="K221" s="96"/>
      <c r="L221" s="96"/>
      <c r="M221" s="96"/>
      <c r="N221" s="96"/>
      <c r="O221" s="96"/>
      <c r="P221" s="96"/>
      <c r="Q221" s="96"/>
      <c r="R221" s="96"/>
      <c r="S221" s="96"/>
      <c r="T221" s="96"/>
      <c r="U221" s="96"/>
    </row>
    <row r="222" spans="1:21" s="650" customFormat="1" ht="20.100000000000001" customHeight="1">
      <c r="A222" s="108"/>
      <c r="B222" s="108"/>
      <c r="C222" s="95">
        <f t="shared" si="46"/>
        <v>0</v>
      </c>
      <c r="D222" s="95">
        <f t="shared" si="47"/>
        <v>0</v>
      </c>
      <c r="E222" s="95">
        <f t="shared" si="48"/>
        <v>0</v>
      </c>
      <c r="F222" s="679"/>
      <c r="G222" s="96"/>
      <c r="H222" s="96"/>
      <c r="I222" s="96"/>
      <c r="J222" s="96"/>
      <c r="K222" s="96"/>
      <c r="L222" s="96"/>
      <c r="M222" s="96"/>
      <c r="N222" s="96"/>
      <c r="O222" s="96"/>
      <c r="P222" s="96"/>
      <c r="Q222" s="96"/>
      <c r="R222" s="96"/>
      <c r="S222" s="96"/>
      <c r="T222" s="96"/>
      <c r="U222" s="96"/>
    </row>
    <row r="223" spans="1:21" s="650" customFormat="1" ht="20.100000000000001" customHeight="1">
      <c r="A223" s="108"/>
      <c r="B223" s="108"/>
      <c r="C223" s="95">
        <f t="shared" si="46"/>
        <v>0</v>
      </c>
      <c r="D223" s="95">
        <f t="shared" si="47"/>
        <v>0</v>
      </c>
      <c r="E223" s="95">
        <f t="shared" si="48"/>
        <v>0</v>
      </c>
      <c r="F223" s="679"/>
      <c r="G223" s="96"/>
      <c r="H223" s="96"/>
      <c r="I223" s="96"/>
      <c r="J223" s="96"/>
      <c r="K223" s="96"/>
      <c r="L223" s="96"/>
      <c r="M223" s="96"/>
      <c r="N223" s="96"/>
      <c r="O223" s="96"/>
      <c r="P223" s="96"/>
      <c r="Q223" s="96"/>
      <c r="R223" s="96"/>
      <c r="S223" s="96"/>
      <c r="T223" s="96"/>
      <c r="U223" s="96"/>
    </row>
    <row r="224" spans="1:21" s="650" customFormat="1" ht="20.100000000000001" customHeight="1">
      <c r="A224" s="108"/>
      <c r="B224" s="108"/>
      <c r="C224" s="95">
        <f t="shared" si="46"/>
        <v>0</v>
      </c>
      <c r="D224" s="95">
        <f t="shared" si="47"/>
        <v>0</v>
      </c>
      <c r="E224" s="95">
        <f t="shared" si="48"/>
        <v>0</v>
      </c>
      <c r="F224" s="679"/>
      <c r="G224" s="96"/>
      <c r="H224" s="96"/>
      <c r="I224" s="96"/>
      <c r="J224" s="96"/>
      <c r="K224" s="96"/>
      <c r="L224" s="96"/>
      <c r="M224" s="96"/>
      <c r="N224" s="96"/>
      <c r="O224" s="96"/>
      <c r="P224" s="96"/>
      <c r="Q224" s="96"/>
      <c r="R224" s="96"/>
      <c r="S224" s="96"/>
      <c r="T224" s="96"/>
      <c r="U224" s="96"/>
    </row>
    <row r="225" spans="1:21" s="650" customFormat="1" ht="20.100000000000001" customHeight="1">
      <c r="A225" s="108" t="s">
        <v>459</v>
      </c>
      <c r="B225" s="95">
        <f>SUM(B214:B224)</f>
        <v>0</v>
      </c>
      <c r="C225" s="95">
        <f>SUM(C214:C224)</f>
        <v>0</v>
      </c>
      <c r="D225" s="95">
        <f>SUM(D214:D224)</f>
        <v>0</v>
      </c>
      <c r="E225" s="95">
        <f>SUM(E214:E224)</f>
        <v>0</v>
      </c>
      <c r="F225" s="679"/>
      <c r="G225" s="96"/>
      <c r="H225" s="96"/>
      <c r="I225" s="96"/>
      <c r="J225" s="96"/>
      <c r="K225" s="96"/>
      <c r="L225" s="96"/>
      <c r="M225" s="96"/>
      <c r="N225" s="96"/>
      <c r="O225" s="96"/>
      <c r="P225" s="96"/>
      <c r="Q225" s="96"/>
      <c r="R225" s="96"/>
      <c r="S225" s="96"/>
      <c r="T225" s="96"/>
      <c r="U225" s="96"/>
    </row>
    <row r="226" spans="1:21" s="650" customFormat="1" ht="20.100000000000001" customHeight="1">
      <c r="A226" s="108" t="s">
        <v>460</v>
      </c>
      <c r="B226" s="108"/>
      <c r="C226" s="95">
        <f t="shared" ref="C226:C232" si="49">-SUMIF(A226,$P:$P,R:R)+SUMIF(A226,$P:$P,S:S)</f>
        <v>0</v>
      </c>
      <c r="D226" s="95">
        <f t="shared" ref="D226:D247" si="50">-SUMIF(A226,$H:$H,J:J)+SUMIF(A226,$H:$H,K:K)</f>
        <v>0</v>
      </c>
      <c r="E226" s="95">
        <f t="shared" ref="E226:E232" si="51">SUM(B226:D226)</f>
        <v>0</v>
      </c>
      <c r="F226" s="679"/>
      <c r="G226" s="96"/>
      <c r="H226" s="96"/>
      <c r="I226" s="96"/>
      <c r="J226" s="96"/>
      <c r="K226" s="96"/>
      <c r="L226" s="96"/>
      <c r="M226" s="96"/>
      <c r="N226" s="96"/>
      <c r="O226" s="96"/>
      <c r="P226" s="96"/>
      <c r="Q226" s="96"/>
      <c r="R226" s="96"/>
      <c r="S226" s="96"/>
      <c r="T226" s="96"/>
      <c r="U226" s="96"/>
    </row>
    <row r="227" spans="1:21" s="650" customFormat="1" ht="20.100000000000001" customHeight="1">
      <c r="A227" s="108" t="s">
        <v>461</v>
      </c>
      <c r="B227" s="108"/>
      <c r="C227" s="95">
        <f t="shared" si="49"/>
        <v>0</v>
      </c>
      <c r="D227" s="95">
        <f t="shared" si="50"/>
        <v>0</v>
      </c>
      <c r="E227" s="95">
        <f t="shared" si="51"/>
        <v>0</v>
      </c>
      <c r="F227" s="679"/>
      <c r="G227" s="96"/>
      <c r="H227" s="96"/>
      <c r="I227" s="96"/>
      <c r="J227" s="96"/>
      <c r="K227" s="96"/>
      <c r="L227" s="96"/>
      <c r="M227" s="96"/>
      <c r="N227" s="96"/>
      <c r="O227" s="96"/>
      <c r="P227" s="96"/>
      <c r="Q227" s="96"/>
      <c r="R227" s="96"/>
      <c r="S227" s="96"/>
      <c r="T227" s="96"/>
      <c r="U227" s="96"/>
    </row>
    <row r="228" spans="1:21" s="650" customFormat="1" ht="20.100000000000001" customHeight="1">
      <c r="A228" s="108"/>
      <c r="B228" s="108"/>
      <c r="C228" s="95">
        <f t="shared" si="49"/>
        <v>0</v>
      </c>
      <c r="D228" s="95">
        <f t="shared" si="50"/>
        <v>0</v>
      </c>
      <c r="E228" s="95">
        <f t="shared" si="51"/>
        <v>0</v>
      </c>
      <c r="F228" s="679"/>
      <c r="G228" s="96"/>
      <c r="H228" s="96"/>
      <c r="I228" s="96"/>
      <c r="J228" s="96"/>
      <c r="K228" s="96"/>
      <c r="L228" s="96"/>
      <c r="M228" s="96"/>
      <c r="N228" s="96"/>
      <c r="O228" s="96"/>
      <c r="P228" s="96"/>
      <c r="Q228" s="96"/>
      <c r="R228" s="96"/>
      <c r="S228" s="96"/>
      <c r="T228" s="96"/>
      <c r="U228" s="96"/>
    </row>
    <row r="229" spans="1:21" s="650" customFormat="1" ht="20.100000000000001" customHeight="1">
      <c r="A229" s="108"/>
      <c r="B229" s="108"/>
      <c r="C229" s="95">
        <f t="shared" si="49"/>
        <v>0</v>
      </c>
      <c r="D229" s="95">
        <f t="shared" si="50"/>
        <v>0</v>
      </c>
      <c r="E229" s="95">
        <f t="shared" si="51"/>
        <v>0</v>
      </c>
      <c r="F229" s="679"/>
      <c r="G229" s="96"/>
      <c r="H229" s="96"/>
      <c r="I229" s="96"/>
      <c r="J229" s="96"/>
      <c r="K229" s="96"/>
      <c r="L229" s="96"/>
      <c r="M229" s="96"/>
      <c r="N229" s="96"/>
      <c r="O229" s="96"/>
      <c r="P229" s="96"/>
      <c r="Q229" s="96"/>
      <c r="R229" s="96"/>
      <c r="S229" s="96"/>
      <c r="T229" s="96"/>
      <c r="U229" s="96"/>
    </row>
    <row r="230" spans="1:21" s="650" customFormat="1" ht="20.100000000000001" customHeight="1">
      <c r="A230" s="108"/>
      <c r="B230" s="108"/>
      <c r="C230" s="95">
        <f t="shared" si="49"/>
        <v>0</v>
      </c>
      <c r="D230" s="95">
        <f t="shared" si="50"/>
        <v>0</v>
      </c>
      <c r="E230" s="95">
        <f t="shared" si="51"/>
        <v>0</v>
      </c>
      <c r="F230" s="679"/>
      <c r="G230" s="96"/>
      <c r="H230" s="96"/>
      <c r="I230" s="96"/>
      <c r="J230" s="96"/>
      <c r="K230" s="96"/>
      <c r="L230" s="96"/>
      <c r="M230" s="96"/>
      <c r="N230" s="96"/>
      <c r="O230" s="96"/>
      <c r="P230" s="96"/>
      <c r="Q230" s="96"/>
      <c r="R230" s="96"/>
      <c r="S230" s="96"/>
      <c r="T230" s="96"/>
      <c r="U230" s="96"/>
    </row>
    <row r="231" spans="1:21" s="650" customFormat="1" ht="20.100000000000001" customHeight="1">
      <c r="A231" s="108"/>
      <c r="B231" s="108"/>
      <c r="C231" s="95">
        <f t="shared" si="49"/>
        <v>0</v>
      </c>
      <c r="D231" s="95">
        <f t="shared" si="50"/>
        <v>0</v>
      </c>
      <c r="E231" s="95">
        <f t="shared" si="51"/>
        <v>0</v>
      </c>
      <c r="F231" s="679"/>
      <c r="G231" s="96"/>
      <c r="H231" s="96"/>
      <c r="I231" s="96"/>
      <c r="J231" s="96"/>
      <c r="K231" s="96"/>
      <c r="L231" s="96"/>
      <c r="M231" s="96"/>
      <c r="N231" s="96"/>
      <c r="O231" s="96"/>
      <c r="P231" s="96"/>
      <c r="Q231" s="96"/>
      <c r="R231" s="96"/>
      <c r="S231" s="96"/>
      <c r="T231" s="96"/>
      <c r="U231" s="96"/>
    </row>
    <row r="232" spans="1:21" s="650" customFormat="1" ht="20.100000000000001" customHeight="1">
      <c r="A232" s="108"/>
      <c r="B232" s="108"/>
      <c r="C232" s="95">
        <f t="shared" si="49"/>
        <v>0</v>
      </c>
      <c r="D232" s="95">
        <f t="shared" si="50"/>
        <v>0</v>
      </c>
      <c r="E232" s="95">
        <f t="shared" si="51"/>
        <v>0</v>
      </c>
      <c r="F232" s="679"/>
      <c r="G232" s="96"/>
      <c r="H232" s="96"/>
      <c r="I232" s="96"/>
      <c r="J232" s="96"/>
      <c r="K232" s="96"/>
      <c r="L232" s="96"/>
      <c r="M232" s="96"/>
      <c r="N232" s="96"/>
      <c r="O232" s="96"/>
      <c r="P232" s="96"/>
      <c r="Q232" s="96"/>
      <c r="R232" s="96"/>
      <c r="S232" s="96"/>
      <c r="T232" s="96"/>
      <c r="U232" s="96"/>
    </row>
    <row r="233" spans="1:21" s="650" customFormat="1" ht="20.100000000000001" customHeight="1">
      <c r="A233" s="108" t="s">
        <v>462</v>
      </c>
      <c r="B233" s="95">
        <f>SUM(B226:B232)</f>
        <v>0</v>
      </c>
      <c r="C233" s="95">
        <f>SUM(C226:C232)</f>
        <v>0</v>
      </c>
      <c r="D233" s="95">
        <f t="shared" si="50"/>
        <v>0</v>
      </c>
      <c r="E233" s="95">
        <f>SUM(E226:E232)</f>
        <v>0</v>
      </c>
      <c r="F233" s="679"/>
      <c r="G233" s="96"/>
      <c r="H233" s="96"/>
      <c r="I233" s="96"/>
      <c r="J233" s="96"/>
      <c r="K233" s="96"/>
      <c r="L233" s="96"/>
      <c r="M233" s="96"/>
      <c r="N233" s="96"/>
      <c r="O233" s="96"/>
      <c r="P233" s="96"/>
      <c r="Q233" s="96"/>
      <c r="R233" s="96"/>
      <c r="S233" s="96"/>
      <c r="T233" s="96"/>
      <c r="U233" s="96"/>
    </row>
    <row r="234" spans="1:21" s="650" customFormat="1" ht="20.100000000000001" customHeight="1">
      <c r="A234" s="108" t="s">
        <v>463</v>
      </c>
      <c r="B234" s="95">
        <f>B233+B225</f>
        <v>0</v>
      </c>
      <c r="C234" s="95">
        <f>C233+C225</f>
        <v>0</v>
      </c>
      <c r="D234" s="95">
        <f t="shared" si="50"/>
        <v>0</v>
      </c>
      <c r="E234" s="95">
        <f>E233+E225</f>
        <v>0</v>
      </c>
      <c r="F234" s="679"/>
      <c r="G234" s="96"/>
      <c r="H234" s="96"/>
      <c r="I234" s="96"/>
      <c r="J234" s="96"/>
      <c r="K234" s="96"/>
      <c r="L234" s="96"/>
      <c r="M234" s="96"/>
      <c r="N234" s="96"/>
      <c r="O234" s="96"/>
      <c r="P234" s="96"/>
      <c r="Q234" s="96"/>
      <c r="R234" s="96"/>
      <c r="S234" s="96"/>
      <c r="T234" s="96"/>
      <c r="U234" s="96"/>
    </row>
    <row r="235" spans="1:21" s="650" customFormat="1" ht="20.100000000000001" customHeight="1">
      <c r="A235" s="108" t="s">
        <v>464</v>
      </c>
      <c r="B235" s="108"/>
      <c r="C235" s="95">
        <f t="shared" ref="C235:C242" si="52">-SUMIF(A235,$P:$P,R:R)+SUMIF(A235,$P:$P,S:S)</f>
        <v>0</v>
      </c>
      <c r="D235" s="95">
        <f t="shared" si="50"/>
        <v>0</v>
      </c>
      <c r="E235" s="95">
        <f t="shared" ref="E235:E242" si="53">SUM(B235:D235)</f>
        <v>0</v>
      </c>
      <c r="F235" s="679"/>
      <c r="G235" s="96"/>
      <c r="H235" s="96"/>
      <c r="I235" s="96"/>
      <c r="J235" s="96"/>
      <c r="K235" s="96"/>
      <c r="L235" s="96"/>
      <c r="M235" s="96"/>
      <c r="N235" s="96"/>
      <c r="O235" s="96"/>
      <c r="P235" s="96"/>
      <c r="Q235" s="96"/>
      <c r="R235" s="96"/>
      <c r="S235" s="96"/>
      <c r="T235" s="96"/>
      <c r="U235" s="96"/>
    </row>
    <row r="236" spans="1:21" s="650" customFormat="1" ht="20.100000000000001" customHeight="1">
      <c r="A236" s="12" t="s">
        <v>465</v>
      </c>
      <c r="B236" s="108"/>
      <c r="C236" s="95">
        <f t="shared" si="52"/>
        <v>0</v>
      </c>
      <c r="D236" s="95">
        <f t="shared" si="50"/>
        <v>0</v>
      </c>
      <c r="E236" s="95">
        <f t="shared" si="53"/>
        <v>0</v>
      </c>
      <c r="F236" s="679"/>
      <c r="G236" s="96"/>
      <c r="H236" s="96"/>
      <c r="I236" s="96"/>
      <c r="J236" s="96"/>
      <c r="K236" s="96"/>
      <c r="L236" s="96"/>
      <c r="M236" s="96"/>
      <c r="N236" s="96"/>
      <c r="O236" s="96"/>
      <c r="P236" s="96"/>
      <c r="Q236" s="96"/>
      <c r="R236" s="96"/>
      <c r="S236" s="96"/>
      <c r="T236" s="96"/>
      <c r="U236" s="96"/>
    </row>
    <row r="237" spans="1:21" s="650" customFormat="1" ht="20.100000000000001" customHeight="1">
      <c r="A237" s="12" t="s">
        <v>466</v>
      </c>
      <c r="B237" s="108"/>
      <c r="C237" s="95">
        <f t="shared" si="52"/>
        <v>0</v>
      </c>
      <c r="D237" s="95">
        <f t="shared" si="50"/>
        <v>0</v>
      </c>
      <c r="E237" s="95">
        <f t="shared" si="53"/>
        <v>0</v>
      </c>
      <c r="F237" s="679"/>
      <c r="G237" s="96"/>
      <c r="H237" s="96"/>
      <c r="I237" s="96"/>
      <c r="J237" s="96"/>
      <c r="K237" s="96"/>
      <c r="L237" s="96"/>
      <c r="M237" s="96"/>
      <c r="N237" s="96"/>
      <c r="O237" s="96"/>
      <c r="P237" s="96"/>
      <c r="Q237" s="96"/>
      <c r="R237" s="96"/>
      <c r="S237" s="96"/>
      <c r="T237" s="96"/>
      <c r="U237" s="96"/>
    </row>
    <row r="238" spans="1:21" s="650" customFormat="1" ht="20.100000000000001" customHeight="1">
      <c r="A238" s="12" t="s">
        <v>467</v>
      </c>
      <c r="B238" s="108"/>
      <c r="C238" s="95">
        <f t="shared" si="52"/>
        <v>0</v>
      </c>
      <c r="D238" s="95">
        <f t="shared" si="50"/>
        <v>0</v>
      </c>
      <c r="E238" s="95">
        <f t="shared" si="53"/>
        <v>0</v>
      </c>
      <c r="F238" s="679"/>
      <c r="G238" s="96"/>
      <c r="H238" s="96"/>
      <c r="I238" s="96"/>
      <c r="J238" s="96"/>
      <c r="K238" s="96"/>
      <c r="L238" s="96"/>
      <c r="M238" s="96"/>
      <c r="N238" s="96"/>
      <c r="O238" s="96"/>
      <c r="P238" s="96"/>
      <c r="Q238" s="96"/>
      <c r="R238" s="96"/>
      <c r="S238" s="96"/>
      <c r="T238" s="96"/>
      <c r="U238" s="96"/>
    </row>
    <row r="239" spans="1:21" s="650" customFormat="1" ht="20.100000000000001" customHeight="1">
      <c r="A239" s="108" t="s">
        <v>468</v>
      </c>
      <c r="B239" s="108"/>
      <c r="C239" s="95">
        <f t="shared" si="52"/>
        <v>0</v>
      </c>
      <c r="D239" s="95">
        <f t="shared" si="50"/>
        <v>0</v>
      </c>
      <c r="E239" s="95">
        <f t="shared" si="53"/>
        <v>0</v>
      </c>
      <c r="F239" s="679"/>
      <c r="G239" s="96"/>
      <c r="H239" s="96"/>
      <c r="I239" s="96"/>
      <c r="J239" s="96"/>
      <c r="K239" s="96"/>
      <c r="L239" s="96"/>
      <c r="M239" s="96"/>
      <c r="N239" s="96"/>
      <c r="O239" s="96"/>
      <c r="P239" s="96"/>
      <c r="Q239" s="96"/>
      <c r="R239" s="96"/>
      <c r="S239" s="96"/>
      <c r="T239" s="96"/>
      <c r="U239" s="96"/>
    </row>
    <row r="240" spans="1:21" s="650" customFormat="1" ht="20.100000000000001" customHeight="1">
      <c r="A240" s="12" t="s">
        <v>469</v>
      </c>
      <c r="B240" s="108"/>
      <c r="C240" s="95">
        <f t="shared" si="52"/>
        <v>0</v>
      </c>
      <c r="D240" s="95">
        <f t="shared" si="50"/>
        <v>0</v>
      </c>
      <c r="E240" s="95">
        <f t="shared" si="53"/>
        <v>0</v>
      </c>
      <c r="F240" s="679"/>
      <c r="G240" s="96"/>
      <c r="H240" s="96"/>
      <c r="I240" s="96"/>
      <c r="J240" s="96"/>
      <c r="K240" s="96"/>
      <c r="L240" s="96"/>
      <c r="M240" s="96"/>
      <c r="N240" s="96"/>
      <c r="O240" s="96"/>
      <c r="P240" s="96"/>
      <c r="Q240" s="96"/>
      <c r="R240" s="96"/>
      <c r="S240" s="96"/>
      <c r="T240" s="96"/>
      <c r="U240" s="96"/>
    </row>
    <row r="241" spans="1:21" s="650" customFormat="1" ht="20.100000000000001" customHeight="1">
      <c r="A241" s="12" t="s">
        <v>470</v>
      </c>
      <c r="B241" s="108"/>
      <c r="C241" s="95">
        <f t="shared" si="52"/>
        <v>0</v>
      </c>
      <c r="D241" s="95">
        <f t="shared" si="50"/>
        <v>0</v>
      </c>
      <c r="E241" s="95">
        <f t="shared" si="53"/>
        <v>0</v>
      </c>
      <c r="F241" s="679"/>
      <c r="G241" s="96"/>
      <c r="H241" s="96"/>
      <c r="I241" s="96"/>
      <c r="J241" s="96"/>
      <c r="K241" s="96"/>
      <c r="L241" s="96"/>
      <c r="M241" s="96"/>
      <c r="N241" s="96"/>
      <c r="O241" s="96"/>
      <c r="P241" s="96"/>
      <c r="Q241" s="96"/>
      <c r="R241" s="96"/>
      <c r="S241" s="96"/>
      <c r="T241" s="96"/>
      <c r="U241" s="96"/>
    </row>
    <row r="242" spans="1:21" s="650" customFormat="1" ht="20.100000000000001" customHeight="1">
      <c r="A242" s="12" t="s">
        <v>471</v>
      </c>
      <c r="B242" s="108"/>
      <c r="C242" s="95">
        <f t="shared" si="52"/>
        <v>0</v>
      </c>
      <c r="D242" s="95">
        <f t="shared" si="50"/>
        <v>0</v>
      </c>
      <c r="E242" s="95">
        <f t="shared" si="53"/>
        <v>0</v>
      </c>
      <c r="F242" s="679"/>
      <c r="G242" s="96"/>
      <c r="H242" s="96"/>
      <c r="I242" s="96"/>
      <c r="J242" s="96"/>
      <c r="K242" s="96"/>
      <c r="L242" s="96"/>
      <c r="M242" s="96"/>
      <c r="N242" s="96"/>
      <c r="O242" s="96"/>
      <c r="P242" s="96"/>
      <c r="Q242" s="96"/>
      <c r="R242" s="96"/>
      <c r="S242" s="96"/>
      <c r="T242" s="96"/>
      <c r="U242" s="96"/>
    </row>
    <row r="243" spans="1:21" s="650" customFormat="1" ht="20.100000000000001" customHeight="1">
      <c r="A243" s="12" t="s">
        <v>472</v>
      </c>
      <c r="B243" s="95">
        <f>B276</f>
        <v>0</v>
      </c>
      <c r="C243" s="95">
        <f>C276</f>
        <v>0</v>
      </c>
      <c r="D243" s="95">
        <f t="shared" si="50"/>
        <v>0</v>
      </c>
      <c r="E243" s="95">
        <f>E276</f>
        <v>0</v>
      </c>
      <c r="F243" s="679"/>
      <c r="G243" s="96"/>
      <c r="H243" s="96"/>
      <c r="I243" s="96"/>
      <c r="J243" s="96"/>
      <c r="K243" s="96"/>
      <c r="L243" s="96"/>
      <c r="M243" s="96"/>
      <c r="N243" s="96"/>
      <c r="O243" s="96"/>
      <c r="P243" s="96"/>
      <c r="Q243" s="96"/>
      <c r="R243" s="96"/>
      <c r="S243" s="96"/>
      <c r="T243" s="96"/>
      <c r="U243" s="96"/>
    </row>
    <row r="244" spans="1:21" s="650" customFormat="1" ht="20.100000000000001" customHeight="1">
      <c r="A244" s="12"/>
      <c r="B244" s="108"/>
      <c r="C244" s="95"/>
      <c r="D244" s="95">
        <f t="shared" si="50"/>
        <v>0</v>
      </c>
      <c r="E244" s="95">
        <f t="shared" ref="E244:E245" si="54">E277</f>
        <v>0</v>
      </c>
      <c r="F244" s="679"/>
      <c r="G244" s="96"/>
      <c r="H244" s="96"/>
      <c r="I244" s="96"/>
      <c r="J244" s="96"/>
      <c r="K244" s="96"/>
      <c r="L244" s="96"/>
      <c r="M244" s="96"/>
      <c r="N244" s="96"/>
      <c r="O244" s="96"/>
      <c r="P244" s="96"/>
      <c r="Q244" s="96"/>
      <c r="R244" s="96"/>
      <c r="S244" s="96"/>
      <c r="T244" s="96"/>
      <c r="U244" s="96"/>
    </row>
    <row r="245" spans="1:21" s="650" customFormat="1" ht="20.100000000000001" customHeight="1">
      <c r="A245" s="108"/>
      <c r="B245" s="108"/>
      <c r="C245" s="95"/>
      <c r="D245" s="95">
        <f t="shared" si="50"/>
        <v>0</v>
      </c>
      <c r="E245" s="95">
        <f t="shared" si="54"/>
        <v>0</v>
      </c>
      <c r="F245" s="679"/>
      <c r="G245" s="96"/>
      <c r="H245" s="96"/>
      <c r="I245" s="96"/>
      <c r="J245" s="96"/>
      <c r="K245" s="96"/>
      <c r="L245" s="96"/>
      <c r="M245" s="96"/>
      <c r="N245" s="96"/>
      <c r="O245" s="96"/>
      <c r="P245" s="96"/>
      <c r="Q245" s="96"/>
      <c r="R245" s="96"/>
      <c r="S245" s="96"/>
      <c r="T245" s="96"/>
      <c r="U245" s="96"/>
    </row>
    <row r="246" spans="1:21" s="650" customFormat="1" ht="20.100000000000001" customHeight="1">
      <c r="A246" s="108" t="s">
        <v>473</v>
      </c>
      <c r="B246" s="95">
        <f>SUM(B235:B245)</f>
        <v>0</v>
      </c>
      <c r="C246" s="95">
        <f>SUM(C235:C245)</f>
        <v>0</v>
      </c>
      <c r="D246" s="95">
        <f t="shared" si="50"/>
        <v>0</v>
      </c>
      <c r="E246" s="95">
        <f>SUM(E235:E245)</f>
        <v>0</v>
      </c>
      <c r="F246" s="679"/>
      <c r="G246" s="96"/>
      <c r="H246" s="96"/>
      <c r="I246" s="96"/>
      <c r="J246" s="96"/>
      <c r="K246" s="96"/>
      <c r="L246" s="96"/>
      <c r="M246" s="96"/>
      <c r="N246" s="96"/>
      <c r="O246" s="96"/>
      <c r="P246" s="96"/>
      <c r="Q246" s="96"/>
      <c r="R246" s="96"/>
      <c r="S246" s="96"/>
      <c r="T246" s="96"/>
      <c r="U246" s="96"/>
    </row>
    <row r="247" spans="1:21" s="650" customFormat="1" ht="20.100000000000001" customHeight="1">
      <c r="A247" s="737" t="s">
        <v>474</v>
      </c>
      <c r="B247" s="738">
        <f>B213-B234-B246</f>
        <v>0</v>
      </c>
      <c r="C247" s="738">
        <f>C213-C234-C246</f>
        <v>0</v>
      </c>
      <c r="D247" s="95">
        <f t="shared" si="50"/>
        <v>0</v>
      </c>
      <c r="E247" s="738">
        <f>E213-E234-E246</f>
        <v>0</v>
      </c>
      <c r="F247" s="679"/>
      <c r="G247" s="96"/>
      <c r="H247" s="96"/>
      <c r="I247" s="96"/>
      <c r="J247" s="96"/>
      <c r="K247" s="96"/>
      <c r="L247" s="96"/>
      <c r="M247" s="96"/>
      <c r="N247" s="96"/>
      <c r="O247" s="96"/>
      <c r="P247" s="96"/>
      <c r="Q247" s="96"/>
      <c r="R247" s="96"/>
      <c r="S247" s="96"/>
      <c r="T247" s="96"/>
      <c r="U247" s="96"/>
    </row>
    <row r="248" spans="1:21" s="650" customFormat="1" ht="20.100000000000001" customHeight="1">
      <c r="A248" s="108"/>
      <c r="B248" s="108"/>
      <c r="C248" s="108"/>
      <c r="D248" s="108"/>
      <c r="E248" s="108"/>
      <c r="F248" s="679"/>
      <c r="G248" s="96"/>
      <c r="H248" s="96"/>
      <c r="I248" s="96"/>
      <c r="J248" s="96"/>
      <c r="K248" s="96"/>
      <c r="L248" s="96"/>
      <c r="M248" s="96"/>
      <c r="N248" s="96"/>
      <c r="O248" s="96"/>
      <c r="P248" s="96"/>
      <c r="Q248" s="96"/>
      <c r="R248" s="96"/>
      <c r="S248" s="96"/>
      <c r="T248" s="96"/>
      <c r="U248" s="96"/>
    </row>
    <row r="249" spans="1:21" ht="20.100000000000001" customHeight="1">
      <c r="A249" s="733" t="s">
        <v>438</v>
      </c>
      <c r="B249" s="739">
        <f>基础信息!B6</f>
        <v>0</v>
      </c>
      <c r="C249" s="740"/>
      <c r="D249" s="740"/>
      <c r="E249" s="741"/>
      <c r="F249" s="742"/>
      <c r="G249" s="743"/>
      <c r="H249" s="743"/>
      <c r="I249" s="743"/>
      <c r="J249" s="743"/>
      <c r="K249" s="743"/>
      <c r="L249" s="743"/>
      <c r="M249" s="743"/>
      <c r="N249" s="743"/>
      <c r="O249" s="743"/>
      <c r="P249" s="743"/>
      <c r="Q249" s="743"/>
      <c r="R249" s="743"/>
      <c r="S249" s="743"/>
      <c r="T249" s="743"/>
      <c r="U249" s="743"/>
    </row>
    <row r="250" spans="1:21" ht="20.100000000000001" customHeight="1">
      <c r="A250" s="6" t="s">
        <v>439</v>
      </c>
      <c r="B250" s="736">
        <f>基础信息!B9</f>
        <v>0</v>
      </c>
      <c r="C250" s="735"/>
      <c r="D250" s="735"/>
      <c r="F250" s="657"/>
      <c r="G250" s="658"/>
      <c r="H250" s="658"/>
      <c r="I250" s="599"/>
      <c r="J250" s="688" t="s">
        <v>351</v>
      </c>
      <c r="K250" s="658"/>
      <c r="L250" s="658"/>
      <c r="M250" s="658"/>
      <c r="N250" s="658"/>
      <c r="O250" s="658"/>
      <c r="P250" s="658"/>
      <c r="Q250" s="599"/>
      <c r="R250" s="688" t="s">
        <v>352</v>
      </c>
      <c r="S250" s="658"/>
      <c r="T250" s="658"/>
      <c r="U250" s="658"/>
    </row>
    <row r="251" spans="1:21" ht="20.100000000000001" customHeight="1">
      <c r="A251" s="6" t="s">
        <v>475</v>
      </c>
      <c r="B251" s="736"/>
      <c r="C251" s="744"/>
      <c r="D251" s="744"/>
      <c r="E251" s="744"/>
      <c r="F251" s="745"/>
      <c r="G251" s="600"/>
      <c r="H251" s="600"/>
      <c r="I251" s="600"/>
      <c r="J251" s="600"/>
      <c r="K251" s="600"/>
      <c r="L251" s="600"/>
      <c r="M251" s="600"/>
      <c r="N251" s="600"/>
      <c r="O251" s="600"/>
      <c r="P251" s="600"/>
      <c r="Q251" s="600"/>
      <c r="R251" s="600"/>
      <c r="S251" s="600"/>
      <c r="T251" s="600"/>
      <c r="U251" s="600"/>
    </row>
    <row r="252" spans="1:21" s="652" customFormat="1" ht="20.100000000000001" customHeight="1">
      <c r="A252" s="660" t="s">
        <v>137</v>
      </c>
      <c r="B252" s="20" t="s">
        <v>354</v>
      </c>
      <c r="C252" s="661" t="s">
        <v>355</v>
      </c>
      <c r="D252" s="661" t="s">
        <v>356</v>
      </c>
      <c r="E252" s="661" t="s">
        <v>357</v>
      </c>
      <c r="F252" s="746"/>
      <c r="G252" s="20"/>
      <c r="H252" s="20"/>
      <c r="I252" s="20"/>
      <c r="J252" s="20"/>
      <c r="K252" s="20"/>
      <c r="L252" s="20"/>
      <c r="M252" s="20"/>
      <c r="N252" s="20"/>
      <c r="O252" s="20"/>
      <c r="P252" s="20"/>
      <c r="Q252" s="20"/>
      <c r="R252" s="20"/>
      <c r="S252" s="20"/>
      <c r="T252" s="20"/>
      <c r="U252" s="20"/>
    </row>
    <row r="253" spans="1:21" s="650" customFormat="1" ht="20.100000000000001" customHeight="1">
      <c r="A253" s="108" t="s">
        <v>476</v>
      </c>
      <c r="B253" s="108"/>
      <c r="C253" s="95">
        <f>-SUMIF(A253,$P:$P,R:R)+SUMIF(A253,$P:$P,S:S)</f>
        <v>0</v>
      </c>
      <c r="D253" s="95">
        <f>-SUMIF(A253,$H:$H,J:J)+SUMIF(A253,$H:$H,K:K)</f>
        <v>0</v>
      </c>
      <c r="E253" s="95">
        <f t="shared" ref="E253:E260" si="55">SUM(B253:D253)</f>
        <v>0</v>
      </c>
      <c r="F253" s="679"/>
      <c r="G253" s="96"/>
      <c r="H253" s="96"/>
      <c r="I253" s="96"/>
      <c r="J253" s="96"/>
      <c r="K253" s="96"/>
      <c r="L253" s="96"/>
      <c r="M253" s="96"/>
      <c r="N253" s="96"/>
      <c r="O253" s="96"/>
      <c r="P253" s="96"/>
      <c r="Q253" s="96"/>
      <c r="R253" s="96"/>
      <c r="S253" s="96"/>
      <c r="T253" s="96"/>
      <c r="U253" s="96"/>
    </row>
    <row r="254" spans="1:21" s="650" customFormat="1" ht="20.100000000000001" customHeight="1">
      <c r="A254" s="108" t="s">
        <v>477</v>
      </c>
      <c r="B254" s="108"/>
      <c r="C254" s="95">
        <f>SUMIF($P:$P,A254,R:R)-SUMIF($P:$P,A254,S:S)</f>
        <v>0</v>
      </c>
      <c r="D254" s="95">
        <f>SUMIF($H:$H,A254,J:J)-SUMIF($H:$H,A254,K:K)</f>
        <v>0</v>
      </c>
      <c r="E254" s="95">
        <f t="shared" si="55"/>
        <v>0</v>
      </c>
      <c r="F254" s="679"/>
      <c r="G254" s="96"/>
      <c r="H254" s="96"/>
      <c r="I254" s="96"/>
      <c r="J254" s="96"/>
      <c r="K254" s="96"/>
      <c r="L254" s="96"/>
      <c r="M254" s="96"/>
      <c r="N254" s="96"/>
      <c r="O254" s="96"/>
      <c r="P254" s="96"/>
      <c r="Q254" s="96"/>
      <c r="R254" s="96"/>
      <c r="S254" s="96"/>
      <c r="T254" s="96"/>
      <c r="U254" s="96"/>
    </row>
    <row r="255" spans="1:21" s="650" customFormat="1" ht="20.100000000000001" customHeight="1">
      <c r="A255" s="108" t="s">
        <v>478</v>
      </c>
      <c r="B255" s="108"/>
      <c r="C255" s="95">
        <f>SUMIF($P:$P,A255,R:R)-SUMIF($P:$P,A255,S:S)</f>
        <v>0</v>
      </c>
      <c r="D255" s="95">
        <f>SUMIF($H:$H,A255,J:J)-SUMIF($H:$H,A255,K:K)</f>
        <v>0</v>
      </c>
      <c r="E255" s="95">
        <f t="shared" si="55"/>
        <v>0</v>
      </c>
      <c r="F255" s="679"/>
      <c r="G255" s="96"/>
      <c r="H255" s="96"/>
      <c r="I255" s="96"/>
      <c r="J255" s="96"/>
      <c r="K255" s="96"/>
      <c r="L255" s="96"/>
      <c r="M255" s="96"/>
      <c r="N255" s="96"/>
      <c r="O255" s="96"/>
      <c r="P255" s="96"/>
      <c r="Q255" s="96"/>
      <c r="R255" s="96"/>
      <c r="S255" s="96"/>
      <c r="T255" s="96"/>
      <c r="U255" s="96"/>
    </row>
    <row r="256" spans="1:21" s="650" customFormat="1" ht="20.100000000000001" customHeight="1">
      <c r="A256" s="108" t="s">
        <v>479</v>
      </c>
      <c r="B256" s="108"/>
      <c r="C256" s="95">
        <f>-SUMIF(A256,$P:$P,R:R)+SUMIF(A256,$P:$P,S:S)</f>
        <v>0</v>
      </c>
      <c r="D256" s="95">
        <f>-SUMIF(A256,$H:$H,J:J)+SUMIF(A256,$H:$H,K:K)</f>
        <v>0</v>
      </c>
      <c r="E256" s="95">
        <f t="shared" si="55"/>
        <v>0</v>
      </c>
      <c r="F256" s="679"/>
      <c r="G256" s="96"/>
      <c r="H256" s="96"/>
      <c r="I256" s="96"/>
      <c r="J256" s="96"/>
      <c r="K256" s="96"/>
      <c r="L256" s="96"/>
      <c r="M256" s="96"/>
      <c r="N256" s="96"/>
      <c r="O256" s="96"/>
      <c r="P256" s="96"/>
      <c r="Q256" s="96"/>
      <c r="R256" s="96"/>
      <c r="S256" s="96"/>
      <c r="T256" s="96"/>
      <c r="U256" s="96"/>
    </row>
    <row r="257" spans="1:21" s="650" customFormat="1" ht="20.100000000000001" customHeight="1">
      <c r="A257" s="108" t="s">
        <v>480</v>
      </c>
      <c r="B257" s="108"/>
      <c r="C257" s="95">
        <f>SUMIF($P:$P,A257,R:R)-SUMIF($P:$P,A257,S:S)</f>
        <v>0</v>
      </c>
      <c r="D257" s="95">
        <f>SUMIF($H:$H,A257,J:J)-SUMIF($H:$H,A257,K:K)</f>
        <v>0</v>
      </c>
      <c r="E257" s="95">
        <f t="shared" si="55"/>
        <v>0</v>
      </c>
      <c r="F257" s="679"/>
      <c r="G257" s="96"/>
      <c r="H257" s="96"/>
      <c r="I257" s="96"/>
      <c r="J257" s="96"/>
      <c r="K257" s="96"/>
      <c r="L257" s="96"/>
      <c r="M257" s="96"/>
      <c r="N257" s="96"/>
      <c r="O257" s="96"/>
      <c r="P257" s="96"/>
      <c r="Q257" s="96"/>
      <c r="R257" s="96"/>
      <c r="S257" s="96"/>
      <c r="T257" s="96"/>
      <c r="U257" s="96"/>
    </row>
    <row r="258" spans="1:21" s="650" customFormat="1" ht="20.100000000000001" customHeight="1">
      <c r="A258" s="108" t="s">
        <v>481</v>
      </c>
      <c r="B258" s="108"/>
      <c r="C258" s="95">
        <f>SUMIF($P:$P,A258,R:R)-SUMIF($P:$P,A258,S:S)</f>
        <v>0</v>
      </c>
      <c r="D258" s="95">
        <f>SUMIF($H:$H,A258,J:J)-SUMIF($H:$H,A258,K:K)</f>
        <v>0</v>
      </c>
      <c r="E258" s="95">
        <f t="shared" si="55"/>
        <v>0</v>
      </c>
      <c r="F258" s="679"/>
      <c r="G258" s="96"/>
      <c r="H258" s="96"/>
      <c r="I258" s="96"/>
      <c r="J258" s="96"/>
      <c r="K258" s="96"/>
      <c r="L258" s="96"/>
      <c r="M258" s="96"/>
      <c r="N258" s="96"/>
      <c r="O258" s="96"/>
      <c r="P258" s="96"/>
      <c r="Q258" s="96"/>
      <c r="R258" s="96"/>
      <c r="S258" s="96"/>
      <c r="T258" s="96"/>
      <c r="U258" s="96"/>
    </row>
    <row r="259" spans="1:21" s="650" customFormat="1" ht="20.100000000000001" customHeight="1">
      <c r="A259" s="108" t="s">
        <v>482</v>
      </c>
      <c r="B259" s="108"/>
      <c r="C259" s="95">
        <f>SUMIF($P:$P,A259,R:R)-SUMIF($P:$P,A259,S:S)</f>
        <v>0</v>
      </c>
      <c r="D259" s="95">
        <f>SUMIF($H:$H,A259,J:J)-SUMIF($H:$H,A259,K:K)</f>
        <v>0</v>
      </c>
      <c r="E259" s="95">
        <f t="shared" si="55"/>
        <v>0</v>
      </c>
      <c r="F259" s="679"/>
      <c r="G259" s="96"/>
      <c r="H259" s="96"/>
      <c r="I259" s="96"/>
      <c r="J259" s="96"/>
      <c r="K259" s="96"/>
      <c r="L259" s="96"/>
      <c r="M259" s="96"/>
      <c r="N259" s="96"/>
      <c r="O259" s="96"/>
      <c r="P259" s="96"/>
      <c r="Q259" s="96"/>
      <c r="R259" s="96"/>
      <c r="S259" s="96"/>
      <c r="T259" s="96"/>
      <c r="U259" s="96"/>
    </row>
    <row r="260" spans="1:21" s="650" customFormat="1" ht="20.100000000000001" customHeight="1">
      <c r="A260" s="108" t="s">
        <v>483</v>
      </c>
      <c r="B260" s="108"/>
      <c r="C260" s="95">
        <f>-SUMIF(A260,$P:$P,R:R)+SUMIF(A260,$P:$P,S:S)</f>
        <v>0</v>
      </c>
      <c r="D260" s="95">
        <f>-SUMIF(A260,$H:$H,J:J)+SUMIF(A260,$H:$H,K:K)</f>
        <v>0</v>
      </c>
      <c r="E260" s="95">
        <f t="shared" si="55"/>
        <v>0</v>
      </c>
      <c r="F260" s="679"/>
      <c r="G260" s="96"/>
      <c r="H260" s="96"/>
      <c r="I260" s="96"/>
      <c r="J260" s="96"/>
      <c r="K260" s="96"/>
      <c r="L260" s="96"/>
      <c r="M260" s="96"/>
      <c r="N260" s="96"/>
      <c r="O260" s="96"/>
      <c r="P260" s="96"/>
      <c r="Q260" s="96"/>
      <c r="R260" s="96"/>
      <c r="S260" s="96"/>
      <c r="T260" s="96"/>
      <c r="U260" s="96"/>
    </row>
    <row r="261" spans="1:21" s="650" customFormat="1" ht="20.100000000000001" customHeight="1">
      <c r="A261" s="108"/>
      <c r="B261" s="108"/>
      <c r="C261" s="108"/>
      <c r="D261" s="108"/>
      <c r="E261" s="108"/>
      <c r="F261" s="679"/>
      <c r="G261" s="96"/>
      <c r="H261" s="96"/>
      <c r="I261" s="96"/>
      <c r="J261" s="96"/>
      <c r="K261" s="96"/>
      <c r="L261" s="96"/>
      <c r="M261" s="96"/>
      <c r="N261" s="96"/>
      <c r="O261" s="96"/>
      <c r="P261" s="96"/>
      <c r="Q261" s="96"/>
      <c r="R261" s="96"/>
      <c r="S261" s="96"/>
      <c r="T261" s="96"/>
      <c r="U261" s="96"/>
    </row>
    <row r="262" spans="1:21" s="650" customFormat="1" ht="20.100000000000001" customHeight="1">
      <c r="A262" s="108"/>
      <c r="B262" s="108"/>
      <c r="C262" s="108"/>
      <c r="D262" s="108"/>
      <c r="E262" s="108"/>
      <c r="F262" s="679"/>
      <c r="G262" s="96"/>
      <c r="H262" s="96"/>
      <c r="I262" s="96"/>
      <c r="J262" s="96"/>
      <c r="K262" s="96"/>
      <c r="L262" s="96"/>
      <c r="M262" s="96"/>
      <c r="N262" s="96"/>
      <c r="O262" s="96"/>
      <c r="P262" s="96"/>
      <c r="Q262" s="96"/>
      <c r="R262" s="96"/>
      <c r="S262" s="96"/>
      <c r="T262" s="96"/>
      <c r="U262" s="96"/>
    </row>
    <row r="263" spans="1:21" s="650" customFormat="1" ht="20.100000000000001" customHeight="1">
      <c r="A263" s="108"/>
      <c r="B263" s="108"/>
      <c r="C263" s="108"/>
      <c r="D263" s="108"/>
      <c r="E263" s="108"/>
      <c r="F263" s="679"/>
      <c r="G263" s="96"/>
      <c r="H263" s="96"/>
      <c r="I263" s="96"/>
      <c r="J263" s="96"/>
      <c r="K263" s="96"/>
      <c r="L263" s="96"/>
      <c r="M263" s="96"/>
      <c r="N263" s="96"/>
      <c r="O263" s="96"/>
      <c r="P263" s="96"/>
      <c r="Q263" s="96"/>
      <c r="R263" s="96"/>
      <c r="S263" s="96"/>
      <c r="T263" s="96"/>
      <c r="U263" s="96"/>
    </row>
    <row r="264" spans="1:21" s="650" customFormat="1" ht="20.100000000000001" customHeight="1">
      <c r="A264" s="108"/>
      <c r="B264" s="108"/>
      <c r="C264" s="108"/>
      <c r="D264" s="108"/>
      <c r="E264" s="108"/>
      <c r="F264" s="679"/>
      <c r="G264" s="96"/>
      <c r="H264" s="96"/>
      <c r="I264" s="96"/>
      <c r="J264" s="96"/>
      <c r="K264" s="96"/>
      <c r="L264" s="96"/>
      <c r="M264" s="96"/>
      <c r="N264" s="96"/>
      <c r="O264" s="96"/>
      <c r="P264" s="96"/>
      <c r="Q264" s="96"/>
      <c r="R264" s="96"/>
      <c r="S264" s="96"/>
      <c r="T264" s="96"/>
      <c r="U264" s="96"/>
    </row>
    <row r="265" spans="1:21" s="650" customFormat="1" ht="20.100000000000001" customHeight="1">
      <c r="A265" s="108" t="s">
        <v>484</v>
      </c>
      <c r="B265" s="95">
        <f>B253-B254-B255+B256-B257-B258-B259+B260</f>
        <v>0</v>
      </c>
      <c r="C265" s="95">
        <f>C253-C254-C255+C256-C257-C258-C259+C260</f>
        <v>0</v>
      </c>
      <c r="D265" s="95">
        <f>D253-D254-D255+D256-D257-D258-D259+D260</f>
        <v>0</v>
      </c>
      <c r="E265" s="95">
        <f>E253-E254-E255+E256-E257-E258-E259+E260</f>
        <v>0</v>
      </c>
      <c r="F265" s="679"/>
      <c r="G265" s="96"/>
      <c r="H265" s="96"/>
      <c r="I265" s="96"/>
      <c r="J265" s="96"/>
      <c r="K265" s="96"/>
      <c r="L265" s="96"/>
      <c r="M265" s="96"/>
      <c r="N265" s="96"/>
      <c r="O265" s="96"/>
      <c r="P265" s="96"/>
      <c r="Q265" s="96"/>
      <c r="R265" s="96"/>
      <c r="S265" s="96"/>
      <c r="T265" s="96"/>
      <c r="U265" s="96"/>
    </row>
    <row r="266" spans="1:21" s="650" customFormat="1" ht="20.100000000000001" customHeight="1">
      <c r="A266" s="108" t="s">
        <v>485</v>
      </c>
      <c r="B266" s="108"/>
      <c r="C266" s="95">
        <f>SUMIF($P:$P,A266,R:R)-SUMIF($P:$P,A266,S:S)</f>
        <v>0</v>
      </c>
      <c r="D266" s="95">
        <f>SUMIF($H:$H,A266,J:J)-SUMIF($H:$H,A266,K:K)</f>
        <v>0</v>
      </c>
      <c r="E266" s="95">
        <f>SUM(B266:D266)</f>
        <v>0</v>
      </c>
      <c r="F266" s="679"/>
      <c r="G266" s="96"/>
      <c r="H266" s="96"/>
      <c r="I266" s="96"/>
      <c r="J266" s="96"/>
      <c r="K266" s="96"/>
      <c r="L266" s="96"/>
      <c r="M266" s="96"/>
      <c r="N266" s="96"/>
      <c r="O266" s="96"/>
      <c r="P266" s="96"/>
      <c r="Q266" s="96"/>
      <c r="R266" s="96"/>
      <c r="S266" s="96"/>
      <c r="T266" s="96"/>
      <c r="U266" s="96"/>
    </row>
    <row r="267" spans="1:21" s="650" customFormat="1" ht="20.100000000000001" customHeight="1">
      <c r="A267" s="108" t="s">
        <v>486</v>
      </c>
      <c r="B267" s="95">
        <f>B265-B266</f>
        <v>0</v>
      </c>
      <c r="C267" s="95">
        <f>C265-C266</f>
        <v>0</v>
      </c>
      <c r="D267" s="95">
        <f>D265-D266</f>
        <v>0</v>
      </c>
      <c r="E267" s="95">
        <f>E265-E266</f>
        <v>0</v>
      </c>
      <c r="F267" s="679"/>
      <c r="G267" s="96"/>
      <c r="H267" s="96"/>
      <c r="I267" s="96"/>
      <c r="J267" s="96"/>
      <c r="K267" s="96"/>
      <c r="L267" s="96"/>
      <c r="M267" s="96"/>
      <c r="N267" s="96"/>
      <c r="O267" s="96"/>
      <c r="P267" s="96"/>
      <c r="Q267" s="96"/>
      <c r="R267" s="96"/>
      <c r="S267" s="96"/>
      <c r="T267" s="96"/>
      <c r="U267" s="96"/>
    </row>
    <row r="268" spans="1:21" s="650" customFormat="1" ht="20.100000000000001" customHeight="1">
      <c r="A268" s="108"/>
      <c r="B268" s="108"/>
      <c r="C268" s="108"/>
      <c r="D268" s="108"/>
      <c r="E268" s="108"/>
      <c r="F268" s="679"/>
      <c r="G268" s="96"/>
      <c r="H268" s="96"/>
      <c r="I268" s="96"/>
      <c r="J268" s="96"/>
      <c r="K268" s="96"/>
      <c r="L268" s="96"/>
      <c r="M268" s="96"/>
      <c r="N268" s="96"/>
      <c r="O268" s="96"/>
      <c r="P268" s="96"/>
      <c r="Q268" s="96"/>
      <c r="R268" s="96"/>
      <c r="S268" s="96"/>
      <c r="T268" s="96"/>
      <c r="U268" s="96"/>
    </row>
    <row r="269" spans="1:21" s="650" customFormat="1" ht="20.100000000000001" customHeight="1">
      <c r="A269" s="108"/>
      <c r="B269" s="108"/>
      <c r="C269" s="108"/>
      <c r="D269" s="108"/>
      <c r="E269" s="108"/>
      <c r="F269" s="679"/>
      <c r="G269" s="96"/>
      <c r="H269" s="96"/>
      <c r="I269" s="96"/>
      <c r="J269" s="96"/>
      <c r="K269" s="96"/>
      <c r="L269" s="96"/>
      <c r="M269" s="96"/>
      <c r="N269" s="96"/>
      <c r="O269" s="96"/>
      <c r="P269" s="96"/>
      <c r="Q269" s="96"/>
      <c r="R269" s="96"/>
      <c r="S269" s="96"/>
      <c r="T269" s="96"/>
      <c r="U269" s="96"/>
    </row>
    <row r="270" spans="1:21" s="650" customFormat="1" ht="20.100000000000001" customHeight="1">
      <c r="A270" s="108"/>
      <c r="B270" s="108"/>
      <c r="C270" s="108"/>
      <c r="D270" s="108"/>
      <c r="E270" s="108"/>
      <c r="F270" s="679"/>
      <c r="G270" s="96"/>
      <c r="H270" s="96"/>
      <c r="I270" s="96"/>
      <c r="J270" s="96"/>
      <c r="K270" s="96"/>
      <c r="L270" s="96"/>
      <c r="M270" s="96"/>
      <c r="N270" s="96"/>
      <c r="O270" s="96"/>
      <c r="P270" s="96"/>
      <c r="Q270" s="96"/>
      <c r="R270" s="96"/>
      <c r="S270" s="96"/>
      <c r="T270" s="96"/>
      <c r="U270" s="96"/>
    </row>
    <row r="271" spans="1:21" s="650" customFormat="1" ht="20.100000000000001" customHeight="1">
      <c r="A271" s="108"/>
      <c r="B271" s="108"/>
      <c r="C271" s="108"/>
      <c r="D271" s="108"/>
      <c r="E271" s="108"/>
      <c r="F271" s="679"/>
      <c r="G271" s="96"/>
      <c r="H271" s="96"/>
      <c r="I271" s="96"/>
      <c r="J271" s="96"/>
      <c r="K271" s="96"/>
      <c r="L271" s="96"/>
      <c r="M271" s="96"/>
      <c r="N271" s="96"/>
      <c r="O271" s="96"/>
      <c r="P271" s="96"/>
      <c r="Q271" s="96"/>
      <c r="R271" s="96"/>
      <c r="S271" s="96"/>
      <c r="T271" s="96"/>
      <c r="U271" s="96"/>
    </row>
    <row r="272" spans="1:21" s="650" customFormat="1" ht="20.100000000000001" customHeight="1">
      <c r="A272" s="108" t="s">
        <v>487</v>
      </c>
      <c r="B272" s="108"/>
      <c r="C272" s="95">
        <f>-SUMIF($P:$P,A272,R:R)+SUMIF($P:$P,A272,S:S)</f>
        <v>0</v>
      </c>
      <c r="D272" s="95">
        <f>-SUMIF($H:$H,A272,J:J)+SUMIF($H:$H,A272,K:K)</f>
        <v>0</v>
      </c>
      <c r="E272" s="95">
        <f>SUM(B272:D272)</f>
        <v>0</v>
      </c>
      <c r="F272" s="679"/>
      <c r="G272" s="96"/>
      <c r="H272" s="96"/>
      <c r="I272" s="96"/>
      <c r="J272" s="96"/>
      <c r="K272" s="96"/>
      <c r="L272" s="96"/>
      <c r="M272" s="96"/>
      <c r="N272" s="96"/>
      <c r="O272" s="96"/>
      <c r="P272" s="96"/>
      <c r="Q272" s="96"/>
      <c r="R272" s="96"/>
      <c r="S272" s="96"/>
      <c r="T272" s="96"/>
      <c r="U272" s="96"/>
    </row>
    <row r="273" spans="1:21" s="650" customFormat="1" ht="20.100000000000001" customHeight="1">
      <c r="A273" s="108" t="s">
        <v>488</v>
      </c>
      <c r="B273" s="108"/>
      <c r="C273" s="95">
        <f>SUMIF($P:$P,A273,R:R)-SUMIF($P:$P,A273,S:S)</f>
        <v>0</v>
      </c>
      <c r="D273" s="95">
        <f>SUMIF($H:$H,A273,J:J)-SUMIF($H:$H,A273,K:K)</f>
        <v>0</v>
      </c>
      <c r="E273" s="95">
        <f>SUM(B273:D273)</f>
        <v>0</v>
      </c>
      <c r="F273" s="679"/>
      <c r="G273" s="96"/>
      <c r="H273" s="96"/>
      <c r="I273" s="96"/>
      <c r="J273" s="96"/>
      <c r="K273" s="96"/>
      <c r="L273" s="96"/>
      <c r="M273" s="96"/>
      <c r="N273" s="96"/>
      <c r="O273" s="96"/>
      <c r="P273" s="96"/>
      <c r="Q273" s="96"/>
      <c r="R273" s="96"/>
      <c r="S273" s="96"/>
      <c r="T273" s="96"/>
      <c r="U273" s="96"/>
    </row>
    <row r="274" spans="1:21" s="650" customFormat="1" ht="20.100000000000001" customHeight="1">
      <c r="A274" s="108"/>
      <c r="B274" s="108"/>
      <c r="C274" s="95">
        <f>SUMIF($P:$P,A274,R:R)-SUMIF($P:$P,A274,S:S)</f>
        <v>0</v>
      </c>
      <c r="D274" s="95">
        <f>SUMIF($H:$H,A274,J:J)-SUMIF($H:$H,A274,K:K)</f>
        <v>0</v>
      </c>
      <c r="E274" s="95">
        <f>SUM(B274:D274)</f>
        <v>0</v>
      </c>
      <c r="F274" s="679"/>
      <c r="G274" s="96"/>
      <c r="H274" s="96"/>
      <c r="I274" s="96"/>
      <c r="J274" s="96"/>
      <c r="K274" s="96"/>
      <c r="L274" s="96"/>
      <c r="M274" s="96"/>
      <c r="N274" s="96"/>
      <c r="O274" s="96"/>
      <c r="P274" s="96"/>
      <c r="Q274" s="96"/>
      <c r="R274" s="96"/>
      <c r="S274" s="96"/>
      <c r="T274" s="96"/>
      <c r="U274" s="96"/>
    </row>
    <row r="275" spans="1:21" s="650" customFormat="1" ht="20.100000000000001" customHeight="1">
      <c r="A275" s="108"/>
      <c r="B275" s="108"/>
      <c r="C275" s="95">
        <f>SUMIF($P:$P,A275,R:R)-SUMIF($P:$P,A275,S:S)</f>
        <v>0</v>
      </c>
      <c r="D275" s="95">
        <f>SUMIF($H:$H,A275,J:J)-SUMIF($H:$H,A275,K:K)</f>
        <v>0</v>
      </c>
      <c r="E275" s="95">
        <f>SUM(B275:D275)</f>
        <v>0</v>
      </c>
      <c r="F275" s="679"/>
      <c r="G275" s="96"/>
      <c r="H275" s="96"/>
      <c r="I275" s="96"/>
      <c r="J275" s="96"/>
      <c r="K275" s="96"/>
      <c r="L275" s="96"/>
      <c r="M275" s="96"/>
      <c r="N275" s="96"/>
      <c r="O275" s="96"/>
      <c r="P275" s="96"/>
      <c r="Q275" s="96"/>
      <c r="R275" s="96"/>
      <c r="S275" s="96"/>
      <c r="T275" s="96"/>
      <c r="U275" s="96"/>
    </row>
    <row r="276" spans="1:21" s="650" customFormat="1" ht="20.100000000000001" customHeight="1">
      <c r="A276" s="108" t="s">
        <v>472</v>
      </c>
      <c r="B276" s="95">
        <f>B267-B268-B269-B270-B271+B272-B273-B274-B275</f>
        <v>0</v>
      </c>
      <c r="C276" s="95">
        <f>C267-C268-C269-C270-C271+C272-C273-C274-C275</f>
        <v>0</v>
      </c>
      <c r="D276" s="95">
        <f>D267-D268-D269-D270-D271+D272-D273-D274-D275</f>
        <v>0</v>
      </c>
      <c r="E276" s="95">
        <f>E267-E268-E269-E270-E271+E272-E273-E274-E275</f>
        <v>0</v>
      </c>
      <c r="F276" s="679"/>
      <c r="G276" s="96"/>
      <c r="H276" s="96"/>
      <c r="I276" s="96"/>
      <c r="J276" s="96"/>
      <c r="K276" s="96"/>
      <c r="L276" s="96"/>
      <c r="M276" s="96"/>
      <c r="N276" s="96"/>
      <c r="O276" s="96"/>
      <c r="P276" s="96"/>
      <c r="Q276" s="96"/>
      <c r="R276" s="96"/>
      <c r="S276" s="96"/>
      <c r="T276" s="96"/>
      <c r="U276" s="96"/>
    </row>
  </sheetData>
  <sheetProtection insertColumns="0" insertRows="0" deleteColumns="0" deleteRows="0" sort="0"/>
  <phoneticPr fontId="78" type="noConversion"/>
  <dataValidations count="1">
    <dataValidation type="list" allowBlank="1" showInputMessage="1" showErrorMessage="1" sqref="H1:H5 P1:P5 P8:P65563 H8:H65563">
      <formula1>$A:$A</formula1>
    </dataValidation>
  </dataValidations>
  <hyperlinks>
    <hyperlink ref="G1" location="目录!A1" display="BACK"/>
  </hyperlinks>
  <printOptions horizontalCentered="1"/>
  <pageMargins left="0.74791666666666701" right="0.235416666666667" top="0.31388888888888899" bottom="0.39305555555555599" header="0.51180555555555596" footer="0.51180555555555596"/>
  <pageSetup paperSize="9" scale="57" fitToHeight="24" orientation="portrait" blackAndWhite="1" r:id="rId1"/>
  <headerFooter alignWithMargins="0"/>
  <rowBreaks count="2" manualBreakCount="2">
    <brk id="75" max="20" man="1"/>
    <brk id="132" max="20" man="1"/>
  </rowBreaks>
  <colBreaks count="2" manualBreakCount="2">
    <brk id="5" max="252" man="1"/>
    <brk id="13" max="252"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N40"/>
  <sheetViews>
    <sheetView view="pageBreakPreview" topLeftCell="A16" zoomScale="85" zoomScaleNormal="100" zoomScaleSheetLayoutView="85" workbookViewId="0">
      <selection activeCell="D14" sqref="D14"/>
    </sheetView>
  </sheetViews>
  <sheetFormatPr defaultColWidth="9" defaultRowHeight="20.100000000000001" customHeight="1"/>
  <cols>
    <col min="1" max="1" width="15.59765625" style="641" customWidth="1"/>
    <col min="2" max="2" width="13.69921875" style="641" customWidth="1"/>
    <col min="3" max="3" width="13.8984375" style="641" customWidth="1"/>
    <col min="4" max="4" width="15.69921875" style="641" customWidth="1"/>
    <col min="5" max="5" width="15.3984375" style="641" customWidth="1"/>
    <col min="6" max="6" width="13.5" style="641" customWidth="1"/>
    <col min="7" max="8" width="13.09765625" style="641" customWidth="1"/>
    <col min="9" max="9" width="14.5" style="641" customWidth="1"/>
    <col min="10" max="10" width="12" style="641" customWidth="1"/>
    <col min="11" max="12" width="11.09765625" style="641" customWidth="1"/>
    <col min="13" max="13" width="14.59765625" style="641" customWidth="1"/>
    <col min="14" max="14" width="12.5" style="641" customWidth="1"/>
    <col min="15" max="15" width="11.69921875" style="641" customWidth="1"/>
    <col min="16" max="16384" width="9" style="641"/>
  </cols>
  <sheetData>
    <row r="1" spans="1:14" s="638" customFormat="1" ht="24.9" customHeight="1">
      <c r="A1" s="642" t="s">
        <v>145</v>
      </c>
      <c r="B1" s="643">
        <f>基础信息!B6</f>
        <v>0</v>
      </c>
      <c r="C1" s="644"/>
      <c r="E1" s="645"/>
      <c r="N1" s="900" t="s">
        <v>146</v>
      </c>
    </row>
    <row r="2" spans="1:14" s="638" customFormat="1" ht="24.9" customHeight="1">
      <c r="A2" s="642" t="s">
        <v>147</v>
      </c>
      <c r="B2" s="643">
        <f>基础信息!B9</f>
        <v>0</v>
      </c>
      <c r="C2" s="644"/>
    </row>
    <row r="3" spans="1:14" s="638" customFormat="1" ht="24.9" customHeight="1">
      <c r="A3" s="642" t="s">
        <v>148</v>
      </c>
      <c r="B3" s="646" t="s">
        <v>489</v>
      </c>
      <c r="C3" s="647"/>
    </row>
    <row r="4" spans="1:14" s="639" customFormat="1" ht="20.100000000000001" customHeight="1">
      <c r="A4" s="1038" t="s">
        <v>490</v>
      </c>
      <c r="B4" s="1040" t="s">
        <v>491</v>
      </c>
      <c r="C4" s="1040"/>
      <c r="D4" s="1040"/>
      <c r="E4" s="1040"/>
      <c r="F4" s="1040"/>
      <c r="G4" s="1040"/>
      <c r="H4" s="1040"/>
      <c r="I4" s="1040"/>
      <c r="J4" s="1040"/>
      <c r="K4" s="1040"/>
      <c r="L4" s="1040"/>
    </row>
    <row r="5" spans="1:14" s="639" customFormat="1" ht="21" customHeight="1">
      <c r="A5" s="1038"/>
      <c r="B5" s="1039" t="s">
        <v>492</v>
      </c>
      <c r="C5" s="1039"/>
      <c r="D5" s="1039"/>
      <c r="E5" s="1039"/>
      <c r="F5" s="1039" t="s">
        <v>493</v>
      </c>
      <c r="G5" s="1039"/>
      <c r="H5" s="1039"/>
      <c r="I5" s="1039"/>
      <c r="J5" s="1039" t="s">
        <v>494</v>
      </c>
      <c r="K5" s="604" t="s">
        <v>495</v>
      </c>
      <c r="L5" s="1039" t="s">
        <v>496</v>
      </c>
    </row>
    <row r="6" spans="1:14" s="639" customFormat="1" ht="20.100000000000001" customHeight="1">
      <c r="A6" s="1038"/>
      <c r="B6" s="604" t="s">
        <v>497</v>
      </c>
      <c r="C6" s="604" t="s">
        <v>498</v>
      </c>
      <c r="D6" s="604" t="s">
        <v>499</v>
      </c>
      <c r="E6" s="604" t="s">
        <v>500</v>
      </c>
      <c r="F6" s="604" t="s">
        <v>497</v>
      </c>
      <c r="G6" s="604" t="s">
        <v>498</v>
      </c>
      <c r="H6" s="604" t="s">
        <v>499</v>
      </c>
      <c r="I6" s="604" t="s">
        <v>500</v>
      </c>
      <c r="J6" s="1039"/>
      <c r="K6" s="649" t="s">
        <v>501</v>
      </c>
      <c r="L6" s="1039"/>
    </row>
    <row r="7" spans="1:14" s="639" customFormat="1" ht="20.100000000000001" customHeight="1">
      <c r="A7" s="614"/>
      <c r="B7" s="635">
        <f>SUM(C7:E7)</f>
        <v>0</v>
      </c>
      <c r="C7" s="614"/>
      <c r="D7" s="614"/>
      <c r="E7" s="614"/>
      <c r="F7" s="635">
        <f>SUM(G7:I7)</f>
        <v>0</v>
      </c>
      <c r="G7" s="614"/>
      <c r="H7" s="614"/>
      <c r="I7" s="614"/>
      <c r="J7" s="614"/>
      <c r="K7" s="614"/>
      <c r="L7" s="614"/>
    </row>
    <row r="8" spans="1:14" s="639" customFormat="1" ht="20.100000000000001" customHeight="1">
      <c r="A8" s="614"/>
      <c r="B8" s="635">
        <f t="shared" ref="B8:B20" si="0">SUM(C8:E8)</f>
        <v>0</v>
      </c>
      <c r="C8" s="614"/>
      <c r="D8" s="614"/>
      <c r="E8" s="614"/>
      <c r="F8" s="635">
        <f t="shared" ref="F8:F20" si="1">SUM(G8:I8)</f>
        <v>0</v>
      </c>
      <c r="G8" s="614"/>
      <c r="H8" s="614"/>
      <c r="I8" s="614"/>
      <c r="J8" s="614"/>
      <c r="K8" s="614"/>
      <c r="L8" s="614"/>
    </row>
    <row r="9" spans="1:14" s="639" customFormat="1" ht="20.100000000000001" customHeight="1">
      <c r="A9" s="614"/>
      <c r="B9" s="635">
        <f t="shared" si="0"/>
        <v>0</v>
      </c>
      <c r="C9" s="614"/>
      <c r="D9" s="614"/>
      <c r="E9" s="614"/>
      <c r="F9" s="635">
        <f t="shared" si="1"/>
        <v>0</v>
      </c>
      <c r="G9" s="614"/>
      <c r="H9" s="614"/>
      <c r="I9" s="614"/>
      <c r="J9" s="614"/>
      <c r="K9" s="614"/>
      <c r="L9" s="614"/>
    </row>
    <row r="10" spans="1:14" s="639" customFormat="1" ht="20.100000000000001" customHeight="1">
      <c r="A10" s="614"/>
      <c r="B10" s="635">
        <f t="shared" si="0"/>
        <v>0</v>
      </c>
      <c r="C10" s="614"/>
      <c r="D10" s="614"/>
      <c r="E10" s="614"/>
      <c r="F10" s="635">
        <f t="shared" si="1"/>
        <v>0</v>
      </c>
      <c r="G10" s="614"/>
      <c r="H10" s="614"/>
      <c r="I10" s="614"/>
      <c r="J10" s="614"/>
      <c r="K10" s="614"/>
      <c r="L10" s="614"/>
    </row>
    <row r="11" spans="1:14" s="639" customFormat="1" ht="20.100000000000001" customHeight="1">
      <c r="A11" s="614"/>
      <c r="B11" s="635">
        <f t="shared" si="0"/>
        <v>0</v>
      </c>
      <c r="C11" s="614"/>
      <c r="D11" s="614"/>
      <c r="E11" s="614"/>
      <c r="F11" s="635">
        <f t="shared" si="1"/>
        <v>0</v>
      </c>
      <c r="G11" s="614"/>
      <c r="H11" s="614"/>
      <c r="I11" s="614"/>
      <c r="J11" s="614"/>
      <c r="K11" s="614"/>
      <c r="L11" s="614"/>
    </row>
    <row r="12" spans="1:14" s="639" customFormat="1" ht="20.100000000000001" customHeight="1">
      <c r="A12" s="614"/>
      <c r="B12" s="635">
        <f t="shared" si="0"/>
        <v>0</v>
      </c>
      <c r="C12" s="614"/>
      <c r="D12" s="614"/>
      <c r="E12" s="614"/>
      <c r="F12" s="635">
        <f t="shared" si="1"/>
        <v>0</v>
      </c>
      <c r="G12" s="614"/>
      <c r="H12" s="614"/>
      <c r="I12" s="614"/>
      <c r="J12" s="614"/>
      <c r="K12" s="614"/>
      <c r="L12" s="614"/>
    </row>
    <row r="13" spans="1:14" s="639" customFormat="1" ht="20.100000000000001" customHeight="1">
      <c r="A13" s="614"/>
      <c r="B13" s="635">
        <f t="shared" si="0"/>
        <v>0</v>
      </c>
      <c r="C13" s="614"/>
      <c r="D13" s="614"/>
      <c r="E13" s="614"/>
      <c r="F13" s="635">
        <f t="shared" si="1"/>
        <v>0</v>
      </c>
      <c r="G13" s="614"/>
      <c r="H13" s="614"/>
      <c r="I13" s="614"/>
      <c r="J13" s="614"/>
      <c r="K13" s="614"/>
      <c r="L13" s="614"/>
    </row>
    <row r="14" spans="1:14" s="639" customFormat="1" ht="20.100000000000001" customHeight="1">
      <c r="A14" s="614"/>
      <c r="B14" s="635">
        <f t="shared" si="0"/>
        <v>0</v>
      </c>
      <c r="C14" s="614"/>
      <c r="D14" s="614"/>
      <c r="E14" s="614"/>
      <c r="F14" s="635">
        <f t="shared" si="1"/>
        <v>0</v>
      </c>
      <c r="G14" s="614"/>
      <c r="H14" s="614"/>
      <c r="I14" s="614"/>
      <c r="J14" s="614"/>
      <c r="K14" s="614"/>
      <c r="L14" s="614"/>
    </row>
    <row r="15" spans="1:14" s="639" customFormat="1" ht="20.100000000000001" customHeight="1">
      <c r="A15" s="614"/>
      <c r="B15" s="635">
        <f t="shared" si="0"/>
        <v>0</v>
      </c>
      <c r="C15" s="614"/>
      <c r="D15" s="614"/>
      <c r="E15" s="614"/>
      <c r="F15" s="635">
        <f t="shared" si="1"/>
        <v>0</v>
      </c>
      <c r="G15" s="614"/>
      <c r="H15" s="614"/>
      <c r="I15" s="614"/>
      <c r="J15" s="614"/>
      <c r="K15" s="614"/>
      <c r="L15" s="614"/>
    </row>
    <row r="16" spans="1:14" s="639" customFormat="1" ht="20.100000000000001" customHeight="1">
      <c r="A16" s="614"/>
      <c r="B16" s="635">
        <f t="shared" si="0"/>
        <v>0</v>
      </c>
      <c r="C16" s="614"/>
      <c r="D16" s="614"/>
      <c r="E16" s="614"/>
      <c r="F16" s="635">
        <f t="shared" si="1"/>
        <v>0</v>
      </c>
      <c r="G16" s="614"/>
      <c r="H16" s="614"/>
      <c r="I16" s="614"/>
      <c r="J16" s="614"/>
      <c r="K16" s="614"/>
      <c r="L16" s="614"/>
    </row>
    <row r="17" spans="1:12" s="639" customFormat="1" ht="20.100000000000001" customHeight="1">
      <c r="A17" s="614"/>
      <c r="B17" s="635">
        <f t="shared" si="0"/>
        <v>0</v>
      </c>
      <c r="C17" s="614"/>
      <c r="D17" s="614"/>
      <c r="E17" s="614"/>
      <c r="F17" s="635">
        <f t="shared" si="1"/>
        <v>0</v>
      </c>
      <c r="G17" s="614"/>
      <c r="H17" s="614"/>
      <c r="I17" s="614"/>
      <c r="J17" s="614"/>
      <c r="K17" s="614"/>
      <c r="L17" s="614"/>
    </row>
    <row r="18" spans="1:12" s="639" customFormat="1" ht="20.100000000000001" customHeight="1">
      <c r="A18" s="614"/>
      <c r="B18" s="635">
        <f t="shared" si="0"/>
        <v>0</v>
      </c>
      <c r="C18" s="614"/>
      <c r="D18" s="614"/>
      <c r="E18" s="614"/>
      <c r="F18" s="635">
        <f t="shared" si="1"/>
        <v>0</v>
      </c>
      <c r="G18" s="614"/>
      <c r="H18" s="614"/>
      <c r="I18" s="614"/>
      <c r="J18" s="614"/>
      <c r="K18" s="614"/>
      <c r="L18" s="614"/>
    </row>
    <row r="19" spans="1:12" s="639" customFormat="1" ht="20.100000000000001" customHeight="1">
      <c r="A19" s="614"/>
      <c r="B19" s="635">
        <f t="shared" si="0"/>
        <v>0</v>
      </c>
      <c r="C19" s="614"/>
      <c r="D19" s="614"/>
      <c r="E19" s="614"/>
      <c r="F19" s="635">
        <f t="shared" si="1"/>
        <v>0</v>
      </c>
      <c r="G19" s="614"/>
      <c r="H19" s="614"/>
      <c r="I19" s="614"/>
      <c r="J19" s="614"/>
      <c r="K19" s="614"/>
      <c r="L19" s="614"/>
    </row>
    <row r="20" spans="1:12" s="639" customFormat="1" ht="20.100000000000001" customHeight="1">
      <c r="A20" s="614"/>
      <c r="B20" s="635">
        <f t="shared" si="0"/>
        <v>0</v>
      </c>
      <c r="C20" s="614"/>
      <c r="D20" s="614"/>
      <c r="E20" s="614"/>
      <c r="F20" s="635">
        <f t="shared" si="1"/>
        <v>0</v>
      </c>
      <c r="G20" s="614"/>
      <c r="H20" s="614"/>
      <c r="I20" s="614"/>
      <c r="J20" s="614"/>
      <c r="K20" s="614"/>
      <c r="L20" s="614"/>
    </row>
    <row r="21" spans="1:12" s="639" customFormat="1" ht="20.100000000000001" customHeight="1">
      <c r="A21" s="648" t="s">
        <v>502</v>
      </c>
      <c r="B21" s="635">
        <f>SUM(B7:B20)</f>
        <v>0</v>
      </c>
      <c r="C21" s="635">
        <f t="shared" ref="C21:L21" si="2">SUM(C7:C20)</f>
        <v>0</v>
      </c>
      <c r="D21" s="635">
        <f t="shared" si="2"/>
        <v>0</v>
      </c>
      <c r="E21" s="635">
        <f t="shared" si="2"/>
        <v>0</v>
      </c>
      <c r="F21" s="635">
        <f t="shared" si="2"/>
        <v>0</v>
      </c>
      <c r="G21" s="635">
        <f t="shared" si="2"/>
        <v>0</v>
      </c>
      <c r="H21" s="635">
        <f t="shared" si="2"/>
        <v>0</v>
      </c>
      <c r="I21" s="635">
        <f t="shared" si="2"/>
        <v>0</v>
      </c>
      <c r="J21" s="635">
        <f t="shared" si="2"/>
        <v>0</v>
      </c>
      <c r="K21" s="635">
        <f t="shared" si="2"/>
        <v>0</v>
      </c>
      <c r="L21" s="635">
        <f t="shared" si="2"/>
        <v>0</v>
      </c>
    </row>
    <row r="22" spans="1:12" s="639" customFormat="1" ht="20.100000000000001" customHeight="1"/>
    <row r="23" spans="1:12" s="639" customFormat="1" ht="20.100000000000001" customHeight="1">
      <c r="A23" s="1038" t="s">
        <v>503</v>
      </c>
      <c r="B23" s="1039" t="s">
        <v>491</v>
      </c>
      <c r="C23" s="1039"/>
      <c r="D23" s="1039"/>
      <c r="E23" s="1039"/>
      <c r="F23" s="1039"/>
      <c r="G23" s="1039"/>
      <c r="H23" s="1039"/>
      <c r="I23" s="1039"/>
    </row>
    <row r="24" spans="1:12" s="639" customFormat="1" ht="21" customHeight="1">
      <c r="A24" s="1038"/>
      <c r="B24" s="1039" t="s">
        <v>504</v>
      </c>
      <c r="C24" s="1039"/>
      <c r="D24" s="1039"/>
      <c r="E24" s="1039"/>
      <c r="F24" s="1039" t="s">
        <v>505</v>
      </c>
      <c r="G24" s="1039" t="s">
        <v>495</v>
      </c>
      <c r="H24" s="1039"/>
      <c r="I24" s="1039" t="s">
        <v>506</v>
      </c>
      <c r="J24" s="640"/>
      <c r="L24" s="640"/>
    </row>
    <row r="25" spans="1:12" s="639" customFormat="1" ht="20.100000000000001" customHeight="1">
      <c r="A25" s="1038"/>
      <c r="B25" s="604" t="s">
        <v>497</v>
      </c>
      <c r="C25" s="604" t="s">
        <v>498</v>
      </c>
      <c r="D25" s="604" t="s">
        <v>499</v>
      </c>
      <c r="E25" s="604" t="s">
        <v>500</v>
      </c>
      <c r="F25" s="604"/>
      <c r="G25" s="604" t="s">
        <v>507</v>
      </c>
      <c r="H25" s="604" t="s">
        <v>508</v>
      </c>
      <c r="I25" s="604"/>
      <c r="J25" s="640"/>
      <c r="L25" s="640"/>
    </row>
    <row r="26" spans="1:12" s="640" customFormat="1" ht="20.100000000000001" customHeight="1">
      <c r="A26" s="614"/>
      <c r="B26" s="635">
        <f>SUM(C26:E26)</f>
        <v>0</v>
      </c>
      <c r="C26" s="614"/>
      <c r="D26" s="614"/>
      <c r="E26" s="614"/>
      <c r="F26" s="614"/>
      <c r="G26" s="614"/>
      <c r="H26" s="614"/>
      <c r="I26" s="614"/>
    </row>
    <row r="27" spans="1:12" s="640" customFormat="1" ht="20.100000000000001" customHeight="1">
      <c r="A27" s="614"/>
      <c r="B27" s="635">
        <f t="shared" ref="B27:B39" si="3">SUM(C27:E27)</f>
        <v>0</v>
      </c>
      <c r="C27" s="614"/>
      <c r="D27" s="614"/>
      <c r="E27" s="614"/>
      <c r="F27" s="614"/>
      <c r="G27" s="614"/>
      <c r="H27" s="614"/>
      <c r="I27" s="614"/>
    </row>
    <row r="28" spans="1:12" s="640" customFormat="1" ht="20.100000000000001" customHeight="1">
      <c r="A28" s="614"/>
      <c r="B28" s="635">
        <f t="shared" si="3"/>
        <v>0</v>
      </c>
      <c r="C28" s="614"/>
      <c r="D28" s="614"/>
      <c r="E28" s="614"/>
      <c r="F28" s="614"/>
      <c r="G28" s="614"/>
      <c r="H28" s="614"/>
      <c r="I28" s="614"/>
    </row>
    <row r="29" spans="1:12" s="640" customFormat="1" ht="20.100000000000001" customHeight="1">
      <c r="A29" s="614"/>
      <c r="B29" s="635">
        <f t="shared" si="3"/>
        <v>0</v>
      </c>
      <c r="C29" s="614"/>
      <c r="D29" s="614"/>
      <c r="E29" s="614"/>
      <c r="F29" s="614"/>
      <c r="G29" s="614"/>
      <c r="H29" s="614"/>
      <c r="I29" s="614"/>
    </row>
    <row r="30" spans="1:12" s="640" customFormat="1" ht="20.100000000000001" customHeight="1">
      <c r="A30" s="614"/>
      <c r="B30" s="635">
        <f t="shared" si="3"/>
        <v>0</v>
      </c>
      <c r="C30" s="614"/>
      <c r="D30" s="614"/>
      <c r="E30" s="614"/>
      <c r="F30" s="614"/>
      <c r="G30" s="614"/>
      <c r="H30" s="614"/>
      <c r="I30" s="614"/>
    </row>
    <row r="31" spans="1:12" s="640" customFormat="1" ht="20.100000000000001" customHeight="1">
      <c r="A31" s="614"/>
      <c r="B31" s="635">
        <f t="shared" si="3"/>
        <v>0</v>
      </c>
      <c r="C31" s="614"/>
      <c r="D31" s="614"/>
      <c r="E31" s="614"/>
      <c r="F31" s="614"/>
      <c r="G31" s="614"/>
      <c r="H31" s="614"/>
      <c r="I31" s="614"/>
    </row>
    <row r="32" spans="1:12" s="640" customFormat="1" ht="20.100000000000001" customHeight="1">
      <c r="A32" s="614"/>
      <c r="B32" s="635">
        <f t="shared" si="3"/>
        <v>0</v>
      </c>
      <c r="C32" s="614"/>
      <c r="D32" s="614"/>
      <c r="E32" s="614"/>
      <c r="F32" s="614"/>
      <c r="G32" s="614"/>
      <c r="H32" s="614"/>
      <c r="I32" s="614"/>
    </row>
    <row r="33" spans="1:9" s="640" customFormat="1" ht="20.100000000000001" customHeight="1">
      <c r="A33" s="614"/>
      <c r="B33" s="635">
        <f t="shared" si="3"/>
        <v>0</v>
      </c>
      <c r="C33" s="614"/>
      <c r="D33" s="614"/>
      <c r="E33" s="614"/>
      <c r="F33" s="614"/>
      <c r="G33" s="614"/>
      <c r="H33" s="614"/>
      <c r="I33" s="614"/>
    </row>
    <row r="34" spans="1:9" s="640" customFormat="1" ht="20.100000000000001" customHeight="1">
      <c r="A34" s="614"/>
      <c r="B34" s="635">
        <f t="shared" si="3"/>
        <v>0</v>
      </c>
      <c r="C34" s="614"/>
      <c r="D34" s="614"/>
      <c r="E34" s="614"/>
      <c r="F34" s="614"/>
      <c r="G34" s="614"/>
      <c r="H34" s="614"/>
      <c r="I34" s="614"/>
    </row>
    <row r="35" spans="1:9" s="640" customFormat="1" ht="20.100000000000001" customHeight="1">
      <c r="A35" s="614"/>
      <c r="B35" s="635">
        <f t="shared" si="3"/>
        <v>0</v>
      </c>
      <c r="C35" s="614"/>
      <c r="D35" s="614"/>
      <c r="E35" s="614"/>
      <c r="F35" s="614"/>
      <c r="G35" s="614"/>
      <c r="H35" s="614"/>
      <c r="I35" s="614"/>
    </row>
    <row r="36" spans="1:9" s="640" customFormat="1" ht="20.100000000000001" customHeight="1">
      <c r="A36" s="614"/>
      <c r="B36" s="635">
        <f t="shared" si="3"/>
        <v>0</v>
      </c>
      <c r="C36" s="614"/>
      <c r="D36" s="614"/>
      <c r="E36" s="614"/>
      <c r="F36" s="614"/>
      <c r="G36" s="614"/>
      <c r="H36" s="614"/>
      <c r="I36" s="614"/>
    </row>
    <row r="37" spans="1:9" s="640" customFormat="1" ht="20.100000000000001" customHeight="1">
      <c r="A37" s="614"/>
      <c r="B37" s="635">
        <f t="shared" si="3"/>
        <v>0</v>
      </c>
      <c r="C37" s="614"/>
      <c r="D37" s="614"/>
      <c r="E37" s="614"/>
      <c r="F37" s="614"/>
      <c r="G37" s="614"/>
      <c r="H37" s="614"/>
      <c r="I37" s="614"/>
    </row>
    <row r="38" spans="1:9" s="640" customFormat="1" ht="20.100000000000001" customHeight="1">
      <c r="A38" s="614"/>
      <c r="B38" s="635">
        <f t="shared" si="3"/>
        <v>0</v>
      </c>
      <c r="C38" s="614"/>
      <c r="D38" s="614"/>
      <c r="E38" s="614"/>
      <c r="F38" s="614"/>
      <c r="G38" s="614"/>
      <c r="H38" s="614"/>
      <c r="I38" s="614"/>
    </row>
    <row r="39" spans="1:9" s="640" customFormat="1" ht="20.100000000000001" customHeight="1">
      <c r="A39" s="614"/>
      <c r="B39" s="635">
        <f t="shared" si="3"/>
        <v>0</v>
      </c>
      <c r="C39" s="614"/>
      <c r="D39" s="614"/>
      <c r="E39" s="614"/>
      <c r="F39" s="614"/>
      <c r="G39" s="614"/>
      <c r="H39" s="614"/>
      <c r="I39" s="614"/>
    </row>
    <row r="40" spans="1:9" s="640" customFormat="1" ht="20.100000000000001" customHeight="1">
      <c r="A40" s="648" t="s">
        <v>502</v>
      </c>
      <c r="B40" s="635">
        <f t="shared" ref="B40:G40" si="4">SUM(B26:B39)</f>
        <v>0</v>
      </c>
      <c r="C40" s="635">
        <f t="shared" si="4"/>
        <v>0</v>
      </c>
      <c r="D40" s="635">
        <f t="shared" si="4"/>
        <v>0</v>
      </c>
      <c r="E40" s="635">
        <f t="shared" si="4"/>
        <v>0</v>
      </c>
      <c r="F40" s="635">
        <f t="shared" si="4"/>
        <v>0</v>
      </c>
      <c r="G40" s="635">
        <f t="shared" si="4"/>
        <v>0</v>
      </c>
      <c r="H40" s="635"/>
      <c r="I40" s="635">
        <f>SUM(I26:I39)</f>
        <v>0</v>
      </c>
    </row>
  </sheetData>
  <mergeCells count="10">
    <mergeCell ref="A4:A6"/>
    <mergeCell ref="A23:A25"/>
    <mergeCell ref="J5:J6"/>
    <mergeCell ref="L5:L6"/>
    <mergeCell ref="B4:L4"/>
    <mergeCell ref="B5:E5"/>
    <mergeCell ref="F5:I5"/>
    <mergeCell ref="B23:I23"/>
    <mergeCell ref="B24:E24"/>
    <mergeCell ref="F24:I24"/>
  </mergeCells>
  <phoneticPr fontId="78" type="noConversion"/>
  <hyperlinks>
    <hyperlink ref="N1" location="目录!A1" display="BACK"/>
  </hyperlinks>
  <pageMargins left="0.74791666666666701" right="0.74791666666666701" top="0.62916666666666698" bottom="0.15625" header="0.51180555555555596" footer="0.27500000000000002"/>
  <pageSetup paperSize="9" scale="68" orientation="landscape" blackAndWhite="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V37"/>
  <sheetViews>
    <sheetView view="pageBreakPreview" zoomScaleNormal="100" zoomScaleSheetLayoutView="100" workbookViewId="0">
      <pane xSplit="2" ySplit="5" topLeftCell="C33" activePane="bottomRight" state="frozen"/>
      <selection activeCell="A19" sqref="A19:K22"/>
      <selection pane="topRight" activeCell="A19" sqref="A19:K22"/>
      <selection pane="bottomLeft" activeCell="A19" sqref="A19:K22"/>
      <selection pane="bottomRight" activeCell="H20" sqref="H20"/>
    </sheetView>
  </sheetViews>
  <sheetFormatPr defaultColWidth="9" defaultRowHeight="20.100000000000001" customHeight="1"/>
  <cols>
    <col min="1" max="1" width="10.19921875" style="615" customWidth="1"/>
    <col min="2" max="21" width="12.59765625" style="615" customWidth="1"/>
    <col min="22" max="22" width="20.8984375" style="615" customWidth="1"/>
    <col min="23" max="16384" width="9" style="615"/>
  </cols>
  <sheetData>
    <row r="1" spans="1:22" s="613" customFormat="1" ht="24.9" customHeight="1">
      <c r="A1" s="616" t="s">
        <v>145</v>
      </c>
      <c r="B1" s="617">
        <f>基础信息!B6</f>
        <v>0</v>
      </c>
      <c r="C1" s="618"/>
      <c r="D1" s="619"/>
      <c r="E1" s="620"/>
      <c r="F1" s="619"/>
      <c r="G1" s="621"/>
      <c r="H1" s="622"/>
      <c r="I1" s="622"/>
      <c r="J1" s="622"/>
      <c r="K1" s="622"/>
      <c r="L1" s="900" t="s">
        <v>146</v>
      </c>
      <c r="M1" s="622"/>
      <c r="N1" s="622"/>
      <c r="O1" s="622"/>
      <c r="P1" s="622"/>
      <c r="Q1" s="622"/>
      <c r="R1" s="622"/>
      <c r="S1" s="622"/>
      <c r="T1" s="622"/>
      <c r="U1" s="622"/>
      <c r="V1" s="637"/>
    </row>
    <row r="2" spans="1:22" s="613" customFormat="1" ht="24.9" customHeight="1">
      <c r="A2" s="616" t="str">
        <f>基础信息!A9</f>
        <v>财务期间</v>
      </c>
      <c r="B2" s="623">
        <f>日期2</f>
        <v>0</v>
      </c>
      <c r="C2" s="624"/>
      <c r="D2" s="625"/>
      <c r="E2" s="625"/>
      <c r="F2" s="625"/>
      <c r="G2" s="626"/>
      <c r="H2" s="622"/>
      <c r="I2" s="622"/>
      <c r="J2" s="622"/>
      <c r="K2" s="622"/>
      <c r="L2" s="622"/>
      <c r="M2" s="622"/>
      <c r="N2" s="622"/>
      <c r="O2" s="622"/>
      <c r="P2" s="622"/>
      <c r="Q2" s="622"/>
      <c r="R2" s="622"/>
      <c r="S2" s="622"/>
      <c r="T2" s="622"/>
      <c r="U2" s="622"/>
      <c r="V2" s="637"/>
    </row>
    <row r="3" spans="1:22" s="613" customFormat="1" ht="24.9" customHeight="1">
      <c r="A3" s="616" t="s">
        <v>148</v>
      </c>
      <c r="B3" s="574" t="s">
        <v>509</v>
      </c>
      <c r="C3" s="627"/>
      <c r="D3" s="628"/>
      <c r="E3" s="628"/>
      <c r="F3" s="628"/>
      <c r="G3" s="629"/>
      <c r="H3" s="630"/>
      <c r="I3" s="630"/>
      <c r="J3" s="630"/>
      <c r="K3" s="630"/>
      <c r="L3" s="630"/>
      <c r="M3" s="630"/>
      <c r="N3" s="630"/>
      <c r="O3" s="630"/>
      <c r="P3" s="630"/>
      <c r="Q3" s="630"/>
      <c r="R3" s="630"/>
      <c r="S3" s="630"/>
      <c r="T3" s="630"/>
      <c r="U3" s="630"/>
      <c r="V3" s="637"/>
    </row>
    <row r="4" spans="1:22" s="614" customFormat="1" ht="20.100000000000001" customHeight="1">
      <c r="A4" s="1038" t="s">
        <v>510</v>
      </c>
      <c r="B4" s="1039" t="s">
        <v>511</v>
      </c>
      <c r="C4" s="1039"/>
      <c r="D4" s="1039"/>
      <c r="E4" s="1039"/>
      <c r="F4" s="1039"/>
      <c r="G4" s="1039" t="s">
        <v>512</v>
      </c>
      <c r="H4" s="1039"/>
      <c r="I4" s="1039"/>
      <c r="J4" s="1039"/>
      <c r="K4" s="1039"/>
      <c r="L4" s="1039" t="s">
        <v>513</v>
      </c>
      <c r="M4" s="1039"/>
      <c r="N4" s="1039"/>
      <c r="O4" s="1039"/>
      <c r="P4" s="1039"/>
      <c r="Q4" s="1039" t="s">
        <v>514</v>
      </c>
      <c r="R4" s="1039"/>
      <c r="S4" s="1039"/>
      <c r="T4" s="1039"/>
      <c r="U4" s="1039"/>
    </row>
    <row r="5" spans="1:22" s="614" customFormat="1" ht="20.100000000000001" customHeight="1">
      <c r="A5" s="1038"/>
      <c r="B5" s="594" t="s">
        <v>497</v>
      </c>
      <c r="C5" s="604" t="s">
        <v>515</v>
      </c>
      <c r="D5" s="604" t="s">
        <v>516</v>
      </c>
      <c r="E5" s="604" t="s">
        <v>517</v>
      </c>
      <c r="F5" s="604" t="s">
        <v>518</v>
      </c>
      <c r="G5" s="594" t="s">
        <v>497</v>
      </c>
      <c r="H5" s="604" t="s">
        <v>515</v>
      </c>
      <c r="I5" s="604" t="s">
        <v>516</v>
      </c>
      <c r="J5" s="604" t="s">
        <v>517</v>
      </c>
      <c r="K5" s="604" t="s">
        <v>518</v>
      </c>
      <c r="L5" s="594" t="s">
        <v>497</v>
      </c>
      <c r="M5" s="604" t="s">
        <v>515</v>
      </c>
      <c r="N5" s="604" t="s">
        <v>516</v>
      </c>
      <c r="O5" s="604" t="s">
        <v>517</v>
      </c>
      <c r="P5" s="604" t="s">
        <v>518</v>
      </c>
      <c r="Q5" s="594" t="s">
        <v>497</v>
      </c>
      <c r="R5" s="604" t="s">
        <v>515</v>
      </c>
      <c r="S5" s="604" t="s">
        <v>516</v>
      </c>
      <c r="T5" s="604" t="s">
        <v>517</v>
      </c>
      <c r="U5" s="604" t="s">
        <v>518</v>
      </c>
    </row>
    <row r="6" spans="1:22" s="614" customFormat="1" ht="20.100000000000001" customHeight="1">
      <c r="G6" s="631">
        <f>SUM(H6:K6)</f>
        <v>0</v>
      </c>
      <c r="H6" s="632"/>
      <c r="I6" s="632"/>
      <c r="J6" s="632"/>
      <c r="K6" s="632"/>
      <c r="L6" s="632"/>
      <c r="M6" s="632"/>
      <c r="N6" s="632"/>
      <c r="O6" s="632"/>
      <c r="P6" s="632"/>
      <c r="Q6" s="631">
        <f>SUM(R6:U6)</f>
        <v>0</v>
      </c>
      <c r="R6" s="632"/>
      <c r="S6" s="632"/>
      <c r="T6" s="632"/>
      <c r="U6" s="632"/>
    </row>
    <row r="7" spans="1:22" s="614" customFormat="1" ht="20.100000000000001" customHeight="1">
      <c r="G7" s="631">
        <f>SUM(H7:K7)</f>
        <v>0</v>
      </c>
      <c r="H7" s="632"/>
      <c r="I7" s="632"/>
      <c r="J7" s="632"/>
      <c r="K7" s="632"/>
      <c r="L7" s="632"/>
      <c r="M7" s="632"/>
      <c r="N7" s="632"/>
      <c r="O7" s="632"/>
      <c r="P7" s="632"/>
      <c r="Q7" s="631">
        <f>SUM(R7:U7)</f>
        <v>0</v>
      </c>
      <c r="R7" s="632"/>
      <c r="S7" s="632"/>
      <c r="T7" s="632"/>
      <c r="U7" s="632"/>
    </row>
    <row r="8" spans="1:22" s="614" customFormat="1" ht="20.100000000000001" customHeight="1">
      <c r="G8" s="631">
        <f t="shared" ref="G8:G19" si="0">SUM(H8:K8)</f>
        <v>0</v>
      </c>
      <c r="H8" s="632"/>
      <c r="I8" s="632"/>
      <c r="J8" s="632"/>
      <c r="K8" s="632"/>
      <c r="L8" s="632"/>
      <c r="M8" s="632"/>
      <c r="N8" s="632"/>
      <c r="O8" s="632"/>
      <c r="P8" s="632"/>
      <c r="Q8" s="631">
        <f t="shared" ref="Q8:Q19" si="1">SUM(R8:U8)</f>
        <v>0</v>
      </c>
      <c r="R8" s="632"/>
      <c r="S8" s="632"/>
      <c r="T8" s="632"/>
      <c r="U8" s="632"/>
    </row>
    <row r="9" spans="1:22" s="614" customFormat="1" ht="20.100000000000001" customHeight="1">
      <c r="G9" s="631">
        <f t="shared" si="0"/>
        <v>0</v>
      </c>
      <c r="H9" s="632"/>
      <c r="I9" s="632"/>
      <c r="J9" s="632"/>
      <c r="K9" s="632"/>
      <c r="L9" s="632"/>
      <c r="M9" s="632"/>
      <c r="N9" s="632"/>
      <c r="O9" s="632"/>
      <c r="P9" s="632"/>
      <c r="Q9" s="631">
        <f t="shared" si="1"/>
        <v>0</v>
      </c>
      <c r="R9" s="632"/>
      <c r="S9" s="632"/>
      <c r="T9" s="632"/>
      <c r="U9" s="632"/>
    </row>
    <row r="10" spans="1:22" s="614" customFormat="1" ht="20.100000000000001" customHeight="1">
      <c r="G10" s="631">
        <f t="shared" si="0"/>
        <v>0</v>
      </c>
      <c r="H10" s="632"/>
      <c r="I10" s="632"/>
      <c r="J10" s="632"/>
      <c r="K10" s="632"/>
      <c r="L10" s="632"/>
      <c r="M10" s="632"/>
      <c r="N10" s="632"/>
      <c r="O10" s="632"/>
      <c r="P10" s="632"/>
      <c r="Q10" s="631">
        <f t="shared" si="1"/>
        <v>0</v>
      </c>
      <c r="R10" s="632"/>
      <c r="S10" s="632"/>
      <c r="T10" s="632"/>
      <c r="U10" s="632"/>
    </row>
    <row r="11" spans="1:22" s="614" customFormat="1" ht="20.100000000000001" customHeight="1">
      <c r="G11" s="631">
        <f t="shared" si="0"/>
        <v>0</v>
      </c>
      <c r="H11" s="632"/>
      <c r="I11" s="632"/>
      <c r="J11" s="632"/>
      <c r="K11" s="632"/>
      <c r="L11" s="632"/>
      <c r="M11" s="632"/>
      <c r="N11" s="632"/>
      <c r="O11" s="632"/>
      <c r="P11" s="632"/>
      <c r="Q11" s="631">
        <f t="shared" si="1"/>
        <v>0</v>
      </c>
      <c r="R11" s="632"/>
      <c r="S11" s="632"/>
      <c r="T11" s="632"/>
      <c r="U11" s="632"/>
    </row>
    <row r="12" spans="1:22" s="614" customFormat="1" ht="20.100000000000001" customHeight="1">
      <c r="G12" s="631">
        <f t="shared" si="0"/>
        <v>0</v>
      </c>
      <c r="H12" s="632"/>
      <c r="I12" s="632"/>
      <c r="J12" s="632"/>
      <c r="K12" s="632"/>
      <c r="L12" s="632"/>
      <c r="M12" s="632"/>
      <c r="N12" s="632"/>
      <c r="O12" s="632"/>
      <c r="P12" s="632"/>
      <c r="Q12" s="631">
        <f t="shared" si="1"/>
        <v>0</v>
      </c>
      <c r="R12" s="632"/>
      <c r="S12" s="632"/>
      <c r="T12" s="632"/>
      <c r="U12" s="632"/>
    </row>
    <row r="13" spans="1:22" s="614" customFormat="1" ht="20.100000000000001" customHeight="1">
      <c r="G13" s="631">
        <f t="shared" si="0"/>
        <v>0</v>
      </c>
      <c r="H13" s="632"/>
      <c r="I13" s="632"/>
      <c r="J13" s="632"/>
      <c r="K13" s="632"/>
      <c r="L13" s="632"/>
      <c r="M13" s="632"/>
      <c r="N13" s="632"/>
      <c r="O13" s="632"/>
      <c r="P13" s="632"/>
      <c r="Q13" s="631">
        <f t="shared" si="1"/>
        <v>0</v>
      </c>
      <c r="R13" s="632"/>
      <c r="S13" s="632"/>
      <c r="T13" s="632"/>
      <c r="U13" s="632"/>
    </row>
    <row r="14" spans="1:22" s="614" customFormat="1" ht="20.100000000000001" customHeight="1">
      <c r="G14" s="631">
        <f t="shared" si="0"/>
        <v>0</v>
      </c>
      <c r="H14" s="632"/>
      <c r="I14" s="632"/>
      <c r="J14" s="632"/>
      <c r="K14" s="632"/>
      <c r="L14" s="632"/>
      <c r="M14" s="632"/>
      <c r="N14" s="632"/>
      <c r="O14" s="632"/>
      <c r="P14" s="632"/>
      <c r="Q14" s="631">
        <f t="shared" si="1"/>
        <v>0</v>
      </c>
      <c r="R14" s="632"/>
      <c r="S14" s="632"/>
      <c r="T14" s="632"/>
      <c r="U14" s="632"/>
    </row>
    <row r="15" spans="1:22" s="614" customFormat="1" ht="20.100000000000001" customHeight="1">
      <c r="G15" s="631">
        <f t="shared" si="0"/>
        <v>0</v>
      </c>
      <c r="H15" s="632"/>
      <c r="I15" s="632"/>
      <c r="J15" s="632"/>
      <c r="K15" s="632"/>
      <c r="L15" s="632"/>
      <c r="M15" s="632"/>
      <c r="N15" s="632"/>
      <c r="O15" s="632"/>
      <c r="P15" s="632"/>
      <c r="Q15" s="631">
        <f t="shared" si="1"/>
        <v>0</v>
      </c>
      <c r="R15" s="632"/>
      <c r="S15" s="632"/>
      <c r="T15" s="632"/>
      <c r="U15" s="632"/>
    </row>
    <row r="16" spans="1:22" s="614" customFormat="1" ht="20.100000000000001" customHeight="1">
      <c r="G16" s="631">
        <f t="shared" si="0"/>
        <v>0</v>
      </c>
      <c r="H16" s="632"/>
      <c r="I16" s="632"/>
      <c r="J16" s="632"/>
      <c r="K16" s="632"/>
      <c r="L16" s="632"/>
      <c r="M16" s="632"/>
      <c r="N16" s="632"/>
      <c r="O16" s="632"/>
      <c r="P16" s="632"/>
      <c r="Q16" s="631">
        <f t="shared" si="1"/>
        <v>0</v>
      </c>
      <c r="R16" s="632"/>
      <c r="S16" s="632"/>
      <c r="T16" s="632"/>
      <c r="U16" s="632"/>
    </row>
    <row r="17" spans="1:21" s="614" customFormat="1" ht="20.100000000000001" customHeight="1">
      <c r="G17" s="631">
        <f t="shared" si="0"/>
        <v>0</v>
      </c>
      <c r="H17" s="632"/>
      <c r="I17" s="632"/>
      <c r="J17" s="632"/>
      <c r="K17" s="632"/>
      <c r="L17" s="632"/>
      <c r="M17" s="632"/>
      <c r="N17" s="632"/>
      <c r="O17" s="632"/>
      <c r="P17" s="632"/>
      <c r="Q17" s="631">
        <f t="shared" si="1"/>
        <v>0</v>
      </c>
      <c r="R17" s="632"/>
      <c r="S17" s="632"/>
      <c r="T17" s="632"/>
      <c r="U17" s="632"/>
    </row>
    <row r="18" spans="1:21" s="614" customFormat="1" ht="20.100000000000001" customHeight="1">
      <c r="G18" s="631">
        <f t="shared" si="0"/>
        <v>0</v>
      </c>
      <c r="H18" s="632"/>
      <c r="I18" s="632"/>
      <c r="J18" s="632"/>
      <c r="K18" s="632"/>
      <c r="L18" s="632"/>
      <c r="M18" s="632"/>
      <c r="N18" s="632"/>
      <c r="O18" s="632"/>
      <c r="P18" s="632"/>
      <c r="Q18" s="631">
        <f t="shared" si="1"/>
        <v>0</v>
      </c>
      <c r="R18" s="632"/>
      <c r="S18" s="632"/>
      <c r="T18" s="632"/>
      <c r="U18" s="632"/>
    </row>
    <row r="19" spans="1:21" s="614" customFormat="1" ht="20.100000000000001" customHeight="1">
      <c r="G19" s="631">
        <f t="shared" si="0"/>
        <v>0</v>
      </c>
      <c r="H19" s="632"/>
      <c r="I19" s="632"/>
      <c r="J19" s="632"/>
      <c r="K19" s="632"/>
      <c r="L19" s="632"/>
      <c r="M19" s="632"/>
      <c r="N19" s="632"/>
      <c r="O19" s="632"/>
      <c r="P19" s="632"/>
      <c r="Q19" s="631">
        <f t="shared" si="1"/>
        <v>0</v>
      </c>
      <c r="R19" s="632"/>
      <c r="S19" s="632"/>
      <c r="T19" s="632"/>
      <c r="U19" s="632"/>
    </row>
    <row r="20" spans="1:21" s="614" customFormat="1" ht="20.100000000000001" customHeight="1">
      <c r="A20" s="614" t="s">
        <v>142</v>
      </c>
      <c r="G20" s="631">
        <f t="shared" ref="G20:U20" si="2">SUM(G6:G19)</f>
        <v>0</v>
      </c>
      <c r="H20" s="631">
        <f t="shared" si="2"/>
        <v>0</v>
      </c>
      <c r="I20" s="631">
        <f t="shared" si="2"/>
        <v>0</v>
      </c>
      <c r="J20" s="631">
        <f t="shared" si="2"/>
        <v>0</v>
      </c>
      <c r="K20" s="631">
        <f t="shared" si="2"/>
        <v>0</v>
      </c>
      <c r="L20" s="632"/>
      <c r="M20" s="632"/>
      <c r="N20" s="632"/>
      <c r="O20" s="632"/>
      <c r="P20" s="632"/>
      <c r="Q20" s="631">
        <f t="shared" si="2"/>
        <v>0</v>
      </c>
      <c r="R20" s="631">
        <f t="shared" si="2"/>
        <v>0</v>
      </c>
      <c r="S20" s="631">
        <f t="shared" si="2"/>
        <v>0</v>
      </c>
      <c r="T20" s="631">
        <f t="shared" si="2"/>
        <v>0</v>
      </c>
      <c r="U20" s="631">
        <f t="shared" si="2"/>
        <v>0</v>
      </c>
    </row>
    <row r="21" spans="1:21" s="614" customFormat="1" ht="20.100000000000001" customHeight="1">
      <c r="A21" s="1038" t="s">
        <v>519</v>
      </c>
      <c r="B21" s="1039" t="s">
        <v>520</v>
      </c>
      <c r="C21" s="1039"/>
      <c r="D21" s="1039"/>
      <c r="E21" s="1039"/>
      <c r="F21" s="1039"/>
      <c r="G21" s="1041" t="s">
        <v>521</v>
      </c>
      <c r="H21" s="1041"/>
      <c r="I21" s="1041"/>
      <c r="J21" s="1041"/>
      <c r="K21" s="1041"/>
      <c r="L21" s="1039" t="s">
        <v>522</v>
      </c>
      <c r="M21" s="1039"/>
      <c r="N21" s="1039"/>
      <c r="O21" s="1039"/>
      <c r="P21" s="1039"/>
      <c r="Q21" s="1041" t="s">
        <v>523</v>
      </c>
      <c r="R21" s="1041"/>
      <c r="S21" s="1041"/>
      <c r="T21" s="1041"/>
      <c r="U21" s="1041"/>
    </row>
    <row r="22" spans="1:21" s="614" customFormat="1" ht="20.100000000000001" customHeight="1">
      <c r="A22" s="1038"/>
      <c r="B22" s="594" t="s">
        <v>497</v>
      </c>
      <c r="C22" s="604" t="s">
        <v>515</v>
      </c>
      <c r="D22" s="604" t="s">
        <v>516</v>
      </c>
      <c r="E22" s="604" t="s">
        <v>517</v>
      </c>
      <c r="F22" s="604" t="s">
        <v>518</v>
      </c>
      <c r="G22" s="634" t="s">
        <v>497</v>
      </c>
      <c r="H22" s="633" t="s">
        <v>515</v>
      </c>
      <c r="I22" s="633" t="s">
        <v>516</v>
      </c>
      <c r="J22" s="633" t="s">
        <v>517</v>
      </c>
      <c r="K22" s="636" t="s">
        <v>518</v>
      </c>
      <c r="L22" s="594" t="s">
        <v>497</v>
      </c>
      <c r="M22" s="604" t="s">
        <v>515</v>
      </c>
      <c r="N22" s="604" t="s">
        <v>516</v>
      </c>
      <c r="O22" s="604" t="s">
        <v>517</v>
      </c>
      <c r="P22" s="604" t="s">
        <v>518</v>
      </c>
      <c r="Q22" s="634" t="s">
        <v>497</v>
      </c>
      <c r="R22" s="633" t="s">
        <v>515</v>
      </c>
      <c r="S22" s="633" t="s">
        <v>516</v>
      </c>
      <c r="T22" s="633" t="s">
        <v>517</v>
      </c>
      <c r="U22" s="633" t="s">
        <v>518</v>
      </c>
    </row>
    <row r="23" spans="1:21" s="614" customFormat="1" ht="20.100000000000001" customHeight="1">
      <c r="A23" s="635">
        <f t="shared" ref="A23:A36" si="3">A6</f>
        <v>0</v>
      </c>
      <c r="G23" s="631">
        <f t="shared" ref="G23:G36" si="4">SUM(H23:K23)</f>
        <v>0</v>
      </c>
      <c r="H23" s="632"/>
      <c r="I23" s="632"/>
      <c r="J23" s="632"/>
      <c r="K23" s="632"/>
      <c r="L23" s="632"/>
      <c r="M23" s="632"/>
      <c r="N23" s="632"/>
      <c r="O23" s="632"/>
      <c r="P23" s="632"/>
      <c r="Q23" s="631">
        <f t="shared" ref="Q23:Q36" si="5">SUM(R23:U23)</f>
        <v>0</v>
      </c>
      <c r="R23" s="632"/>
      <c r="S23" s="632"/>
      <c r="T23" s="632"/>
      <c r="U23" s="632"/>
    </row>
    <row r="24" spans="1:21" s="614" customFormat="1" ht="20.100000000000001" customHeight="1">
      <c r="A24" s="635">
        <f t="shared" si="3"/>
        <v>0</v>
      </c>
      <c r="G24" s="631">
        <f t="shared" si="4"/>
        <v>0</v>
      </c>
      <c r="H24" s="632"/>
      <c r="I24" s="632"/>
      <c r="J24" s="632"/>
      <c r="K24" s="632"/>
      <c r="L24" s="632"/>
      <c r="M24" s="632"/>
      <c r="N24" s="632"/>
      <c r="O24" s="632"/>
      <c r="P24" s="632"/>
      <c r="Q24" s="631">
        <f t="shared" si="5"/>
        <v>0</v>
      </c>
      <c r="R24" s="632"/>
      <c r="S24" s="632"/>
      <c r="T24" s="632"/>
      <c r="U24" s="632"/>
    </row>
    <row r="25" spans="1:21" s="614" customFormat="1" ht="20.100000000000001" customHeight="1">
      <c r="A25" s="635">
        <f t="shared" si="3"/>
        <v>0</v>
      </c>
      <c r="G25" s="631">
        <f t="shared" si="4"/>
        <v>0</v>
      </c>
      <c r="H25" s="632"/>
      <c r="I25" s="632"/>
      <c r="J25" s="632"/>
      <c r="K25" s="632"/>
      <c r="L25" s="632"/>
      <c r="M25" s="632"/>
      <c r="N25" s="632"/>
      <c r="O25" s="632"/>
      <c r="P25" s="632"/>
      <c r="Q25" s="631">
        <f t="shared" si="5"/>
        <v>0</v>
      </c>
      <c r="R25" s="632"/>
      <c r="S25" s="632"/>
      <c r="T25" s="632"/>
      <c r="U25" s="632"/>
    </row>
    <row r="26" spans="1:21" s="614" customFormat="1" ht="20.100000000000001" customHeight="1">
      <c r="A26" s="635">
        <f t="shared" si="3"/>
        <v>0</v>
      </c>
      <c r="G26" s="631">
        <f t="shared" si="4"/>
        <v>0</v>
      </c>
      <c r="H26" s="632"/>
      <c r="I26" s="632"/>
      <c r="J26" s="632"/>
      <c r="K26" s="632"/>
      <c r="L26" s="632"/>
      <c r="M26" s="632"/>
      <c r="N26" s="632"/>
      <c r="O26" s="632"/>
      <c r="P26" s="632"/>
      <c r="Q26" s="631">
        <f t="shared" si="5"/>
        <v>0</v>
      </c>
      <c r="R26" s="632"/>
      <c r="S26" s="632"/>
      <c r="T26" s="632"/>
      <c r="U26" s="632"/>
    </row>
    <row r="27" spans="1:21" s="614" customFormat="1" ht="20.100000000000001" customHeight="1">
      <c r="A27" s="635">
        <f t="shared" si="3"/>
        <v>0</v>
      </c>
      <c r="G27" s="631">
        <f t="shared" si="4"/>
        <v>0</v>
      </c>
      <c r="H27" s="632"/>
      <c r="I27" s="632"/>
      <c r="J27" s="632"/>
      <c r="K27" s="632"/>
      <c r="L27" s="632"/>
      <c r="M27" s="632"/>
      <c r="N27" s="632"/>
      <c r="O27" s="632"/>
      <c r="P27" s="632"/>
      <c r="Q27" s="631">
        <f t="shared" si="5"/>
        <v>0</v>
      </c>
      <c r="R27" s="632"/>
      <c r="S27" s="632"/>
      <c r="T27" s="632"/>
      <c r="U27" s="632"/>
    </row>
    <row r="28" spans="1:21" s="614" customFormat="1" ht="20.100000000000001" customHeight="1">
      <c r="A28" s="635">
        <f t="shared" si="3"/>
        <v>0</v>
      </c>
      <c r="G28" s="631">
        <f t="shared" si="4"/>
        <v>0</v>
      </c>
      <c r="H28" s="632"/>
      <c r="I28" s="632"/>
      <c r="J28" s="632"/>
      <c r="K28" s="632"/>
      <c r="L28" s="632"/>
      <c r="M28" s="632"/>
      <c r="N28" s="632"/>
      <c r="O28" s="632"/>
      <c r="P28" s="632"/>
      <c r="Q28" s="631">
        <f t="shared" si="5"/>
        <v>0</v>
      </c>
      <c r="R28" s="632"/>
      <c r="S28" s="632"/>
      <c r="T28" s="632"/>
      <c r="U28" s="632"/>
    </row>
    <row r="29" spans="1:21" s="614" customFormat="1" ht="20.100000000000001" customHeight="1">
      <c r="A29" s="635">
        <f t="shared" si="3"/>
        <v>0</v>
      </c>
      <c r="G29" s="631">
        <f t="shared" si="4"/>
        <v>0</v>
      </c>
      <c r="H29" s="632"/>
      <c r="I29" s="632"/>
      <c r="J29" s="632"/>
      <c r="K29" s="632"/>
      <c r="L29" s="632"/>
      <c r="M29" s="632"/>
      <c r="N29" s="632"/>
      <c r="O29" s="632"/>
      <c r="P29" s="632"/>
      <c r="Q29" s="631">
        <f t="shared" si="5"/>
        <v>0</v>
      </c>
      <c r="R29" s="632"/>
      <c r="S29" s="632"/>
      <c r="T29" s="632"/>
      <c r="U29" s="632"/>
    </row>
    <row r="30" spans="1:21" s="614" customFormat="1" ht="20.100000000000001" customHeight="1">
      <c r="A30" s="635">
        <f t="shared" si="3"/>
        <v>0</v>
      </c>
      <c r="G30" s="631">
        <f t="shared" si="4"/>
        <v>0</v>
      </c>
      <c r="H30" s="632"/>
      <c r="I30" s="632"/>
      <c r="J30" s="632"/>
      <c r="K30" s="632"/>
      <c r="L30" s="632"/>
      <c r="M30" s="632"/>
      <c r="N30" s="632"/>
      <c r="O30" s="632"/>
      <c r="P30" s="632"/>
      <c r="Q30" s="631">
        <f t="shared" si="5"/>
        <v>0</v>
      </c>
      <c r="R30" s="632"/>
      <c r="S30" s="632"/>
      <c r="T30" s="632"/>
      <c r="U30" s="632"/>
    </row>
    <row r="31" spans="1:21" s="614" customFormat="1" ht="20.100000000000001" customHeight="1">
      <c r="A31" s="635">
        <f t="shared" si="3"/>
        <v>0</v>
      </c>
      <c r="G31" s="631">
        <f t="shared" si="4"/>
        <v>0</v>
      </c>
      <c r="H31" s="632"/>
      <c r="I31" s="632"/>
      <c r="J31" s="632"/>
      <c r="K31" s="632"/>
      <c r="L31" s="632"/>
      <c r="M31" s="632"/>
      <c r="N31" s="632"/>
      <c r="O31" s="632"/>
      <c r="P31" s="632"/>
      <c r="Q31" s="631">
        <f t="shared" si="5"/>
        <v>0</v>
      </c>
      <c r="R31" s="632"/>
      <c r="S31" s="632"/>
      <c r="T31" s="632"/>
      <c r="U31" s="632"/>
    </row>
    <row r="32" spans="1:21" s="614" customFormat="1" ht="20.100000000000001" customHeight="1">
      <c r="A32" s="635">
        <f t="shared" si="3"/>
        <v>0</v>
      </c>
      <c r="G32" s="631">
        <f t="shared" si="4"/>
        <v>0</v>
      </c>
      <c r="H32" s="632"/>
      <c r="I32" s="632"/>
      <c r="J32" s="632"/>
      <c r="K32" s="632"/>
      <c r="L32" s="632"/>
      <c r="M32" s="632"/>
      <c r="N32" s="632"/>
      <c r="O32" s="632"/>
      <c r="P32" s="632"/>
      <c r="Q32" s="631">
        <f t="shared" si="5"/>
        <v>0</v>
      </c>
      <c r="R32" s="632"/>
      <c r="S32" s="632"/>
      <c r="T32" s="632"/>
      <c r="U32" s="632"/>
    </row>
    <row r="33" spans="1:21" s="614" customFormat="1" ht="20.100000000000001" customHeight="1">
      <c r="A33" s="635">
        <f t="shared" si="3"/>
        <v>0</v>
      </c>
      <c r="G33" s="631">
        <f t="shared" si="4"/>
        <v>0</v>
      </c>
      <c r="H33" s="632"/>
      <c r="I33" s="632"/>
      <c r="J33" s="632"/>
      <c r="K33" s="632"/>
      <c r="L33" s="632"/>
      <c r="M33" s="632"/>
      <c r="N33" s="632"/>
      <c r="O33" s="632"/>
      <c r="P33" s="632"/>
      <c r="Q33" s="631">
        <f t="shared" si="5"/>
        <v>0</v>
      </c>
      <c r="R33" s="632"/>
      <c r="S33" s="632"/>
      <c r="T33" s="632"/>
      <c r="U33" s="632"/>
    </row>
    <row r="34" spans="1:21" s="614" customFormat="1" ht="20.100000000000001" customHeight="1">
      <c r="A34" s="635">
        <f t="shared" si="3"/>
        <v>0</v>
      </c>
      <c r="G34" s="631">
        <f t="shared" si="4"/>
        <v>0</v>
      </c>
      <c r="H34" s="632"/>
      <c r="I34" s="632"/>
      <c r="J34" s="632"/>
      <c r="K34" s="632"/>
      <c r="L34" s="632"/>
      <c r="M34" s="632"/>
      <c r="N34" s="632"/>
      <c r="O34" s="632"/>
      <c r="P34" s="632"/>
      <c r="Q34" s="631">
        <f t="shared" si="5"/>
        <v>0</v>
      </c>
      <c r="R34" s="632"/>
      <c r="S34" s="632"/>
      <c r="T34" s="632"/>
      <c r="U34" s="632"/>
    </row>
    <row r="35" spans="1:21" s="614" customFormat="1" ht="20.100000000000001" customHeight="1">
      <c r="A35" s="635">
        <f t="shared" si="3"/>
        <v>0</v>
      </c>
      <c r="G35" s="631">
        <f t="shared" si="4"/>
        <v>0</v>
      </c>
      <c r="H35" s="632"/>
      <c r="I35" s="632"/>
      <c r="J35" s="632"/>
      <c r="K35" s="632"/>
      <c r="L35" s="632"/>
      <c r="M35" s="632"/>
      <c r="N35" s="632"/>
      <c r="O35" s="632"/>
      <c r="P35" s="632"/>
      <c r="Q35" s="631">
        <f t="shared" si="5"/>
        <v>0</v>
      </c>
      <c r="R35" s="632"/>
      <c r="S35" s="632"/>
      <c r="T35" s="632"/>
      <c r="U35" s="632"/>
    </row>
    <row r="36" spans="1:21" s="614" customFormat="1" ht="20.100000000000001" customHeight="1">
      <c r="A36" s="635">
        <f t="shared" si="3"/>
        <v>0</v>
      </c>
      <c r="G36" s="631">
        <f t="shared" si="4"/>
        <v>0</v>
      </c>
      <c r="H36" s="632"/>
      <c r="I36" s="632"/>
      <c r="J36" s="632"/>
      <c r="K36" s="632"/>
      <c r="L36" s="632"/>
      <c r="M36" s="632"/>
      <c r="N36" s="632"/>
      <c r="O36" s="632"/>
      <c r="P36" s="632"/>
      <c r="Q36" s="631">
        <f t="shared" si="5"/>
        <v>0</v>
      </c>
      <c r="R36" s="632"/>
      <c r="S36" s="632"/>
      <c r="T36" s="632"/>
      <c r="U36" s="632"/>
    </row>
    <row r="37" spans="1:21" s="614" customFormat="1" ht="20.100000000000001" customHeight="1">
      <c r="A37" s="614" t="s">
        <v>142</v>
      </c>
      <c r="G37" s="631">
        <f t="shared" ref="G37:U37" si="6">SUM(G23:G36)</f>
        <v>0</v>
      </c>
      <c r="H37" s="631">
        <f t="shared" si="6"/>
        <v>0</v>
      </c>
      <c r="I37" s="631">
        <f t="shared" si="6"/>
        <v>0</v>
      </c>
      <c r="J37" s="631">
        <f t="shared" si="6"/>
        <v>0</v>
      </c>
      <c r="K37" s="631">
        <f t="shared" si="6"/>
        <v>0</v>
      </c>
      <c r="L37" s="632"/>
      <c r="M37" s="632"/>
      <c r="N37" s="632"/>
      <c r="O37" s="632"/>
      <c r="P37" s="632"/>
      <c r="Q37" s="631">
        <f t="shared" si="6"/>
        <v>0</v>
      </c>
      <c r="R37" s="631">
        <f t="shared" si="6"/>
        <v>0</v>
      </c>
      <c r="S37" s="631">
        <f t="shared" si="6"/>
        <v>0</v>
      </c>
      <c r="T37" s="631">
        <f t="shared" si="6"/>
        <v>0</v>
      </c>
      <c r="U37" s="631">
        <f t="shared" si="6"/>
        <v>0</v>
      </c>
    </row>
  </sheetData>
  <mergeCells count="10">
    <mergeCell ref="Q4:U4"/>
    <mergeCell ref="B21:F21"/>
    <mergeCell ref="G21:K21"/>
    <mergeCell ref="L21:P21"/>
    <mergeCell ref="Q21:U21"/>
    <mergeCell ref="A4:A5"/>
    <mergeCell ref="A21:A22"/>
    <mergeCell ref="B4:F4"/>
    <mergeCell ref="G4:K4"/>
    <mergeCell ref="L4:P4"/>
  </mergeCells>
  <phoneticPr fontId="78" type="noConversion"/>
  <hyperlinks>
    <hyperlink ref="L1" location="目录!A1" display="BACK"/>
  </hyperlinks>
  <pageMargins left="0.98402777777777795" right="0.43263888888888902" top="0.66805555555555596" bottom="0.39305555555555599" header="0.31388888888888899" footer="0.15625"/>
  <pageSetup paperSize="9" scale="94" orientation="portrait" blackAndWhite="1" r:id="rId1"/>
  <headerFooter alignWithMargins="0"/>
  <colBreaks count="3" manualBreakCount="3">
    <brk id="6" max="1048575" man="1"/>
    <brk id="11" max="1048575" man="1"/>
    <brk id="1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22"/>
  <sheetViews>
    <sheetView view="pageBreakPreview" topLeftCell="A10" zoomScaleNormal="100" zoomScaleSheetLayoutView="100" workbookViewId="0">
      <selection activeCell="I1" sqref="I1"/>
    </sheetView>
  </sheetViews>
  <sheetFormatPr defaultColWidth="9" defaultRowHeight="20.100000000000001" customHeight="1"/>
  <cols>
    <col min="1" max="1" width="13.59765625" style="98" customWidth="1"/>
    <col min="2" max="2" width="16.09765625" style="98" customWidth="1"/>
    <col min="3" max="3" width="13" style="98" customWidth="1"/>
    <col min="4" max="7" width="16.8984375" style="98" customWidth="1"/>
    <col min="8" max="8" width="9" style="98"/>
    <col min="9" max="10" width="11.09765625" style="98" customWidth="1"/>
    <col min="11" max="11" width="14.59765625" style="98" customWidth="1"/>
    <col min="12" max="12" width="12.5" style="98" customWidth="1"/>
    <col min="13" max="13" width="11.69921875" style="98" customWidth="1"/>
    <col min="14" max="16384" width="9" style="98"/>
  </cols>
  <sheetData>
    <row r="1" spans="1:9" s="607" customFormat="1" ht="24.9" customHeight="1">
      <c r="A1" s="48" t="s">
        <v>145</v>
      </c>
      <c r="B1" s="49">
        <f>基础信息!B6</f>
        <v>0</v>
      </c>
      <c r="C1" s="598"/>
      <c r="D1" s="608"/>
      <c r="E1" s="364"/>
      <c r="F1" s="608"/>
      <c r="G1" s="608"/>
      <c r="H1" s="609"/>
      <c r="I1" s="900" t="s">
        <v>146</v>
      </c>
    </row>
    <row r="2" spans="1:9" s="607" customFormat="1" ht="24.9" customHeight="1">
      <c r="A2" s="48" t="str">
        <f>基础信息!A9</f>
        <v>财务期间</v>
      </c>
      <c r="B2" s="49">
        <f>基础信息!B9</f>
        <v>0</v>
      </c>
      <c r="C2" s="598"/>
      <c r="D2" s="608"/>
      <c r="E2" s="608"/>
      <c r="F2" s="608"/>
      <c r="G2" s="608"/>
      <c r="H2" s="609"/>
    </row>
    <row r="3" spans="1:9" s="607" customFormat="1" ht="24.9" customHeight="1">
      <c r="A3" s="48" t="s">
        <v>148</v>
      </c>
      <c r="B3" s="48" t="s">
        <v>524</v>
      </c>
      <c r="C3" s="610"/>
      <c r="D3" s="611"/>
      <c r="E3" s="611"/>
      <c r="F3" s="611"/>
      <c r="G3" s="611"/>
      <c r="H3" s="609"/>
    </row>
    <row r="4" spans="1:9" s="96" customFormat="1" ht="35.25" customHeight="1">
      <c r="A4" s="10" t="s">
        <v>525</v>
      </c>
      <c r="B4" s="10" t="s">
        <v>526</v>
      </c>
      <c r="C4" s="10" t="s">
        <v>527</v>
      </c>
      <c r="D4" s="10" t="s">
        <v>528</v>
      </c>
      <c r="E4" s="10" t="s">
        <v>529</v>
      </c>
      <c r="F4" s="10" t="s">
        <v>530</v>
      </c>
      <c r="G4" s="20" t="s">
        <v>531</v>
      </c>
    </row>
    <row r="5" spans="1:9" s="96" customFormat="1" ht="20.100000000000001" customHeight="1">
      <c r="D5" s="602"/>
      <c r="E5" s="602"/>
      <c r="F5" s="602"/>
      <c r="G5" s="612"/>
    </row>
    <row r="6" spans="1:9" s="96" customFormat="1" ht="20.100000000000001" customHeight="1">
      <c r="D6" s="602"/>
      <c r="E6" s="602"/>
      <c r="F6" s="602"/>
      <c r="G6" s="612"/>
    </row>
    <row r="7" spans="1:9" s="96" customFormat="1" ht="20.100000000000001" customHeight="1">
      <c r="D7" s="602"/>
      <c r="E7" s="602"/>
      <c r="F7" s="602"/>
      <c r="G7" s="612"/>
    </row>
    <row r="8" spans="1:9" s="96" customFormat="1" ht="20.100000000000001" customHeight="1">
      <c r="D8" s="602"/>
      <c r="E8" s="602"/>
      <c r="F8" s="602"/>
      <c r="G8" s="612"/>
    </row>
    <row r="9" spans="1:9" s="96" customFormat="1" ht="20.100000000000001" customHeight="1">
      <c r="D9" s="602"/>
      <c r="E9" s="602"/>
      <c r="F9" s="602"/>
      <c r="G9" s="612"/>
    </row>
    <row r="10" spans="1:9" s="96" customFormat="1" ht="20.100000000000001" customHeight="1">
      <c r="D10" s="602"/>
      <c r="E10" s="602"/>
      <c r="F10" s="602"/>
      <c r="G10" s="612"/>
    </row>
    <row r="11" spans="1:9" s="96" customFormat="1" ht="20.100000000000001" customHeight="1">
      <c r="D11" s="602"/>
      <c r="E11" s="602"/>
      <c r="F11" s="602"/>
      <c r="G11" s="612"/>
    </row>
    <row r="12" spans="1:9" s="96" customFormat="1" ht="20.100000000000001" customHeight="1">
      <c r="D12" s="602"/>
      <c r="E12" s="602"/>
      <c r="F12" s="602"/>
      <c r="G12" s="612"/>
    </row>
    <row r="13" spans="1:9" s="96" customFormat="1" ht="20.100000000000001" customHeight="1">
      <c r="D13" s="602"/>
      <c r="E13" s="602"/>
      <c r="F13" s="602"/>
      <c r="G13" s="612"/>
    </row>
    <row r="14" spans="1:9" s="96" customFormat="1" ht="20.100000000000001" customHeight="1">
      <c r="D14" s="602"/>
      <c r="E14" s="602"/>
      <c r="F14" s="602"/>
      <c r="G14" s="612"/>
    </row>
    <row r="15" spans="1:9" s="96" customFormat="1" ht="20.100000000000001" customHeight="1">
      <c r="D15" s="602"/>
      <c r="E15" s="602"/>
      <c r="F15" s="602"/>
      <c r="G15" s="612"/>
    </row>
    <row r="16" spans="1:9" s="96" customFormat="1" ht="20.100000000000001" customHeight="1">
      <c r="D16" s="602"/>
      <c r="E16" s="602"/>
      <c r="F16" s="602"/>
      <c r="G16" s="612"/>
    </row>
    <row r="17" spans="1:7" s="96" customFormat="1" ht="20.100000000000001" customHeight="1">
      <c r="D17" s="602"/>
      <c r="E17" s="602"/>
      <c r="F17" s="602"/>
      <c r="G17" s="612"/>
    </row>
    <row r="18" spans="1:7" s="96" customFormat="1" ht="20.100000000000001" customHeight="1">
      <c r="D18" s="602"/>
      <c r="E18" s="602"/>
      <c r="F18" s="602"/>
      <c r="G18" s="612"/>
    </row>
    <row r="19" spans="1:7" s="96" customFormat="1" ht="20.100000000000001" customHeight="1">
      <c r="D19" s="602"/>
      <c r="E19" s="602"/>
      <c r="F19" s="602"/>
      <c r="G19" s="612"/>
    </row>
    <row r="20" spans="1:7" s="96" customFormat="1" ht="20.100000000000001" customHeight="1">
      <c r="D20" s="602"/>
      <c r="E20" s="602"/>
      <c r="F20" s="602"/>
      <c r="G20" s="612"/>
    </row>
    <row r="21" spans="1:7" s="96" customFormat="1" ht="20.100000000000001" customHeight="1">
      <c r="D21" s="602"/>
      <c r="E21" s="602"/>
      <c r="F21" s="602"/>
      <c r="G21" s="612"/>
    </row>
    <row r="22" spans="1:7" s="96" customFormat="1" ht="20.100000000000001" customHeight="1">
      <c r="A22" s="96" t="s">
        <v>142</v>
      </c>
      <c r="D22" s="602"/>
      <c r="E22" s="602"/>
      <c r="F22" s="602"/>
      <c r="G22" s="612"/>
    </row>
  </sheetData>
  <phoneticPr fontId="78" type="noConversion"/>
  <dataValidations count="2">
    <dataValidation type="list" allowBlank="1" showInputMessage="1" showErrorMessage="1" sqref="B5:B21">
      <formula1>$J$4:$J$6</formula1>
    </dataValidation>
    <dataValidation type="list" allowBlank="1" showInputMessage="1" showErrorMessage="1" sqref="C5:C21">
      <formula1>$K$4:$K$8</formula1>
    </dataValidation>
  </dataValidations>
  <hyperlinks>
    <hyperlink ref="I1" location="目录!A1" display="BACK"/>
  </hyperlinks>
  <pageMargins left="1.1013888888888901" right="0.27500000000000002" top="0.98402777777777795" bottom="0.98402777777777795" header="0.51180555555555596" footer="0.51180555555555596"/>
  <pageSetup paperSize="9" orientation="landscape" blackAndWhite="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U44"/>
  <sheetViews>
    <sheetView view="pageBreakPreview" zoomScaleNormal="100" zoomScaleSheetLayoutView="100" workbookViewId="0">
      <selection activeCell="A19" sqref="A19:K22"/>
    </sheetView>
  </sheetViews>
  <sheetFormatPr defaultColWidth="9" defaultRowHeight="20.100000000000001" customHeight="1"/>
  <cols>
    <col min="1" max="1" width="13" style="98" customWidth="1"/>
    <col min="2" max="2" width="15" style="98" customWidth="1"/>
    <col min="3" max="3" width="12.3984375" style="98" customWidth="1"/>
    <col min="4" max="4" width="13" style="98" customWidth="1"/>
    <col min="5" max="5" width="14.59765625" style="98" customWidth="1"/>
    <col min="6" max="6" width="14" style="98" customWidth="1"/>
    <col min="7" max="7" width="13" style="98" customWidth="1"/>
    <col min="8" max="8" width="14.59765625" style="98" customWidth="1"/>
    <col min="9" max="9" width="14" style="98" customWidth="1"/>
    <col min="10" max="10" width="9.19921875" style="98" customWidth="1"/>
    <col min="11" max="12" width="10.09765625" style="98" customWidth="1"/>
    <col min="13" max="13" width="12.69921875" style="98" customWidth="1"/>
    <col min="14" max="14" width="14.09765625" style="98" customWidth="1"/>
    <col min="15" max="17" width="9" style="98"/>
    <col min="18" max="18" width="11.69921875" style="98" customWidth="1"/>
    <col min="19" max="19" width="14" style="98" customWidth="1"/>
    <col min="20" max="16384" width="9" style="98"/>
  </cols>
  <sheetData>
    <row r="1" spans="1:21" s="597" customFormat="1" ht="24.9" customHeight="1">
      <c r="A1" s="48" t="s">
        <v>145</v>
      </c>
      <c r="B1" s="49">
        <f>基础信息!B6</f>
        <v>0</v>
      </c>
      <c r="C1" s="598"/>
      <c r="D1" s="599"/>
      <c r="E1" s="8"/>
      <c r="F1" s="599"/>
      <c r="G1" s="599"/>
      <c r="H1" s="599"/>
      <c r="I1" s="599"/>
      <c r="J1" s="605"/>
      <c r="K1" s="900" t="s">
        <v>146</v>
      </c>
    </row>
    <row r="2" spans="1:21" s="597" customFormat="1" ht="24.9" customHeight="1">
      <c r="A2" s="48" t="str">
        <f>基础信息!A9</f>
        <v>财务期间</v>
      </c>
      <c r="B2" s="49">
        <f>基础信息!B9</f>
        <v>0</v>
      </c>
      <c r="C2" s="598"/>
      <c r="D2" s="599"/>
      <c r="E2" s="599"/>
      <c r="F2" s="599"/>
      <c r="G2" s="599"/>
      <c r="H2" s="599"/>
      <c r="I2" s="599"/>
      <c r="J2" s="605"/>
    </row>
    <row r="3" spans="1:21" ht="24.9" customHeight="1">
      <c r="A3" s="91" t="s">
        <v>148</v>
      </c>
      <c r="B3" s="1042" t="s">
        <v>532</v>
      </c>
      <c r="C3" s="1043"/>
      <c r="D3" s="1043"/>
      <c r="E3" s="600"/>
      <c r="F3" s="600"/>
      <c r="G3" s="600"/>
      <c r="H3" s="600"/>
      <c r="I3" s="600"/>
      <c r="J3" s="351"/>
    </row>
    <row r="4" spans="1:21" s="96" customFormat="1" ht="20.100000000000001" customHeight="1">
      <c r="A4" s="601" t="s">
        <v>533</v>
      </c>
      <c r="B4" s="20"/>
      <c r="C4" s="20"/>
      <c r="D4" s="20"/>
      <c r="E4" s="20"/>
      <c r="F4" s="20"/>
      <c r="G4" s="20"/>
      <c r="H4" s="20"/>
      <c r="I4" s="20"/>
    </row>
    <row r="5" spans="1:21" s="284" customFormat="1" ht="38.25" customHeight="1">
      <c r="A5" s="594" t="s">
        <v>525</v>
      </c>
      <c r="B5" s="594" t="s">
        <v>534</v>
      </c>
      <c r="C5" s="594" t="s">
        <v>535</v>
      </c>
      <c r="D5" s="594" t="s">
        <v>536</v>
      </c>
      <c r="E5" s="594" t="s">
        <v>537</v>
      </c>
      <c r="F5" s="594" t="s">
        <v>538</v>
      </c>
      <c r="G5" s="594" t="s">
        <v>539</v>
      </c>
      <c r="H5" s="594" t="s">
        <v>540</v>
      </c>
      <c r="I5" s="594" t="s">
        <v>541</v>
      </c>
      <c r="J5" s="94" t="s">
        <v>542</v>
      </c>
      <c r="K5" s="246"/>
      <c r="L5" s="246"/>
      <c r="M5" s="246"/>
      <c r="N5" s="246"/>
      <c r="O5" s="246"/>
      <c r="R5" s="284" t="s">
        <v>543</v>
      </c>
      <c r="S5" s="284" t="s">
        <v>544</v>
      </c>
      <c r="T5" s="284" t="s">
        <v>545</v>
      </c>
      <c r="U5" s="284" t="s">
        <v>546</v>
      </c>
    </row>
    <row r="6" spans="1:21" s="284" customFormat="1" ht="20.100000000000001" customHeight="1">
      <c r="D6" s="602"/>
      <c r="E6" s="602"/>
      <c r="F6" s="602"/>
      <c r="G6" s="602"/>
      <c r="H6" s="602"/>
      <c r="I6" s="602"/>
      <c r="J6" s="606" t="str">
        <f>IF(G6-(D6-E6-F6)-H6=I6,"OK","NO")</f>
        <v>OK</v>
      </c>
      <c r="R6" s="284" t="s">
        <v>547</v>
      </c>
      <c r="S6" s="284" t="s">
        <v>548</v>
      </c>
      <c r="T6" s="284" t="s">
        <v>549</v>
      </c>
      <c r="U6" s="284" t="s">
        <v>550</v>
      </c>
    </row>
    <row r="7" spans="1:21" s="284" customFormat="1" ht="20.100000000000001" customHeight="1">
      <c r="D7" s="602"/>
      <c r="E7" s="602"/>
      <c r="F7" s="602"/>
      <c r="G7" s="602"/>
      <c r="H7" s="602"/>
      <c r="I7" s="602"/>
      <c r="J7" s="606" t="str">
        <f t="shared" ref="J7:J23" si="0">IF(G7-(D7-E7-F7)-H7=I7,"OK","NO")</f>
        <v>OK</v>
      </c>
      <c r="R7" s="284" t="s">
        <v>551</v>
      </c>
      <c r="S7" s="284" t="s">
        <v>552</v>
      </c>
      <c r="T7" s="284" t="s">
        <v>553</v>
      </c>
      <c r="U7" s="284" t="s">
        <v>554</v>
      </c>
    </row>
    <row r="8" spans="1:21" s="284" customFormat="1" ht="20.100000000000001" customHeight="1">
      <c r="D8" s="602"/>
      <c r="E8" s="602"/>
      <c r="F8" s="602"/>
      <c r="G8" s="602"/>
      <c r="H8" s="602"/>
      <c r="I8" s="602"/>
      <c r="J8" s="606" t="str">
        <f t="shared" si="0"/>
        <v>OK</v>
      </c>
      <c r="R8" s="284" t="s">
        <v>555</v>
      </c>
      <c r="S8" s="284" t="s">
        <v>556</v>
      </c>
      <c r="T8" s="284" t="s">
        <v>557</v>
      </c>
    </row>
    <row r="9" spans="1:21" s="284" customFormat="1" ht="20.100000000000001" customHeight="1">
      <c r="D9" s="602"/>
      <c r="E9" s="602"/>
      <c r="F9" s="602"/>
      <c r="G9" s="602"/>
      <c r="H9" s="602"/>
      <c r="I9" s="602"/>
      <c r="J9" s="606" t="str">
        <f t="shared" si="0"/>
        <v>OK</v>
      </c>
      <c r="R9" s="284" t="s">
        <v>558</v>
      </c>
      <c r="S9" s="284" t="s">
        <v>559</v>
      </c>
      <c r="T9" s="284" t="s">
        <v>560</v>
      </c>
    </row>
    <row r="10" spans="1:21" s="284" customFormat="1" ht="20.100000000000001" customHeight="1">
      <c r="D10" s="602"/>
      <c r="E10" s="602"/>
      <c r="F10" s="602"/>
      <c r="G10" s="602"/>
      <c r="H10" s="602"/>
      <c r="I10" s="602"/>
      <c r="J10" s="606" t="str">
        <f t="shared" si="0"/>
        <v>OK</v>
      </c>
      <c r="R10" s="284" t="s">
        <v>561</v>
      </c>
      <c r="S10" s="284" t="s">
        <v>562</v>
      </c>
      <c r="T10" s="284" t="s">
        <v>563</v>
      </c>
    </row>
    <row r="11" spans="1:21" s="284" customFormat="1" ht="20.100000000000001" customHeight="1">
      <c r="D11" s="602"/>
      <c r="E11" s="602"/>
      <c r="F11" s="602"/>
      <c r="G11" s="602"/>
      <c r="H11" s="602"/>
      <c r="I11" s="602"/>
      <c r="J11" s="606" t="str">
        <f t="shared" si="0"/>
        <v>OK</v>
      </c>
      <c r="R11" s="284" t="s">
        <v>564</v>
      </c>
      <c r="S11" s="284" t="s">
        <v>430</v>
      </c>
      <c r="T11" s="284" t="s">
        <v>565</v>
      </c>
    </row>
    <row r="12" spans="1:21" s="284" customFormat="1" ht="20.100000000000001" customHeight="1">
      <c r="D12" s="602"/>
      <c r="E12" s="602"/>
      <c r="F12" s="602"/>
      <c r="G12" s="602"/>
      <c r="H12" s="602"/>
      <c r="I12" s="602"/>
      <c r="J12" s="606" t="str">
        <f t="shared" si="0"/>
        <v>OK</v>
      </c>
      <c r="R12" s="284" t="s">
        <v>566</v>
      </c>
    </row>
    <row r="13" spans="1:21" s="284" customFormat="1" ht="20.100000000000001" customHeight="1">
      <c r="D13" s="602"/>
      <c r="E13" s="602"/>
      <c r="F13" s="602"/>
      <c r="G13" s="602"/>
      <c r="H13" s="602"/>
      <c r="I13" s="602"/>
      <c r="J13" s="606" t="str">
        <f t="shared" si="0"/>
        <v>OK</v>
      </c>
      <c r="R13" s="284" t="s">
        <v>567</v>
      </c>
      <c r="S13" s="284" t="s">
        <v>544</v>
      </c>
      <c r="T13" s="284" t="s">
        <v>545</v>
      </c>
    </row>
    <row r="14" spans="1:21" s="284" customFormat="1" ht="20.100000000000001" customHeight="1">
      <c r="D14" s="602"/>
      <c r="E14" s="602"/>
      <c r="F14" s="602"/>
      <c r="G14" s="602"/>
      <c r="H14" s="602"/>
      <c r="I14" s="602"/>
      <c r="J14" s="606" t="str">
        <f t="shared" si="0"/>
        <v>OK</v>
      </c>
      <c r="R14" s="284" t="s">
        <v>568</v>
      </c>
      <c r="S14" s="284" t="s">
        <v>569</v>
      </c>
    </row>
    <row r="15" spans="1:21" s="284" customFormat="1" ht="20.100000000000001" customHeight="1">
      <c r="D15" s="602"/>
      <c r="E15" s="602"/>
      <c r="F15" s="602"/>
      <c r="G15" s="602"/>
      <c r="H15" s="602"/>
      <c r="I15" s="602"/>
      <c r="J15" s="606" t="str">
        <f t="shared" si="0"/>
        <v>OK</v>
      </c>
      <c r="R15" s="284" t="s">
        <v>570</v>
      </c>
      <c r="S15" s="284" t="s">
        <v>571</v>
      </c>
      <c r="T15" s="284" t="s">
        <v>572</v>
      </c>
    </row>
    <row r="16" spans="1:21" s="284" customFormat="1" ht="20.100000000000001" customHeight="1">
      <c r="D16" s="602"/>
      <c r="E16" s="602"/>
      <c r="F16" s="602"/>
      <c r="G16" s="602"/>
      <c r="H16" s="602"/>
      <c r="I16" s="602"/>
      <c r="J16" s="606" t="str">
        <f t="shared" si="0"/>
        <v>OK</v>
      </c>
      <c r="R16" s="284" t="s">
        <v>573</v>
      </c>
      <c r="S16" s="284" t="s">
        <v>574</v>
      </c>
      <c r="T16" s="284" t="s">
        <v>575</v>
      </c>
    </row>
    <row r="17" spans="1:20" s="284" customFormat="1" ht="20.100000000000001" customHeight="1">
      <c r="D17" s="602"/>
      <c r="E17" s="602"/>
      <c r="F17" s="602"/>
      <c r="G17" s="602"/>
      <c r="H17" s="602"/>
      <c r="I17" s="602"/>
      <c r="J17" s="606" t="str">
        <f t="shared" si="0"/>
        <v>OK</v>
      </c>
      <c r="R17" s="284" t="s">
        <v>576</v>
      </c>
      <c r="S17" s="284" t="s">
        <v>577</v>
      </c>
      <c r="T17" s="284" t="s">
        <v>578</v>
      </c>
    </row>
    <row r="18" spans="1:20" s="284" customFormat="1" ht="20.100000000000001" customHeight="1">
      <c r="D18" s="602"/>
      <c r="E18" s="602"/>
      <c r="F18" s="602"/>
      <c r="G18" s="602"/>
      <c r="H18" s="602"/>
      <c r="I18" s="602"/>
      <c r="J18" s="606" t="str">
        <f t="shared" si="0"/>
        <v>OK</v>
      </c>
      <c r="R18" s="284" t="s">
        <v>579</v>
      </c>
    </row>
    <row r="19" spans="1:20" s="284" customFormat="1" ht="20.100000000000001" customHeight="1">
      <c r="D19" s="602"/>
      <c r="E19" s="602"/>
      <c r="F19" s="602"/>
      <c r="G19" s="602"/>
      <c r="H19" s="602"/>
      <c r="I19" s="602"/>
      <c r="J19" s="606" t="str">
        <f t="shared" si="0"/>
        <v>OK</v>
      </c>
      <c r="R19" s="284" t="s">
        <v>580</v>
      </c>
    </row>
    <row r="20" spans="1:20" s="284" customFormat="1" ht="20.100000000000001" customHeight="1">
      <c r="D20" s="602"/>
      <c r="E20" s="602"/>
      <c r="F20" s="602"/>
      <c r="G20" s="602"/>
      <c r="H20" s="602"/>
      <c r="I20" s="602"/>
      <c r="J20" s="606" t="str">
        <f t="shared" si="0"/>
        <v>OK</v>
      </c>
      <c r="R20" s="284" t="s">
        <v>581</v>
      </c>
    </row>
    <row r="21" spans="1:20" s="284" customFormat="1" ht="20.100000000000001" customHeight="1">
      <c r="D21" s="602"/>
      <c r="E21" s="602"/>
      <c r="F21" s="602"/>
      <c r="G21" s="602"/>
      <c r="H21" s="602"/>
      <c r="I21" s="602"/>
      <c r="J21" s="606" t="str">
        <f t="shared" si="0"/>
        <v>OK</v>
      </c>
      <c r="R21" s="284" t="s">
        <v>582</v>
      </c>
    </row>
    <row r="22" spans="1:20" s="284" customFormat="1" ht="20.100000000000001" customHeight="1">
      <c r="D22" s="602"/>
      <c r="E22" s="602"/>
      <c r="F22" s="602"/>
      <c r="G22" s="602"/>
      <c r="H22" s="602"/>
      <c r="I22" s="602"/>
      <c r="J22" s="606" t="str">
        <f t="shared" si="0"/>
        <v>OK</v>
      </c>
      <c r="R22" s="284" t="s">
        <v>583</v>
      </c>
    </row>
    <row r="23" spans="1:20" s="284" customFormat="1" ht="20.100000000000001" customHeight="1">
      <c r="A23" s="284" t="s">
        <v>142</v>
      </c>
      <c r="D23" s="602"/>
      <c r="E23" s="602"/>
      <c r="F23" s="602"/>
      <c r="G23" s="602"/>
      <c r="H23" s="602"/>
      <c r="I23" s="602"/>
      <c r="J23" s="606" t="str">
        <f t="shared" si="0"/>
        <v>OK</v>
      </c>
    </row>
    <row r="24" spans="1:20" s="284" customFormat="1" ht="20.100000000000001" customHeight="1"/>
    <row r="25" spans="1:20" s="284" customFormat="1" ht="20.100000000000001" customHeight="1">
      <c r="A25" s="603" t="s">
        <v>584</v>
      </c>
      <c r="B25" s="604"/>
      <c r="C25" s="604"/>
      <c r="D25" s="604"/>
      <c r="E25" s="604"/>
      <c r="F25" s="604"/>
      <c r="G25" s="604"/>
      <c r="H25" s="604"/>
      <c r="I25" s="604"/>
    </row>
    <row r="26" spans="1:20" s="284" customFormat="1" ht="35.25" customHeight="1">
      <c r="A26" s="594" t="s">
        <v>525</v>
      </c>
      <c r="B26" s="594" t="s">
        <v>534</v>
      </c>
      <c r="C26" s="594" t="s">
        <v>535</v>
      </c>
      <c r="D26" s="594" t="s">
        <v>585</v>
      </c>
      <c r="E26" s="594" t="s">
        <v>586</v>
      </c>
      <c r="F26" s="594" t="s">
        <v>587</v>
      </c>
      <c r="G26" s="594" t="s">
        <v>588</v>
      </c>
      <c r="H26" s="594" t="s">
        <v>589</v>
      </c>
      <c r="I26" s="594" t="s">
        <v>590</v>
      </c>
    </row>
    <row r="27" spans="1:20" s="284" customFormat="1" ht="20.100000000000001" customHeight="1">
      <c r="E27" s="602"/>
    </row>
    <row r="28" spans="1:20" s="284" customFormat="1" ht="20.100000000000001" customHeight="1">
      <c r="E28" s="602"/>
    </row>
    <row r="29" spans="1:20" s="284" customFormat="1" ht="20.100000000000001" customHeight="1">
      <c r="E29" s="602"/>
    </row>
    <row r="30" spans="1:20" s="284" customFormat="1" ht="20.100000000000001" customHeight="1">
      <c r="E30" s="602"/>
    </row>
    <row r="31" spans="1:20" s="284" customFormat="1" ht="20.100000000000001" customHeight="1">
      <c r="E31" s="602"/>
    </row>
    <row r="32" spans="1:20" s="284" customFormat="1" ht="20.100000000000001" customHeight="1">
      <c r="E32" s="602"/>
    </row>
    <row r="33" spans="1:5" s="284" customFormat="1" ht="20.100000000000001" customHeight="1">
      <c r="E33" s="602"/>
    </row>
    <row r="34" spans="1:5" s="284" customFormat="1" ht="20.100000000000001" customHeight="1">
      <c r="E34" s="602"/>
    </row>
    <row r="35" spans="1:5" s="284" customFormat="1" ht="20.100000000000001" customHeight="1">
      <c r="E35" s="602"/>
    </row>
    <row r="36" spans="1:5" s="284" customFormat="1" ht="20.100000000000001" customHeight="1">
      <c r="E36" s="602"/>
    </row>
    <row r="37" spans="1:5" s="284" customFormat="1" ht="20.100000000000001" customHeight="1">
      <c r="E37" s="602"/>
    </row>
    <row r="38" spans="1:5" s="284" customFormat="1" ht="20.100000000000001" customHeight="1">
      <c r="E38" s="602"/>
    </row>
    <row r="39" spans="1:5" s="284" customFormat="1" ht="20.100000000000001" customHeight="1">
      <c r="E39" s="602"/>
    </row>
    <row r="40" spans="1:5" s="284" customFormat="1" ht="20.100000000000001" customHeight="1">
      <c r="E40" s="602"/>
    </row>
    <row r="41" spans="1:5" s="284" customFormat="1" ht="20.100000000000001" customHeight="1">
      <c r="E41" s="602"/>
    </row>
    <row r="42" spans="1:5" s="284" customFormat="1" ht="20.100000000000001" customHeight="1">
      <c r="E42" s="602"/>
    </row>
    <row r="43" spans="1:5" s="284" customFormat="1" ht="20.100000000000001" customHeight="1">
      <c r="E43" s="602"/>
    </row>
    <row r="44" spans="1:5" s="284" customFormat="1" ht="20.100000000000001" customHeight="1">
      <c r="A44" s="284" t="s">
        <v>142</v>
      </c>
      <c r="E44" s="602"/>
    </row>
  </sheetData>
  <mergeCells count="1">
    <mergeCell ref="B3:D3"/>
  </mergeCells>
  <phoneticPr fontId="78" type="noConversion"/>
  <dataValidations count="2">
    <dataValidation type="list" allowBlank="1" showInputMessage="1" showErrorMessage="1" sqref="A6:A23">
      <formula1>$R$6:$R$22</formula1>
    </dataValidation>
    <dataValidation type="list" allowBlank="1" showInputMessage="1" showErrorMessage="1" sqref="B6:B23 B27:B44">
      <formula1>$S$5:$S$17</formula1>
    </dataValidation>
  </dataValidations>
  <hyperlinks>
    <hyperlink ref="K1" location="目录!A1" display="BACK"/>
  </hyperlinks>
  <printOptions horizontalCentered="1"/>
  <pageMargins left="0.74791666666666701" right="0.15625" top="0.98402777777777795" bottom="0.98402777777777795" header="0.51180555555555596" footer="0.51180555555555596"/>
  <pageSetup paperSize="9" scale="83" orientation="landscape" blackAndWhite="1" r:id="rId1"/>
  <headerFooter alignWithMargins="0"/>
  <rowBreaks count="1" manualBreakCount="1">
    <brk id="23"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M41"/>
  <sheetViews>
    <sheetView view="pageBreakPreview" topLeftCell="A10" zoomScaleNormal="100" zoomScaleSheetLayoutView="100" workbookViewId="0">
      <selection activeCell="C41" sqref="C41"/>
    </sheetView>
  </sheetViews>
  <sheetFormatPr defaultColWidth="9" defaultRowHeight="20.100000000000001" customHeight="1"/>
  <cols>
    <col min="1" max="11" width="12.59765625" style="321" customWidth="1"/>
    <col min="12" max="13" width="12.5" style="321" customWidth="1"/>
    <col min="14" max="16384" width="9" style="321"/>
  </cols>
  <sheetData>
    <row r="1" spans="1:13" s="588" customFormat="1" ht="24.9" customHeight="1">
      <c r="A1" s="48" t="s">
        <v>145</v>
      </c>
      <c r="B1" s="49">
        <f>基础信息!B6</f>
        <v>0</v>
      </c>
      <c r="C1" s="590"/>
      <c r="D1" s="591"/>
      <c r="E1" s="592"/>
      <c r="F1" s="591"/>
      <c r="G1" s="591"/>
      <c r="H1" s="591"/>
      <c r="I1" s="591"/>
      <c r="J1" s="591"/>
      <c r="K1" s="591"/>
      <c r="L1" s="596"/>
      <c r="M1" s="900" t="s">
        <v>146</v>
      </c>
    </row>
    <row r="2" spans="1:13" s="588" customFormat="1" ht="24.9" customHeight="1">
      <c r="A2" s="48" t="str">
        <f>基础信息!A9</f>
        <v>财务期间</v>
      </c>
      <c r="B2" s="49">
        <f>基础信息!B9</f>
        <v>0</v>
      </c>
      <c r="C2" s="590"/>
      <c r="D2" s="591"/>
      <c r="E2" s="591"/>
      <c r="F2" s="591"/>
      <c r="G2" s="591"/>
      <c r="H2" s="591"/>
      <c r="I2" s="591"/>
      <c r="J2" s="591"/>
      <c r="K2" s="591"/>
      <c r="L2" s="596"/>
    </row>
    <row r="3" spans="1:13" s="588" customFormat="1" ht="24.9" customHeight="1">
      <c r="A3" s="48" t="s">
        <v>148</v>
      </c>
      <c r="B3" s="1044" t="s">
        <v>591</v>
      </c>
      <c r="C3" s="1045"/>
      <c r="D3" s="593"/>
      <c r="E3" s="593"/>
      <c r="F3" s="593"/>
      <c r="G3" s="593"/>
      <c r="H3" s="593"/>
      <c r="I3" s="593"/>
      <c r="J3" s="593"/>
      <c r="K3" s="593"/>
      <c r="L3" s="596"/>
    </row>
    <row r="4" spans="1:13" s="246" customFormat="1" ht="72.75" customHeight="1">
      <c r="A4" s="594" t="s">
        <v>592</v>
      </c>
      <c r="B4" s="594" t="s">
        <v>593</v>
      </c>
      <c r="C4" s="594" t="s">
        <v>594</v>
      </c>
      <c r="D4" s="594" t="s">
        <v>595</v>
      </c>
      <c r="E4" s="594" t="s">
        <v>596</v>
      </c>
      <c r="F4" s="594" t="s">
        <v>597</v>
      </c>
      <c r="G4" s="594" t="s">
        <v>598</v>
      </c>
      <c r="H4" s="594" t="s">
        <v>599</v>
      </c>
      <c r="I4" s="594" t="s">
        <v>600</v>
      </c>
      <c r="J4" s="594" t="s">
        <v>601</v>
      </c>
      <c r="K4" s="594" t="s">
        <v>602</v>
      </c>
    </row>
    <row r="5" spans="1:13" s="589" customFormat="1" ht="20.100000000000001" customHeight="1"/>
    <row r="6" spans="1:13" s="589" customFormat="1" ht="20.100000000000001" customHeight="1"/>
    <row r="7" spans="1:13" s="589" customFormat="1" ht="20.100000000000001" customHeight="1"/>
    <row r="8" spans="1:13" s="589" customFormat="1" ht="20.100000000000001" customHeight="1"/>
    <row r="9" spans="1:13" s="589" customFormat="1" ht="20.100000000000001" customHeight="1"/>
    <row r="10" spans="1:13" s="589" customFormat="1" ht="20.100000000000001" customHeight="1"/>
    <row r="11" spans="1:13" s="589" customFormat="1" ht="20.100000000000001" customHeight="1"/>
    <row r="12" spans="1:13" s="589" customFormat="1" ht="20.100000000000001" customHeight="1"/>
    <row r="13" spans="1:13" s="589" customFormat="1" ht="20.100000000000001" customHeight="1"/>
    <row r="14" spans="1:13" s="589" customFormat="1" ht="20.100000000000001" customHeight="1"/>
    <row r="15" spans="1:13" s="589" customFormat="1" ht="20.100000000000001" customHeight="1"/>
    <row r="16" spans="1:13" s="589" customFormat="1" ht="20.100000000000001" customHeight="1"/>
    <row r="17" spans="1:11" s="589" customFormat="1" ht="20.100000000000001" customHeight="1"/>
    <row r="18" spans="1:11" s="589" customFormat="1" ht="20.100000000000001" customHeight="1"/>
    <row r="19" spans="1:11" s="589" customFormat="1" ht="20.100000000000001" customHeight="1"/>
    <row r="20" spans="1:11" s="589" customFormat="1" ht="20.100000000000001" customHeight="1"/>
    <row r="21" spans="1:11" s="589" customFormat="1" ht="20.100000000000001" customHeight="1">
      <c r="A21" s="595" t="s">
        <v>603</v>
      </c>
      <c r="B21" s="489">
        <f>SUM(B5:B20)</f>
        <v>0</v>
      </c>
      <c r="C21" s="489">
        <f>SUM(C5:C20)</f>
        <v>0</v>
      </c>
    </row>
    <row r="22" spans="1:11" s="589" customFormat="1" ht="20.100000000000001" customHeight="1"/>
    <row r="23" spans="1:11" s="589" customFormat="1" ht="61.5" customHeight="1">
      <c r="A23" s="594" t="s">
        <v>604</v>
      </c>
      <c r="B23" s="594" t="s">
        <v>605</v>
      </c>
      <c r="C23" s="594" t="s">
        <v>606</v>
      </c>
      <c r="D23" s="594" t="s">
        <v>607</v>
      </c>
      <c r="E23" s="594" t="s">
        <v>608</v>
      </c>
      <c r="F23" s="594" t="s">
        <v>609</v>
      </c>
      <c r="G23" s="594" t="s">
        <v>610</v>
      </c>
      <c r="H23" s="594"/>
      <c r="I23" s="594" t="s">
        <v>611</v>
      </c>
      <c r="J23" s="594" t="s">
        <v>612</v>
      </c>
      <c r="K23" s="594" t="s">
        <v>613</v>
      </c>
    </row>
    <row r="24" spans="1:11" s="589" customFormat="1" ht="20.100000000000001" customHeight="1">
      <c r="A24" s="489">
        <f t="shared" ref="A24:A34" si="0">A5</f>
        <v>0</v>
      </c>
    </row>
    <row r="25" spans="1:11" s="589" customFormat="1" ht="20.100000000000001" customHeight="1">
      <c r="A25" s="489">
        <f t="shared" si="0"/>
        <v>0</v>
      </c>
    </row>
    <row r="26" spans="1:11" s="589" customFormat="1" ht="20.100000000000001" customHeight="1">
      <c r="A26" s="489">
        <f t="shared" si="0"/>
        <v>0</v>
      </c>
    </row>
    <row r="27" spans="1:11" s="589" customFormat="1" ht="20.100000000000001" customHeight="1">
      <c r="A27" s="489">
        <f t="shared" si="0"/>
        <v>0</v>
      </c>
    </row>
    <row r="28" spans="1:11" s="589" customFormat="1" ht="20.100000000000001" customHeight="1">
      <c r="A28" s="489">
        <f t="shared" si="0"/>
        <v>0</v>
      </c>
    </row>
    <row r="29" spans="1:11" s="589" customFormat="1" ht="20.100000000000001" customHeight="1">
      <c r="A29" s="489">
        <f t="shared" si="0"/>
        <v>0</v>
      </c>
    </row>
    <row r="30" spans="1:11" s="589" customFormat="1" ht="20.100000000000001" customHeight="1">
      <c r="A30" s="489">
        <f t="shared" si="0"/>
        <v>0</v>
      </c>
    </row>
    <row r="31" spans="1:11" s="589" customFormat="1" ht="20.100000000000001" customHeight="1">
      <c r="A31" s="489">
        <f t="shared" si="0"/>
        <v>0</v>
      </c>
    </row>
    <row r="32" spans="1:11" s="589" customFormat="1" ht="20.100000000000001" customHeight="1">
      <c r="A32" s="489">
        <f t="shared" si="0"/>
        <v>0</v>
      </c>
    </row>
    <row r="33" spans="1:3" s="589" customFormat="1" ht="20.100000000000001" customHeight="1">
      <c r="A33" s="489">
        <f t="shared" si="0"/>
        <v>0</v>
      </c>
    </row>
    <row r="34" spans="1:3" s="589" customFormat="1" ht="20.100000000000001" customHeight="1">
      <c r="A34" s="489">
        <f t="shared" si="0"/>
        <v>0</v>
      </c>
    </row>
    <row r="35" spans="1:3" s="589" customFormat="1" ht="20.100000000000001" customHeight="1">
      <c r="A35" s="489">
        <f t="shared" ref="A35:A40" si="1">A15</f>
        <v>0</v>
      </c>
    </row>
    <row r="36" spans="1:3" s="589" customFormat="1" ht="20.100000000000001" customHeight="1">
      <c r="A36" s="489">
        <f t="shared" si="1"/>
        <v>0</v>
      </c>
    </row>
    <row r="37" spans="1:3" s="589" customFormat="1" ht="20.100000000000001" customHeight="1">
      <c r="A37" s="489">
        <f t="shared" si="1"/>
        <v>0</v>
      </c>
    </row>
    <row r="38" spans="1:3" s="589" customFormat="1" ht="20.100000000000001" customHeight="1">
      <c r="A38" s="489">
        <f t="shared" si="1"/>
        <v>0</v>
      </c>
    </row>
    <row r="39" spans="1:3" s="589" customFormat="1" ht="20.100000000000001" customHeight="1">
      <c r="A39" s="489">
        <f t="shared" si="1"/>
        <v>0</v>
      </c>
    </row>
    <row r="40" spans="1:3" s="589" customFormat="1" ht="20.100000000000001" customHeight="1">
      <c r="A40" s="489">
        <f t="shared" si="1"/>
        <v>0</v>
      </c>
    </row>
    <row r="41" spans="1:3" s="589" customFormat="1" ht="20.100000000000001" customHeight="1">
      <c r="A41" s="595" t="s">
        <v>603</v>
      </c>
      <c r="B41" s="489">
        <f>SUM(B24:B40)</f>
        <v>0</v>
      </c>
      <c r="C41" s="489">
        <f>SUM(C24:C40)</f>
        <v>0</v>
      </c>
    </row>
  </sheetData>
  <mergeCells count="1">
    <mergeCell ref="B3:C3"/>
  </mergeCells>
  <phoneticPr fontId="78" type="noConversion"/>
  <hyperlinks>
    <hyperlink ref="M1" location="目录!A1" display="BACK"/>
  </hyperlinks>
  <pageMargins left="0.74791666666666701" right="0.74791666666666701" top="0.98402777777777795" bottom="0.98402777777777795" header="0.51180555555555596" footer="0.51180555555555596"/>
  <pageSetup paperSize="9" scale="85" orientation="landscape" blackAndWhite="1" r:id="rId1"/>
  <headerFooter alignWithMargins="0"/>
  <rowBreaks count="1" manualBreakCount="1">
    <brk id="2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I32"/>
  <sheetViews>
    <sheetView view="pageBreakPreview" zoomScaleNormal="100" zoomScaleSheetLayoutView="100" workbookViewId="0">
      <selection activeCell="B12" sqref="B12"/>
    </sheetView>
  </sheetViews>
  <sheetFormatPr defaultColWidth="9" defaultRowHeight="20.100000000000001" customHeight="1"/>
  <cols>
    <col min="1" max="1" width="34.59765625" style="99" customWidth="1"/>
    <col min="2" max="2" width="28.59765625" style="99" customWidth="1"/>
    <col min="3" max="3" width="28.69921875" style="99" customWidth="1"/>
    <col min="4" max="4" width="26" style="99" customWidth="1"/>
    <col min="5" max="5" width="8.3984375" style="99" customWidth="1"/>
    <col min="6" max="8" width="9" style="99"/>
    <col min="9" max="9" width="3.5" style="99" customWidth="1"/>
    <col min="10" max="16384" width="9" style="99"/>
  </cols>
  <sheetData>
    <row r="1" spans="1:9" s="98" customFormat="1" ht="24.9" customHeight="1">
      <c r="A1" s="48" t="s">
        <v>145</v>
      </c>
      <c r="B1" s="49">
        <f>基础信息!B5</f>
        <v>0</v>
      </c>
      <c r="C1" s="563"/>
      <c r="D1" s="110"/>
      <c r="E1" s="577"/>
      <c r="F1" s="900" t="s">
        <v>146</v>
      </c>
    </row>
    <row r="2" spans="1:9" s="98" customFormat="1" ht="24.9" customHeight="1">
      <c r="A2" s="48" t="s">
        <v>147</v>
      </c>
      <c r="B2" s="49">
        <f>基础信息!B9</f>
        <v>0</v>
      </c>
      <c r="C2" s="563"/>
      <c r="D2" s="110"/>
      <c r="E2" s="351"/>
    </row>
    <row r="3" spans="1:9" s="98" customFormat="1" ht="24.9" customHeight="1">
      <c r="A3" s="48" t="s">
        <v>148</v>
      </c>
      <c r="B3" s="48" t="s">
        <v>614</v>
      </c>
      <c r="C3" s="563"/>
      <c r="D3" s="110"/>
      <c r="E3" s="351"/>
    </row>
    <row r="4" spans="1:9" s="98" customFormat="1" ht="20.100000000000001" customHeight="1">
      <c r="A4" s="575"/>
      <c r="B4" s="575"/>
      <c r="C4" s="563"/>
      <c r="D4" s="110"/>
      <c r="E4" s="351"/>
    </row>
    <row r="5" spans="1:9" s="98" customFormat="1" ht="20.100000000000001" customHeight="1">
      <c r="A5" s="565" t="s">
        <v>615</v>
      </c>
      <c r="B5" s="565" t="s">
        <v>616</v>
      </c>
      <c r="C5" s="540"/>
      <c r="D5" s="1"/>
      <c r="E5" s="537"/>
    </row>
    <row r="6" spans="1:9" s="98" customFormat="1" ht="20.100000000000001" customHeight="1">
      <c r="A6" s="244" t="s">
        <v>617</v>
      </c>
      <c r="B6" s="576"/>
      <c r="C6" s="578"/>
      <c r="D6" s="245"/>
      <c r="E6" s="537"/>
    </row>
    <row r="7" spans="1:9" s="98" customFormat="1" ht="20.100000000000001" customHeight="1">
      <c r="A7" s="244" t="s">
        <v>618</v>
      </c>
      <c r="B7" s="576"/>
      <c r="C7" s="578"/>
      <c r="D7" s="245"/>
      <c r="E7" s="537"/>
    </row>
    <row r="8" spans="1:9" s="98" customFormat="1" ht="20.100000000000001" customHeight="1">
      <c r="A8" s="244" t="s">
        <v>619</v>
      </c>
      <c r="B8" s="576"/>
      <c r="C8" s="578"/>
      <c r="D8" s="245"/>
      <c r="E8" s="537"/>
    </row>
    <row r="9" spans="1:9" s="98" customFormat="1" ht="20.100000000000001" customHeight="1">
      <c r="A9" s="244" t="s">
        <v>620</v>
      </c>
      <c r="B9" s="576"/>
      <c r="C9" s="578"/>
      <c r="D9" s="245"/>
      <c r="E9" s="537"/>
    </row>
    <row r="10" spans="1:9" s="98" customFormat="1" ht="20.100000000000001" customHeight="1">
      <c r="A10" s="244" t="s">
        <v>621</v>
      </c>
      <c r="B10" s="524">
        <f>SUM(B6:B9)</f>
        <v>0</v>
      </c>
      <c r="C10" s="578"/>
      <c r="D10" s="245"/>
      <c r="E10" s="537"/>
    </row>
    <row r="11" spans="1:9" s="98" customFormat="1" ht="20.100000000000001" customHeight="1">
      <c r="A11" s="244" t="s">
        <v>622</v>
      </c>
      <c r="B11" s="576"/>
      <c r="C11" s="578"/>
      <c r="D11" s="245"/>
      <c r="E11" s="537"/>
    </row>
    <row r="12" spans="1:9" s="98" customFormat="1" ht="20.100000000000001" customHeight="1">
      <c r="A12" s="112" t="s">
        <v>623</v>
      </c>
      <c r="B12" s="524">
        <f>'RP 006'!E6</f>
        <v>0</v>
      </c>
      <c r="C12" s="578"/>
      <c r="D12" s="245"/>
      <c r="E12" s="537"/>
    </row>
    <row r="13" spans="1:9" s="98" customFormat="1" ht="20.100000000000001" customHeight="1">
      <c r="A13" s="96"/>
      <c r="B13" s="524">
        <f>B10-B12</f>
        <v>0</v>
      </c>
      <c r="C13" s="578"/>
      <c r="D13" s="245"/>
      <c r="E13" s="537"/>
    </row>
    <row r="14" spans="1:9" s="103" customFormat="1" ht="20.100000000000001" customHeight="1">
      <c r="A14" s="94"/>
      <c r="B14" s="94" t="str">
        <f>IF(B13=0,"OK","NO")</f>
        <v>OK</v>
      </c>
      <c r="C14" s="571"/>
      <c r="D14" s="579"/>
      <c r="E14" s="542"/>
    </row>
    <row r="15" spans="1:9" s="98" customFormat="1" ht="20.100000000000001" customHeight="1">
      <c r="A15" s="96" t="s">
        <v>624</v>
      </c>
      <c r="B15" s="147"/>
      <c r="C15" s="21"/>
      <c r="D15" s="21"/>
      <c r="E15" s="21"/>
      <c r="F15" s="99"/>
      <c r="G15" s="99"/>
      <c r="H15" s="99"/>
      <c r="I15" s="99"/>
    </row>
    <row r="16" spans="1:9" s="98" customFormat="1" ht="20.100000000000001" customHeight="1">
      <c r="A16" s="1046" t="s">
        <v>625</v>
      </c>
      <c r="B16" s="1046" t="s">
        <v>626</v>
      </c>
      <c r="C16" s="1046"/>
      <c r="D16" s="1046"/>
      <c r="E16" s="21"/>
    </row>
    <row r="17" spans="1:9" s="98" customFormat="1" ht="20.100000000000001" customHeight="1">
      <c r="A17" s="1046"/>
      <c r="B17" s="564" t="s">
        <v>627</v>
      </c>
      <c r="C17" s="564" t="s">
        <v>628</v>
      </c>
      <c r="D17" s="564" t="s">
        <v>629</v>
      </c>
      <c r="E17" s="21"/>
    </row>
    <row r="18" spans="1:9" s="98" customFormat="1" ht="20.100000000000001" customHeight="1">
      <c r="A18" s="26" t="s">
        <v>630</v>
      </c>
      <c r="B18" s="519"/>
      <c r="C18" s="580"/>
      <c r="D18" s="519"/>
      <c r="E18" s="21"/>
    </row>
    <row r="19" spans="1:9" s="98" customFormat="1" ht="20.100000000000001" customHeight="1">
      <c r="A19" s="26" t="s">
        <v>631</v>
      </c>
      <c r="B19" s="519"/>
      <c r="C19" s="580"/>
      <c r="D19" s="519"/>
      <c r="E19" s="21"/>
    </row>
    <row r="20" spans="1:9" s="98" customFormat="1" ht="20.100000000000001" customHeight="1">
      <c r="A20" s="26"/>
      <c r="B20" s="519"/>
      <c r="C20" s="580"/>
      <c r="D20" s="519"/>
      <c r="E20" s="21"/>
    </row>
    <row r="21" spans="1:9" s="98" customFormat="1" ht="20.100000000000001" customHeight="1">
      <c r="A21" s="26"/>
      <c r="B21" s="519"/>
      <c r="C21" s="580"/>
      <c r="D21" s="519"/>
      <c r="E21" s="21"/>
    </row>
    <row r="22" spans="1:9" s="98" customFormat="1" ht="20.100000000000001" customHeight="1">
      <c r="A22" s="26" t="s">
        <v>632</v>
      </c>
      <c r="B22" s="521">
        <f>SUM(B18:B21)</f>
        <v>0</v>
      </c>
      <c r="C22" s="580"/>
      <c r="D22" s="521">
        <f>SUM(D18:D21)</f>
        <v>0</v>
      </c>
      <c r="E22" s="21"/>
    </row>
    <row r="23" spans="1:9" s="98" customFormat="1" ht="20.100000000000001" customHeight="1">
      <c r="A23" s="96"/>
      <c r="B23" s="96"/>
      <c r="C23" s="581"/>
      <c r="D23" s="581"/>
      <c r="E23" s="26"/>
      <c r="F23" s="99"/>
    </row>
    <row r="24" spans="1:9" s="98" customFormat="1" ht="40.5" customHeight="1">
      <c r="A24" s="564" t="s">
        <v>633</v>
      </c>
      <c r="B24" s="564" t="s">
        <v>634</v>
      </c>
      <c r="C24" s="582"/>
      <c r="D24" s="3"/>
      <c r="E24" s="583"/>
      <c r="F24" s="99"/>
      <c r="G24" s="99"/>
    </row>
    <row r="25" spans="1:9" s="98" customFormat="1" ht="20.100000000000001" customHeight="1">
      <c r="A25" s="26" t="s">
        <v>635</v>
      </c>
      <c r="B25" s="519"/>
      <c r="C25" s="584"/>
      <c r="D25" s="585"/>
      <c r="E25" s="583"/>
      <c r="F25" s="99"/>
      <c r="G25" s="99"/>
    </row>
    <row r="26" spans="1:9" s="98" customFormat="1" ht="20.100000000000001" customHeight="1">
      <c r="A26" s="26" t="s">
        <v>636</v>
      </c>
      <c r="B26" s="519"/>
      <c r="C26" s="584"/>
      <c r="D26" s="585"/>
      <c r="E26" s="583"/>
      <c r="F26" s="99"/>
      <c r="G26" s="99"/>
    </row>
    <row r="27" spans="1:9" s="98" customFormat="1" ht="20.100000000000001" customHeight="1">
      <c r="A27" s="26" t="s">
        <v>637</v>
      </c>
      <c r="B27" s="519"/>
      <c r="C27" s="584"/>
      <c r="D27" s="585"/>
      <c r="E27" s="583"/>
      <c r="F27" s="99"/>
      <c r="G27" s="99"/>
    </row>
    <row r="28" spans="1:9" s="98" customFormat="1" ht="20.100000000000001" customHeight="1">
      <c r="A28" s="26" t="s">
        <v>638</v>
      </c>
      <c r="B28" s="521">
        <f>B25-B26+B27</f>
        <v>0</v>
      </c>
      <c r="C28" s="584"/>
      <c r="D28" s="585"/>
      <c r="E28" s="583"/>
      <c r="F28" s="99"/>
      <c r="G28" s="99"/>
    </row>
    <row r="29" spans="1:9" s="98" customFormat="1" ht="20.100000000000001" customHeight="1">
      <c r="A29" s="26" t="s">
        <v>639</v>
      </c>
      <c r="B29" s="519"/>
      <c r="C29" s="584"/>
      <c r="D29" s="585"/>
      <c r="E29" s="583"/>
      <c r="F29" s="99"/>
      <c r="G29" s="99"/>
    </row>
    <row r="30" spans="1:9" s="98" customFormat="1" ht="20.100000000000001" customHeight="1">
      <c r="A30" s="26" t="s">
        <v>640</v>
      </c>
      <c r="B30" s="521">
        <f>B28-B29</f>
        <v>0</v>
      </c>
      <c r="C30" s="586"/>
      <c r="D30" s="587"/>
      <c r="E30" s="583"/>
      <c r="F30" s="99"/>
      <c r="G30" s="99"/>
    </row>
    <row r="31" spans="1:9" s="98" customFormat="1" ht="20.100000000000001" customHeight="1">
      <c r="A31" s="1047" t="s">
        <v>641</v>
      </c>
      <c r="B31" s="1048"/>
      <c r="C31" s="1048"/>
      <c r="D31" s="1048"/>
      <c r="E31" s="1049"/>
    </row>
    <row r="32" spans="1:9" s="98" customFormat="1" ht="20.100000000000001" customHeight="1">
      <c r="A32" s="99"/>
      <c r="B32" s="99"/>
      <c r="C32" s="99"/>
      <c r="D32" s="99"/>
      <c r="E32" s="99"/>
      <c r="F32" s="99"/>
      <c r="G32" s="99"/>
      <c r="H32" s="99"/>
      <c r="I32" s="99"/>
    </row>
  </sheetData>
  <mergeCells count="3">
    <mergeCell ref="B16:D16"/>
    <mergeCell ref="A31:E31"/>
    <mergeCell ref="A16:A17"/>
  </mergeCells>
  <phoneticPr fontId="78" type="noConversion"/>
  <hyperlinks>
    <hyperlink ref="F1" location="目录!A1" display="BACK"/>
  </hyperlinks>
  <pageMargins left="0.35416666666666702" right="0.31388888888888899" top="0.59027777777777801" bottom="0.59027777777777801" header="0.51180555555555596" footer="0.51180555555555596"/>
  <pageSetup paperSize="9" scale="77" orientation="portrait" blackAndWhite="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rgb="FFFFC000"/>
  </sheetPr>
  <dimension ref="A1:D16"/>
  <sheetViews>
    <sheetView workbookViewId="0">
      <selection activeCell="B11" sqref="B11"/>
    </sheetView>
  </sheetViews>
  <sheetFormatPr defaultRowHeight="15.6"/>
  <cols>
    <col min="1" max="1" width="36.19921875" customWidth="1"/>
    <col min="2" max="2" width="42.8984375" customWidth="1"/>
  </cols>
  <sheetData>
    <row r="1" spans="1:4">
      <c r="A1" s="48" t="s">
        <v>145</v>
      </c>
      <c r="B1" s="49">
        <f>基础信息!B6</f>
        <v>0</v>
      </c>
      <c r="D1" s="900" t="s">
        <v>146</v>
      </c>
    </row>
    <row r="2" spans="1:4">
      <c r="A2" s="48" t="s">
        <v>147</v>
      </c>
      <c r="B2" s="49">
        <f>基础信息!B9</f>
        <v>0</v>
      </c>
    </row>
    <row r="3" spans="1:4">
      <c r="A3" s="48" t="s">
        <v>148</v>
      </c>
      <c r="B3" s="516" t="s">
        <v>2097</v>
      </c>
    </row>
    <row r="4" spans="1:4">
      <c r="A4" s="575"/>
      <c r="B4" s="575"/>
    </row>
    <row r="5" spans="1:4">
      <c r="A5" s="934" t="s">
        <v>643</v>
      </c>
      <c r="B5" s="112" t="s">
        <v>616</v>
      </c>
    </row>
    <row r="6" spans="1:4">
      <c r="A6" s="945" t="s">
        <v>2101</v>
      </c>
      <c r="B6" s="519"/>
    </row>
    <row r="7" spans="1:4">
      <c r="A7" s="945" t="s">
        <v>646</v>
      </c>
      <c r="B7" s="519"/>
    </row>
    <row r="8" spans="1:4">
      <c r="A8" s="945" t="s">
        <v>647</v>
      </c>
      <c r="B8" s="519"/>
    </row>
    <row r="9" spans="1:4">
      <c r="A9" s="945" t="s">
        <v>648</v>
      </c>
      <c r="B9" s="519"/>
    </row>
    <row r="10" spans="1:4">
      <c r="A10" s="945" t="s">
        <v>632</v>
      </c>
      <c r="B10" s="524">
        <f>SUM(B6:B9)</f>
        <v>0</v>
      </c>
    </row>
    <row r="11" spans="1:4">
      <c r="A11" s="934" t="s">
        <v>650</v>
      </c>
      <c r="B11" s="524">
        <f>'RP 006'!E7</f>
        <v>0</v>
      </c>
    </row>
    <row r="12" spans="1:4">
      <c r="A12" s="934"/>
      <c r="B12" s="524">
        <f>B10-B11</f>
        <v>0</v>
      </c>
    </row>
    <row r="13" spans="1:4">
      <c r="A13" s="94"/>
      <c r="B13" s="94" t="str">
        <f>IF(B12=0,"OK","NO")</f>
        <v>OK</v>
      </c>
    </row>
    <row r="14" spans="1:4">
      <c r="A14" s="944" t="s">
        <v>651</v>
      </c>
      <c r="B14" s="96"/>
    </row>
    <row r="15" spans="1:4" ht="24.75" customHeight="1">
      <c r="A15" s="1050" t="s">
        <v>652</v>
      </c>
      <c r="B15" s="1051"/>
    </row>
    <row r="16" spans="1:4" ht="39.75" customHeight="1">
      <c r="A16" s="1050" t="s">
        <v>653</v>
      </c>
      <c r="B16" s="1051"/>
    </row>
  </sheetData>
  <mergeCells count="2">
    <mergeCell ref="A15:B15"/>
    <mergeCell ref="A16:B16"/>
  </mergeCells>
  <phoneticPr fontId="78" type="noConversion"/>
  <hyperlinks>
    <hyperlink ref="D1" location="目录!A1" display="BACK"/>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I41"/>
  <sheetViews>
    <sheetView view="pageBreakPreview" topLeftCell="A13" zoomScaleNormal="100" zoomScaleSheetLayoutView="100" workbookViewId="0">
      <selection activeCell="B17" sqref="B17"/>
    </sheetView>
  </sheetViews>
  <sheetFormatPr defaultColWidth="9" defaultRowHeight="20.100000000000001" customHeight="1"/>
  <cols>
    <col min="1" max="1" width="32.19921875" style="99" customWidth="1"/>
    <col min="2" max="2" width="48.5" style="99" customWidth="1"/>
    <col min="3" max="3" width="24" style="99" customWidth="1"/>
    <col min="4" max="5" width="24.59765625" style="99" customWidth="1"/>
    <col min="6" max="16384" width="9" style="99"/>
  </cols>
  <sheetData>
    <row r="1" spans="1:5" s="47" customFormat="1" ht="24.9" customHeight="1">
      <c r="A1" s="48" t="s">
        <v>145</v>
      </c>
      <c r="B1" s="49">
        <f>基础信息!B6</f>
        <v>0</v>
      </c>
      <c r="D1" s="900" t="s">
        <v>146</v>
      </c>
      <c r="E1" s="573"/>
    </row>
    <row r="2" spans="1:5" s="47" customFormat="1" ht="24.9" customHeight="1">
      <c r="A2" s="48" t="s">
        <v>147</v>
      </c>
      <c r="B2" s="49">
        <f>基础信息!B9</f>
        <v>0</v>
      </c>
    </row>
    <row r="3" spans="1:5" s="89" customFormat="1" ht="24.9" customHeight="1">
      <c r="A3" s="48" t="s">
        <v>148</v>
      </c>
      <c r="B3" s="574" t="s">
        <v>642</v>
      </c>
    </row>
    <row r="4" spans="1:5" s="98" customFormat="1" ht="20.100000000000001" customHeight="1">
      <c r="A4" s="575"/>
      <c r="B4" s="575"/>
    </row>
    <row r="5" spans="1:5" s="98" customFormat="1" ht="20.100000000000001" customHeight="1">
      <c r="A5" s="59" t="s">
        <v>643</v>
      </c>
      <c r="B5" s="112" t="s">
        <v>616</v>
      </c>
    </row>
    <row r="6" spans="1:5" s="98" customFormat="1" ht="20.100000000000001" customHeight="1">
      <c r="A6" s="26" t="s">
        <v>644</v>
      </c>
      <c r="B6" s="521">
        <f>SUM(B7:B10)</f>
        <v>0</v>
      </c>
    </row>
    <row r="7" spans="1:5" s="98" customFormat="1" ht="20.100000000000001" customHeight="1">
      <c r="A7" s="26" t="s">
        <v>645</v>
      </c>
      <c r="B7" s="519"/>
    </row>
    <row r="8" spans="1:5" s="98" customFormat="1" ht="20.100000000000001" customHeight="1">
      <c r="A8" s="26" t="s">
        <v>646</v>
      </c>
      <c r="B8" s="519"/>
    </row>
    <row r="9" spans="1:5" s="98" customFormat="1" ht="20.100000000000001" customHeight="1">
      <c r="A9" s="26" t="s">
        <v>647</v>
      </c>
      <c r="B9" s="519"/>
    </row>
    <row r="10" spans="1:5" s="98" customFormat="1" ht="20.100000000000001" customHeight="1">
      <c r="A10" s="26" t="s">
        <v>648</v>
      </c>
      <c r="B10" s="519"/>
    </row>
    <row r="11" spans="1:5" s="98" customFormat="1" ht="36" customHeight="1">
      <c r="A11" s="26" t="s">
        <v>649</v>
      </c>
      <c r="B11" s="521">
        <f>SUM(B12:B15)</f>
        <v>0</v>
      </c>
    </row>
    <row r="12" spans="1:5" s="98" customFormat="1" ht="20.100000000000001" customHeight="1">
      <c r="A12" s="26" t="s">
        <v>645</v>
      </c>
      <c r="B12" s="519"/>
    </row>
    <row r="13" spans="1:5" s="98" customFormat="1" ht="13.8">
      <c r="A13" s="26" t="s">
        <v>646</v>
      </c>
      <c r="B13" s="519"/>
    </row>
    <row r="14" spans="1:5" s="98" customFormat="1" ht="20.100000000000001" customHeight="1">
      <c r="A14" s="26" t="s">
        <v>647</v>
      </c>
      <c r="B14" s="519"/>
    </row>
    <row r="15" spans="1:5" s="98" customFormat="1" ht="20.100000000000001" customHeight="1">
      <c r="A15" s="26" t="s">
        <v>648</v>
      </c>
      <c r="B15" s="576"/>
    </row>
    <row r="16" spans="1:5" s="98" customFormat="1" ht="20.100000000000001" customHeight="1">
      <c r="A16" s="26" t="s">
        <v>632</v>
      </c>
      <c r="B16" s="524">
        <f>B6+B11</f>
        <v>0</v>
      </c>
    </row>
    <row r="17" spans="1:9" s="98" customFormat="1" ht="20.100000000000001" customHeight="1">
      <c r="A17" s="59" t="s">
        <v>650</v>
      </c>
      <c r="B17" s="524">
        <f>'RP 006'!E8</f>
        <v>0</v>
      </c>
    </row>
    <row r="18" spans="1:9" s="98" customFormat="1" ht="20.100000000000001" customHeight="1">
      <c r="A18" s="59"/>
      <c r="B18" s="524">
        <f>B16-B17</f>
        <v>0</v>
      </c>
    </row>
    <row r="19" spans="1:9" s="103" customFormat="1" ht="20.100000000000001" customHeight="1">
      <c r="A19" s="94"/>
      <c r="B19" s="94" t="str">
        <f>IF(B18=0,"OK","NO")</f>
        <v>OK</v>
      </c>
    </row>
    <row r="20" spans="1:9" s="98" customFormat="1" ht="20.100000000000001" customHeight="1">
      <c r="A20" s="21" t="s">
        <v>651</v>
      </c>
      <c r="B20" s="96"/>
      <c r="C20" s="99"/>
      <c r="D20" s="99"/>
      <c r="E20" s="99"/>
      <c r="F20" s="99"/>
      <c r="G20" s="99"/>
      <c r="H20" s="99"/>
      <c r="I20" s="99"/>
    </row>
    <row r="21" spans="1:9" s="98" customFormat="1" ht="39" customHeight="1">
      <c r="A21" s="1052" t="s">
        <v>652</v>
      </c>
      <c r="B21" s="1052"/>
      <c r="C21" s="157"/>
    </row>
    <row r="22" spans="1:9" s="98" customFormat="1" ht="57.75" customHeight="1">
      <c r="A22" s="1052" t="s">
        <v>653</v>
      </c>
      <c r="B22" s="1052"/>
      <c r="C22" s="157"/>
    </row>
    <row r="23" spans="1:9" s="98" customFormat="1" ht="20.100000000000001" customHeight="1">
      <c r="A23" s="99"/>
      <c r="B23" s="99"/>
      <c r="C23" s="99"/>
      <c r="D23" s="99"/>
      <c r="E23" s="99"/>
      <c r="F23" s="99"/>
      <c r="G23" s="99"/>
      <c r="H23" s="99"/>
      <c r="I23" s="99"/>
    </row>
    <row r="41" spans="1:9" s="98" customFormat="1" ht="20.100000000000001" customHeight="1">
      <c r="A41" s="99"/>
      <c r="B41" s="99"/>
      <c r="C41" s="99"/>
      <c r="D41" s="99"/>
      <c r="E41" s="99"/>
      <c r="F41" s="99"/>
      <c r="G41" s="99"/>
      <c r="H41" s="99"/>
      <c r="I41" s="99"/>
    </row>
  </sheetData>
  <mergeCells count="2">
    <mergeCell ref="A21:B21"/>
    <mergeCell ref="A22:B22"/>
  </mergeCells>
  <phoneticPr fontId="78" type="noConversion"/>
  <hyperlinks>
    <hyperlink ref="D1" location="目录!A1" display="BACK"/>
  </hyperlinks>
  <pageMargins left="0.78680555555555598" right="0.39305555555555599" top="1.45625" bottom="0.51180555555555596" header="0.27500000000000002" footer="0.27500000000000002"/>
  <pageSetup paperSize="9" orientation="portrait" blackAndWhite="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I15"/>
  <sheetViews>
    <sheetView view="pageBreakPreview" zoomScaleNormal="100" zoomScaleSheetLayoutView="100" workbookViewId="0">
      <selection activeCell="D1" sqref="D1"/>
    </sheetView>
  </sheetViews>
  <sheetFormatPr defaultColWidth="9" defaultRowHeight="20.100000000000001" customHeight="1"/>
  <cols>
    <col min="1" max="1" width="38.8984375" style="99" customWidth="1"/>
    <col min="2" max="2" width="36.5" style="99" customWidth="1"/>
    <col min="3" max="3" width="34.8984375" style="99" customWidth="1"/>
    <col min="4" max="4" width="23" style="99" customWidth="1"/>
    <col min="5" max="5" width="12.5" style="98" customWidth="1"/>
    <col min="6" max="9" width="9" style="98"/>
    <col min="10" max="16384" width="9" style="99"/>
  </cols>
  <sheetData>
    <row r="1" spans="1:9" s="47" customFormat="1" ht="24.9" customHeight="1">
      <c r="A1" s="48" t="s">
        <v>145</v>
      </c>
      <c r="B1" s="49">
        <f>基础信息!B6</f>
        <v>0</v>
      </c>
      <c r="C1" s="89"/>
      <c r="D1" s="900" t="s">
        <v>146</v>
      </c>
      <c r="E1" s="573"/>
      <c r="F1" s="89"/>
      <c r="G1" s="89"/>
      <c r="H1" s="89"/>
      <c r="I1" s="89"/>
    </row>
    <row r="2" spans="1:9" s="47" customFormat="1" ht="24.9" customHeight="1">
      <c r="A2" s="48" t="s">
        <v>147</v>
      </c>
      <c r="B2" s="49">
        <f>基础信息!B9</f>
        <v>0</v>
      </c>
      <c r="C2" s="89"/>
      <c r="E2" s="89"/>
      <c r="F2" s="89"/>
      <c r="G2" s="89"/>
      <c r="H2" s="89"/>
      <c r="I2" s="89"/>
    </row>
    <row r="3" spans="1:9" s="89" customFormat="1" ht="24.9" customHeight="1">
      <c r="A3" s="91" t="s">
        <v>148</v>
      </c>
      <c r="B3" s="91" t="s">
        <v>654</v>
      </c>
      <c r="D3" s="47"/>
    </row>
    <row r="4" spans="1:9" s="98" customFormat="1" ht="20.100000000000001" customHeight="1">
      <c r="A4" s="99"/>
      <c r="B4" s="99"/>
      <c r="D4" s="99"/>
    </row>
    <row r="5" spans="1:9" ht="20.100000000000001" customHeight="1">
      <c r="A5" s="88" t="s">
        <v>643</v>
      </c>
      <c r="B5" s="282" t="s">
        <v>655</v>
      </c>
      <c r="C5" s="96"/>
    </row>
    <row r="6" spans="1:9" ht="20.100000000000001" customHeight="1">
      <c r="A6" s="88"/>
      <c r="B6" s="88"/>
      <c r="C6" s="96"/>
    </row>
    <row r="7" spans="1:9" ht="20.100000000000001" customHeight="1">
      <c r="A7" s="88"/>
      <c r="B7" s="88"/>
      <c r="C7" s="96"/>
    </row>
    <row r="8" spans="1:9" ht="20.100000000000001" customHeight="1">
      <c r="A8" s="88"/>
      <c r="B8" s="88"/>
      <c r="C8" s="96"/>
    </row>
    <row r="9" spans="1:9" ht="20.100000000000001" customHeight="1">
      <c r="A9" s="88"/>
      <c r="B9" s="88"/>
      <c r="C9" s="96"/>
    </row>
    <row r="10" spans="1:9" ht="20.100000000000001" customHeight="1">
      <c r="A10" s="88"/>
      <c r="B10" s="88"/>
      <c r="C10" s="96"/>
    </row>
    <row r="11" spans="1:9" ht="20.100000000000001" customHeight="1">
      <c r="A11" s="88" t="s">
        <v>632</v>
      </c>
      <c r="B11" s="514">
        <f>SUM(B6:B10)</f>
        <v>0</v>
      </c>
      <c r="C11" s="96"/>
    </row>
    <row r="12" spans="1:9" s="350" customFormat="1" ht="13.8">
      <c r="A12" s="112" t="s">
        <v>623</v>
      </c>
      <c r="B12" s="524">
        <f>'RP 006'!E9</f>
        <v>0</v>
      </c>
      <c r="C12" s="96"/>
    </row>
    <row r="13" spans="1:9" s="350" customFormat="1" ht="13.8">
      <c r="A13" s="112"/>
      <c r="B13" s="524">
        <f>B11-B12</f>
        <v>0</v>
      </c>
      <c r="C13" s="96"/>
    </row>
    <row r="14" spans="1:9" s="350" customFormat="1" ht="13.8">
      <c r="A14" s="94"/>
      <c r="B14" s="94" t="str">
        <f>IF(B13=0,"OK","NO")</f>
        <v>OK</v>
      </c>
      <c r="C14" s="96"/>
    </row>
    <row r="15" spans="1:9" ht="20.100000000000001" customHeight="1">
      <c r="A15" s="1053" t="s">
        <v>656</v>
      </c>
      <c r="B15" s="1053"/>
      <c r="C15" s="1053"/>
    </row>
  </sheetData>
  <mergeCells count="1">
    <mergeCell ref="A15:C15"/>
  </mergeCells>
  <phoneticPr fontId="78" type="noConversion"/>
  <hyperlinks>
    <hyperlink ref="D1" location="目录!A1" display="BACK"/>
  </hyperlinks>
  <pageMargins left="0.70763888888888904" right="0.70763888888888904" top="0.74791666666666701" bottom="0.74791666666666701" header="0.31388888888888899" footer="0.31388888888888899"/>
  <pageSetup paperSize="9" orientation="portrait" blackAndWhite="1"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I37"/>
  <sheetViews>
    <sheetView view="pageBreakPreview" zoomScaleNormal="100" zoomScaleSheetLayoutView="100" workbookViewId="0">
      <selection activeCell="F1" sqref="F1"/>
    </sheetView>
  </sheetViews>
  <sheetFormatPr defaultColWidth="9" defaultRowHeight="20.100000000000001" customHeight="1"/>
  <cols>
    <col min="1" max="1" width="23.8984375" style="99" customWidth="1"/>
    <col min="2" max="2" width="22.5" style="99" customWidth="1"/>
    <col min="3" max="3" width="21.09765625" style="99" customWidth="1"/>
    <col min="4" max="5" width="24.59765625" style="99" customWidth="1"/>
    <col min="6" max="16384" width="9" style="99"/>
  </cols>
  <sheetData>
    <row r="1" spans="1:6" ht="24.9" customHeight="1">
      <c r="A1" s="48" t="s">
        <v>145</v>
      </c>
      <c r="B1" s="49">
        <f>基础信息!B6</f>
        <v>0</v>
      </c>
      <c r="C1" s="562"/>
      <c r="D1" s="161"/>
      <c r="E1" s="100"/>
      <c r="F1" s="900" t="s">
        <v>146</v>
      </c>
    </row>
    <row r="2" spans="1:6" ht="24.9" customHeight="1">
      <c r="A2" s="48" t="s">
        <v>147</v>
      </c>
      <c r="B2" s="49">
        <f>基础信息!B9</f>
        <v>0</v>
      </c>
      <c r="C2" s="562"/>
      <c r="D2" s="161"/>
    </row>
    <row r="3" spans="1:6" s="98" customFormat="1" ht="24.9" customHeight="1">
      <c r="A3" s="91" t="s">
        <v>148</v>
      </c>
      <c r="B3" s="91" t="s">
        <v>658</v>
      </c>
      <c r="C3" s="562"/>
      <c r="D3" s="351"/>
    </row>
    <row r="4" spans="1:6" s="98" customFormat="1" ht="20.100000000000001" customHeight="1">
      <c r="C4" s="563"/>
      <c r="D4" s="351"/>
    </row>
    <row r="5" spans="1:6" s="98" customFormat="1" ht="20.100000000000001" customHeight="1">
      <c r="A5" s="564" t="s">
        <v>657</v>
      </c>
      <c r="B5" s="565" t="s">
        <v>616</v>
      </c>
      <c r="C5" s="540"/>
      <c r="D5" s="351"/>
    </row>
    <row r="6" spans="1:6" s="98" customFormat="1" ht="20.100000000000001" customHeight="1">
      <c r="A6" s="26" t="s">
        <v>659</v>
      </c>
      <c r="B6" s="12"/>
      <c r="C6" s="540"/>
      <c r="D6" s="351"/>
    </row>
    <row r="7" spans="1:6" s="98" customFormat="1" ht="20.100000000000001" customHeight="1">
      <c r="A7" s="26" t="s">
        <v>660</v>
      </c>
      <c r="B7" s="171"/>
      <c r="C7" s="540"/>
      <c r="D7" s="351"/>
    </row>
    <row r="8" spans="1:6" s="98" customFormat="1" ht="20.100000000000001" customHeight="1">
      <c r="A8" s="26" t="s">
        <v>632</v>
      </c>
      <c r="B8" s="524">
        <f>SUM(B6:B7)</f>
        <v>0</v>
      </c>
      <c r="C8" s="566"/>
      <c r="D8" s="351"/>
    </row>
    <row r="9" spans="1:6" s="98" customFormat="1" ht="20.100000000000001" customHeight="1">
      <c r="A9" s="59"/>
      <c r="B9" s="538"/>
      <c r="C9" s="566"/>
      <c r="D9" s="351"/>
    </row>
    <row r="10" spans="1:6" s="98" customFormat="1" ht="20.100000000000001" customHeight="1">
      <c r="A10" s="567" t="s">
        <v>661</v>
      </c>
      <c r="B10" s="538"/>
      <c r="C10" s="566"/>
      <c r="D10" s="351"/>
    </row>
    <row r="11" spans="1:6" s="98" customFormat="1" ht="20.100000000000001" customHeight="1">
      <c r="A11" s="1057" t="s">
        <v>662</v>
      </c>
      <c r="B11" s="1054" t="s">
        <v>663</v>
      </c>
      <c r="C11" s="1055"/>
      <c r="D11" s="1056"/>
    </row>
    <row r="12" spans="1:6" s="98" customFormat="1" ht="20.100000000000001" customHeight="1">
      <c r="A12" s="1058"/>
      <c r="B12" s="565" t="s">
        <v>664</v>
      </c>
      <c r="C12" s="565" t="s">
        <v>665</v>
      </c>
      <c r="D12" s="565" t="s">
        <v>666</v>
      </c>
    </row>
    <row r="13" spans="1:6" s="98" customFormat="1" ht="20.100000000000001" customHeight="1">
      <c r="A13" s="26" t="s">
        <v>667</v>
      </c>
      <c r="B13" s="26"/>
      <c r="C13" s="26">
        <v>0</v>
      </c>
      <c r="D13" s="26"/>
    </row>
    <row r="14" spans="1:6" s="98" customFormat="1" ht="20.100000000000001" customHeight="1">
      <c r="A14" s="26" t="s">
        <v>668</v>
      </c>
      <c r="B14" s="26"/>
      <c r="C14" s="26"/>
      <c r="D14" s="26"/>
    </row>
    <row r="15" spans="1:6" s="98" customFormat="1" ht="20.100000000000001" customHeight="1">
      <c r="A15" s="26" t="s">
        <v>669</v>
      </c>
      <c r="B15" s="524"/>
      <c r="C15" s="524"/>
      <c r="D15" s="524"/>
    </row>
    <row r="16" spans="1:6" s="98" customFormat="1" ht="20.100000000000001" customHeight="1">
      <c r="A16" s="96"/>
      <c r="B16" s="538"/>
      <c r="C16" s="566"/>
      <c r="D16" s="351"/>
    </row>
    <row r="17" spans="1:9" s="98" customFormat="1" ht="20.100000000000001" customHeight="1">
      <c r="A17" s="21"/>
      <c r="B17" s="26"/>
      <c r="C17" s="568"/>
      <c r="D17" s="351"/>
    </row>
    <row r="18" spans="1:9" s="98" customFormat="1" ht="20.100000000000001" customHeight="1">
      <c r="A18" s="569" t="s">
        <v>670</v>
      </c>
      <c r="B18" s="21"/>
      <c r="C18" s="541"/>
      <c r="D18" s="570"/>
      <c r="E18" s="103"/>
      <c r="F18" s="99"/>
      <c r="G18" s="99"/>
      <c r="H18" s="99"/>
    </row>
    <row r="19" spans="1:9" s="98" customFormat="1" ht="20.100000000000001" customHeight="1">
      <c r="A19" s="564" t="s">
        <v>657</v>
      </c>
      <c r="B19" s="564" t="s">
        <v>671</v>
      </c>
      <c r="C19" s="541"/>
      <c r="D19" s="570"/>
      <c r="E19" s="103"/>
      <c r="F19" s="99"/>
      <c r="G19" s="99"/>
      <c r="H19" s="99"/>
    </row>
    <row r="20" spans="1:9" s="98" customFormat="1" ht="20.100000000000001" customHeight="1">
      <c r="A20" s="26" t="s">
        <v>659</v>
      </c>
      <c r="B20" s="12"/>
      <c r="C20" s="541"/>
      <c r="D20" s="570"/>
      <c r="E20" s="103"/>
      <c r="F20" s="99"/>
      <c r="G20" s="99"/>
      <c r="H20" s="99"/>
    </row>
    <row r="21" spans="1:9" s="98" customFormat="1" ht="20.100000000000001" customHeight="1">
      <c r="A21" s="26" t="s">
        <v>660</v>
      </c>
      <c r="B21" s="12"/>
      <c r="C21" s="541"/>
      <c r="D21" s="570"/>
      <c r="E21" s="103"/>
      <c r="F21" s="99"/>
      <c r="G21" s="99"/>
      <c r="H21" s="99"/>
    </row>
    <row r="22" spans="1:9" s="98" customFormat="1" ht="20.100000000000001" customHeight="1">
      <c r="A22" s="26"/>
      <c r="B22" s="12"/>
      <c r="C22" s="541"/>
      <c r="D22" s="570"/>
      <c r="E22" s="103"/>
      <c r="F22" s="99"/>
      <c r="G22" s="99"/>
      <c r="H22" s="99"/>
    </row>
    <row r="23" spans="1:9" s="98" customFormat="1" ht="20.100000000000001" customHeight="1">
      <c r="A23" s="26" t="s">
        <v>632</v>
      </c>
      <c r="B23" s="521">
        <f>SUM(B20:B22)</f>
        <v>0</v>
      </c>
      <c r="C23" s="541"/>
      <c r="D23" s="570"/>
      <c r="E23" s="103"/>
      <c r="F23" s="99"/>
      <c r="G23" s="99"/>
      <c r="H23" s="99"/>
    </row>
    <row r="24" spans="1:9" s="98" customFormat="1" ht="20.100000000000001" customHeight="1">
      <c r="A24" s="21"/>
      <c r="B24" s="26"/>
      <c r="C24" s="571"/>
      <c r="D24" s="570"/>
      <c r="E24" s="103"/>
      <c r="F24" s="99"/>
      <c r="G24" s="99"/>
      <c r="H24" s="99"/>
      <c r="I24" s="99"/>
    </row>
    <row r="25" spans="1:9" s="98" customFormat="1" ht="20.100000000000001" customHeight="1">
      <c r="A25" s="569" t="s">
        <v>672</v>
      </c>
      <c r="B25" s="26"/>
      <c r="C25" s="94"/>
      <c r="D25" s="103"/>
      <c r="E25" s="103"/>
      <c r="F25" s="99"/>
      <c r="G25" s="99"/>
      <c r="H25" s="99"/>
      <c r="I25" s="99"/>
    </row>
    <row r="26" spans="1:9" ht="20.100000000000001" customHeight="1">
      <c r="A26" s="564" t="s">
        <v>657</v>
      </c>
      <c r="B26" s="564" t="s">
        <v>673</v>
      </c>
      <c r="C26" s="564" t="s">
        <v>674</v>
      </c>
      <c r="D26" s="103"/>
      <c r="E26" s="103"/>
    </row>
    <row r="27" spans="1:9" ht="20.100000000000001" customHeight="1">
      <c r="A27" s="26" t="s">
        <v>675</v>
      </c>
      <c r="B27" s="519"/>
      <c r="C27" s="519"/>
    </row>
    <row r="28" spans="1:9" ht="20.100000000000001" customHeight="1">
      <c r="A28" s="26" t="s">
        <v>676</v>
      </c>
      <c r="B28" s="519"/>
      <c r="C28" s="519"/>
    </row>
    <row r="29" spans="1:9" ht="20.100000000000001" customHeight="1">
      <c r="A29" s="176" t="s">
        <v>677</v>
      </c>
      <c r="B29" s="519"/>
      <c r="C29" s="519"/>
    </row>
    <row r="30" spans="1:9" ht="20.100000000000001" customHeight="1">
      <c r="A30" s="26" t="s">
        <v>632</v>
      </c>
      <c r="B30" s="521">
        <f>SUM(B27:B29)</f>
        <v>0</v>
      </c>
      <c r="C30" s="521">
        <f>SUM(C27:C29)</f>
        <v>0</v>
      </c>
    </row>
    <row r="31" spans="1:9" ht="20.100000000000001" customHeight="1">
      <c r="A31" s="21"/>
      <c r="B31" s="572"/>
      <c r="C31" s="572"/>
    </row>
    <row r="32" spans="1:9" ht="20.100000000000001" customHeight="1">
      <c r="A32" s="21" t="s">
        <v>678</v>
      </c>
      <c r="B32" s="21"/>
      <c r="C32" s="21"/>
    </row>
    <row r="33" spans="1:3" ht="20.100000000000001" customHeight="1">
      <c r="A33" s="564" t="s">
        <v>657</v>
      </c>
      <c r="B33" s="564" t="s">
        <v>679</v>
      </c>
      <c r="C33" s="21"/>
    </row>
    <row r="34" spans="1:3" ht="20.100000000000001" customHeight="1">
      <c r="A34" s="26" t="s">
        <v>676</v>
      </c>
      <c r="B34" s="519"/>
      <c r="C34" s="572"/>
    </row>
    <row r="35" spans="1:3" ht="20.100000000000001" customHeight="1">
      <c r="A35" s="26"/>
      <c r="B35" s="519"/>
      <c r="C35" s="572"/>
    </row>
    <row r="36" spans="1:3" ht="20.100000000000001" customHeight="1">
      <c r="A36" s="278"/>
      <c r="B36" s="519"/>
      <c r="C36" s="572"/>
    </row>
    <row r="37" spans="1:3" ht="20.100000000000001" customHeight="1">
      <c r="A37" s="26" t="s">
        <v>632</v>
      </c>
      <c r="B37" s="521">
        <f>SUM(B34:B36)</f>
        <v>0</v>
      </c>
      <c r="C37" s="572"/>
    </row>
  </sheetData>
  <mergeCells count="2">
    <mergeCell ref="B11:D11"/>
    <mergeCell ref="A11:A12"/>
  </mergeCells>
  <phoneticPr fontId="78" type="noConversion"/>
  <hyperlinks>
    <hyperlink ref="F1" location="目录!A1" display="BACK"/>
  </hyperlinks>
  <pageMargins left="0.74791666666666701" right="0.39305555555555599" top="0.98402777777777795" bottom="0.98402777777777795" header="0.51180555555555596" footer="0.51180555555555596"/>
  <pageSetup paperSize="9" scale="92" orientation="portrait" blackAndWhite="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J92"/>
  <sheetViews>
    <sheetView view="pageBreakPreview" zoomScaleNormal="100" zoomScaleSheetLayoutView="100" workbookViewId="0">
      <selection activeCell="B5" sqref="B5:C5"/>
    </sheetView>
  </sheetViews>
  <sheetFormatPr defaultColWidth="9" defaultRowHeight="20.100000000000001" customHeight="1"/>
  <cols>
    <col min="1" max="1" width="25" style="89" customWidth="1"/>
    <col min="2" max="2" width="14.5" style="89" customWidth="1"/>
    <col min="3" max="3" width="14.8984375" style="89" customWidth="1"/>
    <col min="4" max="4" width="24.69921875" style="89" customWidth="1"/>
    <col min="5" max="5" width="15" style="89" customWidth="1"/>
    <col min="6" max="6" width="20.5" style="89" customWidth="1"/>
    <col min="7" max="7" width="13" style="89" customWidth="1"/>
    <col min="8" max="16384" width="9" style="89"/>
  </cols>
  <sheetData>
    <row r="1" spans="1:10" ht="24.9" customHeight="1">
      <c r="A1" s="48" t="s">
        <v>145</v>
      </c>
      <c r="B1" s="49">
        <f>基础信息!B6</f>
        <v>0</v>
      </c>
      <c r="C1" s="528"/>
      <c r="D1" s="355"/>
      <c r="E1" s="529"/>
      <c r="F1" s="355"/>
      <c r="G1" s="530"/>
      <c r="H1" s="900" t="s">
        <v>146</v>
      </c>
    </row>
    <row r="2" spans="1:10" ht="24.9" customHeight="1">
      <c r="A2" s="48" t="s">
        <v>147</v>
      </c>
      <c r="B2" s="49">
        <f>基础信息!B9</f>
        <v>0</v>
      </c>
      <c r="C2" s="528"/>
      <c r="D2" s="355"/>
      <c r="E2" s="355"/>
      <c r="F2" s="355"/>
      <c r="G2" s="530"/>
    </row>
    <row r="3" spans="1:10" ht="24.9" customHeight="1">
      <c r="A3" s="91" t="s">
        <v>148</v>
      </c>
      <c r="B3" s="91" t="s">
        <v>680</v>
      </c>
      <c r="C3" s="531"/>
      <c r="D3" s="355"/>
      <c r="E3" s="355"/>
      <c r="F3" s="355"/>
      <c r="G3" s="530"/>
    </row>
    <row r="4" spans="1:10" s="96" customFormat="1" ht="20.100000000000001" customHeight="1">
      <c r="A4" s="450" t="s">
        <v>681</v>
      </c>
      <c r="B4" s="136"/>
      <c r="C4" s="136"/>
      <c r="D4" s="532"/>
      <c r="E4" s="9"/>
      <c r="F4" s="9"/>
      <c r="G4" s="533"/>
      <c r="H4" s="20"/>
      <c r="I4" s="20"/>
      <c r="J4" s="20"/>
    </row>
    <row r="5" spans="1:10" s="96" customFormat="1" ht="20.100000000000001" customHeight="1">
      <c r="A5" s="1059" t="s">
        <v>682</v>
      </c>
      <c r="B5" s="1059" t="s">
        <v>683</v>
      </c>
      <c r="C5" s="1059"/>
      <c r="D5" s="1060"/>
      <c r="E5" s="1061"/>
      <c r="F5" s="9"/>
      <c r="G5" s="533"/>
      <c r="H5" s="20"/>
      <c r="I5" s="20"/>
      <c r="J5" s="20"/>
    </row>
    <row r="6" spans="1:10" s="96" customFormat="1" ht="20.100000000000001" customHeight="1">
      <c r="A6" s="1059"/>
      <c r="B6" s="10" t="s">
        <v>684</v>
      </c>
      <c r="C6" s="10" t="s">
        <v>685</v>
      </c>
      <c r="D6" s="534"/>
      <c r="E6" s="497"/>
      <c r="F6" s="9"/>
      <c r="G6" s="533"/>
      <c r="H6" s="20"/>
      <c r="I6" s="20"/>
      <c r="J6" s="20"/>
    </row>
    <row r="7" spans="1:10" s="96" customFormat="1" ht="20.100000000000001" customHeight="1">
      <c r="A7" s="59" t="s">
        <v>686</v>
      </c>
      <c r="B7" s="535"/>
      <c r="C7" s="535"/>
      <c r="D7" s="536"/>
      <c r="E7" s="31"/>
      <c r="F7" s="1"/>
      <c r="G7" s="537"/>
    </row>
    <row r="8" spans="1:10" s="96" customFormat="1" ht="64.5" customHeight="1">
      <c r="A8" s="59" t="s">
        <v>687</v>
      </c>
      <c r="B8" s="535"/>
      <c r="C8" s="535"/>
      <c r="D8" s="536"/>
      <c r="E8" s="31"/>
      <c r="F8" s="1"/>
      <c r="G8" s="537"/>
    </row>
    <row r="9" spans="1:10" s="96" customFormat="1" ht="20.100000000000001" customHeight="1">
      <c r="A9" s="59" t="s">
        <v>688</v>
      </c>
      <c r="B9" s="538"/>
      <c r="C9" s="538"/>
      <c r="D9" s="539"/>
      <c r="E9" s="109"/>
      <c r="F9" s="1"/>
      <c r="G9" s="537"/>
    </row>
    <row r="10" spans="1:10" s="96" customFormat="1" ht="20.100000000000001" customHeight="1">
      <c r="A10" s="59" t="s">
        <v>632</v>
      </c>
      <c r="B10" s="524">
        <f>SUM(B7:B9)</f>
        <v>0</v>
      </c>
      <c r="C10" s="524">
        <f>SUM(C7:C9)</f>
        <v>0</v>
      </c>
      <c r="D10" s="539"/>
      <c r="E10" s="109"/>
      <c r="F10" s="114"/>
      <c r="G10" s="537"/>
    </row>
    <row r="11" spans="1:10" s="96" customFormat="1" ht="20.100000000000001" customHeight="1">
      <c r="A11" s="112"/>
      <c r="B11" s="524"/>
      <c r="C11" s="524"/>
      <c r="D11" s="540"/>
      <c r="E11" s="1"/>
      <c r="F11" s="1"/>
      <c r="G11" s="537"/>
    </row>
    <row r="12" spans="1:10" s="96" customFormat="1" ht="20.100000000000001" customHeight="1">
      <c r="B12" s="524"/>
      <c r="C12" s="524"/>
      <c r="D12" s="540"/>
      <c r="E12" s="1"/>
      <c r="F12" s="1"/>
      <c r="G12" s="537"/>
    </row>
    <row r="13" spans="1:10" s="94" customFormat="1" ht="20.100000000000001" customHeight="1">
      <c r="D13" s="541"/>
      <c r="E13" s="23"/>
      <c r="F13" s="23"/>
      <c r="G13" s="542"/>
    </row>
    <row r="14" spans="1:10" s="94" customFormat="1" ht="20.100000000000001" customHeight="1">
      <c r="A14" s="23"/>
      <c r="B14" s="23"/>
      <c r="C14" s="23"/>
      <c r="D14" s="23"/>
      <c r="E14" s="23"/>
      <c r="F14" s="23"/>
      <c r="G14" s="542"/>
    </row>
    <row r="15" spans="1:10" s="94" customFormat="1" ht="20.100000000000001" customHeight="1">
      <c r="A15" s="23"/>
      <c r="B15" s="23"/>
      <c r="C15" s="23"/>
      <c r="D15" s="23"/>
      <c r="E15" s="23"/>
      <c r="F15" s="23"/>
      <c r="G15" s="542"/>
    </row>
    <row r="16" spans="1:10" s="96" customFormat="1" ht="20.100000000000001" customHeight="1">
      <c r="A16" s="543" t="s">
        <v>689</v>
      </c>
      <c r="B16" s="544"/>
      <c r="C16" s="544"/>
      <c r="D16" s="544"/>
      <c r="E16" s="544"/>
      <c r="F16" s="1"/>
      <c r="G16" s="537"/>
    </row>
    <row r="17" spans="1:7" s="96" customFormat="1" ht="20.100000000000001" customHeight="1">
      <c r="A17" s="82" t="s">
        <v>690</v>
      </c>
      <c r="B17" s="82" t="s">
        <v>691</v>
      </c>
      <c r="C17" s="82" t="s">
        <v>685</v>
      </c>
      <c r="D17" s="82" t="s">
        <v>692</v>
      </c>
      <c r="E17" s="82" t="s">
        <v>693</v>
      </c>
      <c r="F17" s="540"/>
      <c r="G17" s="537"/>
    </row>
    <row r="18" spans="1:7" s="96" customFormat="1" ht="20.100000000000001" customHeight="1">
      <c r="A18" s="88"/>
      <c r="B18" s="512"/>
      <c r="C18" s="512"/>
      <c r="D18" s="545"/>
      <c r="E18" s="88"/>
      <c r="F18" s="540"/>
      <c r="G18" s="537"/>
    </row>
    <row r="19" spans="1:7" s="96" customFormat="1" ht="20.100000000000001" customHeight="1">
      <c r="A19" s="88"/>
      <c r="B19" s="512"/>
      <c r="C19" s="512"/>
      <c r="D19" s="545"/>
      <c r="E19" s="88"/>
      <c r="F19" s="540"/>
      <c r="G19" s="537"/>
    </row>
    <row r="20" spans="1:7" s="96" customFormat="1" ht="20.100000000000001" customHeight="1">
      <c r="A20" s="88"/>
      <c r="B20" s="512"/>
      <c r="C20" s="512"/>
      <c r="D20" s="545"/>
      <c r="E20" s="88"/>
      <c r="F20" s="540"/>
      <c r="G20" s="537"/>
    </row>
    <row r="21" spans="1:7" s="96" customFormat="1" ht="20.100000000000001" customHeight="1">
      <c r="A21" s="462"/>
      <c r="B21" s="512"/>
      <c r="C21" s="512"/>
      <c r="D21" s="545"/>
      <c r="E21" s="88"/>
      <c r="F21" s="540"/>
      <c r="G21" s="537"/>
    </row>
    <row r="22" spans="1:7" s="96" customFormat="1" ht="20.100000000000001" customHeight="1">
      <c r="A22" s="88" t="s">
        <v>632</v>
      </c>
      <c r="B22" s="512"/>
      <c r="C22" s="512"/>
      <c r="D22" s="545"/>
      <c r="E22" s="88"/>
      <c r="F22" s="540"/>
      <c r="G22" s="537"/>
    </row>
    <row r="23" spans="1:7" s="96" customFormat="1" ht="20.100000000000001" customHeight="1">
      <c r="A23" s="112" t="s">
        <v>694</v>
      </c>
      <c r="B23" s="546">
        <f>B7</f>
        <v>0</v>
      </c>
      <c r="C23" s="546">
        <f>C7</f>
        <v>0</v>
      </c>
      <c r="D23" s="547"/>
      <c r="F23" s="540"/>
      <c r="G23" s="537"/>
    </row>
    <row r="24" spans="1:7" s="96" customFormat="1" ht="20.100000000000001" customHeight="1">
      <c r="B24" s="546">
        <f>B22-B23</f>
        <v>0</v>
      </c>
      <c r="C24" s="546">
        <f>C22-C23</f>
        <v>0</v>
      </c>
      <c r="D24" s="547"/>
      <c r="F24" s="540"/>
      <c r="G24" s="537"/>
    </row>
    <row r="25" spans="1:7" s="94" customFormat="1" ht="20.100000000000001" customHeight="1">
      <c r="B25" s="94" t="str">
        <f>IF(B24=0,"OK","NO")</f>
        <v>OK</v>
      </c>
      <c r="C25" s="94" t="str">
        <f>IF(C24=0,"OK","NO")</f>
        <v>OK</v>
      </c>
      <c r="F25" s="548"/>
      <c r="G25" s="542"/>
    </row>
    <row r="26" spans="1:7" s="96" customFormat="1" ht="20.100000000000001" customHeight="1">
      <c r="A26" s="549"/>
      <c r="B26" s="550"/>
      <c r="C26" s="549"/>
      <c r="D26" s="549"/>
      <c r="E26" s="549"/>
      <c r="F26" s="1"/>
      <c r="G26" s="537"/>
    </row>
    <row r="27" spans="1:7" s="96" customFormat="1" ht="20.100000000000001" customHeight="1">
      <c r="A27" s="543" t="s">
        <v>695</v>
      </c>
      <c r="B27" s="544"/>
      <c r="C27" s="544"/>
      <c r="D27" s="1"/>
      <c r="E27" s="1"/>
      <c r="F27" s="1"/>
      <c r="G27" s="537"/>
    </row>
    <row r="28" spans="1:7" s="96" customFormat="1" ht="20.100000000000001" customHeight="1">
      <c r="A28" s="1059" t="s">
        <v>696</v>
      </c>
      <c r="B28" s="1059" t="s">
        <v>683</v>
      </c>
      <c r="C28" s="1059"/>
      <c r="D28" s="536"/>
      <c r="E28" s="31"/>
      <c r="F28" s="1"/>
      <c r="G28" s="537"/>
    </row>
    <row r="29" spans="1:7" s="96" customFormat="1" ht="20.100000000000001" customHeight="1">
      <c r="A29" s="1059"/>
      <c r="B29" s="10" t="s">
        <v>684</v>
      </c>
      <c r="C29" s="10" t="s">
        <v>685</v>
      </c>
      <c r="D29" s="536"/>
      <c r="E29" s="31"/>
      <c r="F29" s="1"/>
      <c r="G29" s="537"/>
    </row>
    <row r="30" spans="1:7" s="96" customFormat="1" ht="20.100000000000001" customHeight="1">
      <c r="A30" s="59" t="s">
        <v>697</v>
      </c>
      <c r="B30" s="535"/>
      <c r="C30" s="535"/>
      <c r="D30" s="536"/>
      <c r="E30" s="31"/>
      <c r="F30" s="1"/>
      <c r="G30" s="537"/>
    </row>
    <row r="31" spans="1:7" s="96" customFormat="1" ht="20.100000000000001" customHeight="1">
      <c r="A31" s="59" t="s">
        <v>698</v>
      </c>
      <c r="B31" s="535"/>
      <c r="C31" s="535"/>
      <c r="D31" s="536"/>
      <c r="E31" s="31"/>
      <c r="F31" s="1"/>
      <c r="G31" s="537"/>
    </row>
    <row r="32" spans="1:7" s="96" customFormat="1" ht="20.100000000000001" customHeight="1">
      <c r="A32" s="59" t="s">
        <v>699</v>
      </c>
      <c r="B32" s="535"/>
      <c r="C32" s="535"/>
      <c r="D32" s="536"/>
      <c r="E32" s="31"/>
      <c r="F32" s="1"/>
      <c r="G32" s="537"/>
    </row>
    <row r="33" spans="1:7" s="96" customFormat="1" ht="20.100000000000001" customHeight="1">
      <c r="A33" s="551" t="s">
        <v>700</v>
      </c>
      <c r="B33" s="535"/>
      <c r="C33" s="535"/>
      <c r="D33" s="536"/>
      <c r="E33" s="31"/>
      <c r="F33" s="1"/>
      <c r="G33" s="537"/>
    </row>
    <row r="34" spans="1:7" s="96" customFormat="1" ht="20.100000000000001" customHeight="1">
      <c r="A34" s="551" t="s">
        <v>701</v>
      </c>
      <c r="B34" s="535"/>
      <c r="C34" s="535"/>
      <c r="D34" s="536"/>
      <c r="E34" s="31"/>
      <c r="F34" s="1"/>
      <c r="G34" s="537"/>
    </row>
    <row r="35" spans="1:7" s="96" customFormat="1" ht="20.100000000000001" customHeight="1">
      <c r="A35" s="551" t="s">
        <v>702</v>
      </c>
      <c r="B35" s="535"/>
      <c r="C35" s="535"/>
      <c r="D35" s="536"/>
      <c r="E35" s="31"/>
      <c r="F35" s="1"/>
      <c r="G35" s="537"/>
    </row>
    <row r="36" spans="1:7" s="96" customFormat="1" ht="20.100000000000001" customHeight="1">
      <c r="A36" s="59" t="s">
        <v>703</v>
      </c>
      <c r="B36" s="521">
        <f>SUM(B30:B33)</f>
        <v>0</v>
      </c>
      <c r="C36" s="521">
        <f>SUM(C30:C33)</f>
        <v>0</v>
      </c>
      <c r="D36" s="536"/>
      <c r="E36" s="31"/>
      <c r="F36" s="114"/>
      <c r="G36" s="537"/>
    </row>
    <row r="37" spans="1:7" s="96" customFormat="1" ht="20.100000000000001" customHeight="1">
      <c r="A37" s="112" t="s">
        <v>694</v>
      </c>
      <c r="B37" s="524">
        <f>B8</f>
        <v>0</v>
      </c>
      <c r="C37" s="524">
        <f>C8</f>
        <v>0</v>
      </c>
      <c r="D37" s="540"/>
      <c r="E37" s="1"/>
      <c r="F37" s="1"/>
      <c r="G37" s="537"/>
    </row>
    <row r="38" spans="1:7" s="96" customFormat="1" ht="20.100000000000001" customHeight="1">
      <c r="B38" s="524">
        <f>B36-B37</f>
        <v>0</v>
      </c>
      <c r="C38" s="524">
        <f>C36-C37</f>
        <v>0</v>
      </c>
      <c r="D38" s="540"/>
      <c r="E38" s="1"/>
      <c r="F38" s="1"/>
      <c r="G38" s="537"/>
    </row>
    <row r="39" spans="1:7" s="94" customFormat="1" ht="20.100000000000001" customHeight="1">
      <c r="B39" s="94" t="str">
        <f>IF(B38=0,"OK","NO")</f>
        <v>OK</v>
      </c>
      <c r="C39" s="94" t="str">
        <f>IF(C38=0,"OK","NO")</f>
        <v>OK</v>
      </c>
      <c r="D39" s="541"/>
      <c r="E39" s="23"/>
      <c r="F39" s="283"/>
      <c r="G39" s="542"/>
    </row>
    <row r="40" spans="1:7" s="96" customFormat="1" ht="20.100000000000001" customHeight="1">
      <c r="D40" s="540"/>
      <c r="E40" s="1"/>
      <c r="F40" s="1"/>
      <c r="G40" s="537"/>
    </row>
    <row r="41" spans="1:7" s="96" customFormat="1" ht="20.100000000000001" customHeight="1">
      <c r="A41" s="450" t="s">
        <v>704</v>
      </c>
      <c r="D41" s="540"/>
      <c r="E41" s="1"/>
      <c r="F41" s="1"/>
      <c r="G41" s="537"/>
    </row>
    <row r="42" spans="1:7" s="96" customFormat="1" ht="20.100000000000001" customHeight="1">
      <c r="A42" s="552" t="s">
        <v>705</v>
      </c>
      <c r="D42" s="540"/>
      <c r="E42" s="1"/>
      <c r="F42" s="1"/>
      <c r="G42" s="537"/>
    </row>
    <row r="43" spans="1:7" s="96" customFormat="1" ht="20.100000000000001" customHeight="1">
      <c r="A43" s="552" t="s">
        <v>706</v>
      </c>
      <c r="D43" s="553"/>
      <c r="E43" s="544"/>
      <c r="F43" s="1"/>
      <c r="G43" s="537"/>
    </row>
    <row r="44" spans="1:7" s="96" customFormat="1" ht="20.100000000000001" customHeight="1">
      <c r="A44" s="10" t="s">
        <v>707</v>
      </c>
      <c r="B44" s="10" t="s">
        <v>708</v>
      </c>
      <c r="C44" s="10" t="s">
        <v>709</v>
      </c>
      <c r="D44" s="10" t="s">
        <v>710</v>
      </c>
      <c r="E44" s="10" t="s">
        <v>711</v>
      </c>
      <c r="F44" s="540"/>
      <c r="G44" s="537"/>
    </row>
    <row r="45" spans="1:7" s="96" customFormat="1" ht="20.100000000000001" customHeight="1">
      <c r="A45" s="278"/>
      <c r="B45" s="26"/>
      <c r="C45" s="26"/>
      <c r="D45" s="26"/>
      <c r="E45" s="26"/>
      <c r="F45" s="540"/>
      <c r="G45" s="537"/>
    </row>
    <row r="46" spans="1:7" s="96" customFormat="1" ht="20.100000000000001" customHeight="1">
      <c r="A46" s="278" t="s">
        <v>712</v>
      </c>
      <c r="B46" s="26"/>
      <c r="C46" s="26"/>
      <c r="D46" s="26"/>
      <c r="E46" s="26"/>
      <c r="F46" s="540"/>
      <c r="G46" s="537"/>
    </row>
    <row r="47" spans="1:7" s="96" customFormat="1" ht="20.100000000000001" customHeight="1">
      <c r="A47" s="26" t="s">
        <v>632</v>
      </c>
      <c r="B47" s="554">
        <f>SUM(B45:B46)</f>
        <v>0</v>
      </c>
      <c r="C47" s="26"/>
      <c r="D47" s="26"/>
      <c r="E47" s="554">
        <f>SUM(E45:E46)</f>
        <v>0</v>
      </c>
      <c r="F47" s="540"/>
      <c r="G47" s="537"/>
    </row>
    <row r="48" spans="1:7" s="96" customFormat="1" ht="20.100000000000001" customHeight="1">
      <c r="F48" s="540"/>
      <c r="G48" s="537"/>
    </row>
    <row r="49" spans="1:7" s="96" customFormat="1" ht="20.100000000000001" customHeight="1">
      <c r="A49" s="136" t="s">
        <v>713</v>
      </c>
      <c r="C49" s="555"/>
      <c r="D49" s="549"/>
      <c r="E49" s="549"/>
      <c r="F49" s="1"/>
      <c r="G49" s="537"/>
    </row>
    <row r="50" spans="1:7" s="96" customFormat="1" ht="20.100000000000001" customHeight="1">
      <c r="A50" s="10" t="s">
        <v>137</v>
      </c>
      <c r="B50" s="10" t="s">
        <v>714</v>
      </c>
      <c r="C50" s="540"/>
      <c r="D50" s="1"/>
      <c r="E50" s="1"/>
      <c r="F50" s="1"/>
      <c r="G50" s="537"/>
    </row>
    <row r="51" spans="1:7" s="96" customFormat="1" ht="20.100000000000001" customHeight="1">
      <c r="A51" s="26" t="s">
        <v>715</v>
      </c>
      <c r="B51" s="26"/>
      <c r="C51" s="540"/>
      <c r="D51" s="1"/>
      <c r="E51" s="1"/>
      <c r="F51" s="1"/>
      <c r="G51" s="537"/>
    </row>
    <row r="52" spans="1:7" s="96" customFormat="1" ht="20.100000000000001" customHeight="1">
      <c r="A52" s="26"/>
      <c r="B52" s="26"/>
      <c r="C52" s="540"/>
      <c r="D52" s="1"/>
      <c r="E52" s="1"/>
      <c r="F52" s="1"/>
      <c r="G52" s="537"/>
    </row>
    <row r="53" spans="1:7" s="96" customFormat="1" ht="20.100000000000001" customHeight="1">
      <c r="A53" s="552" t="s">
        <v>716</v>
      </c>
      <c r="C53" s="553"/>
      <c r="D53" s="544"/>
      <c r="E53" s="544"/>
      <c r="F53" s="544"/>
      <c r="G53" s="537"/>
    </row>
    <row r="54" spans="1:7" s="96" customFormat="1" ht="20.100000000000001" customHeight="1">
      <c r="A54" s="10" t="s">
        <v>707</v>
      </c>
      <c r="B54" s="10" t="s">
        <v>717</v>
      </c>
      <c r="C54" s="10" t="s">
        <v>714</v>
      </c>
      <c r="D54" s="10" t="s">
        <v>718</v>
      </c>
      <c r="E54" s="10" t="s">
        <v>719</v>
      </c>
      <c r="F54" s="10" t="s">
        <v>720</v>
      </c>
    </row>
    <row r="55" spans="1:7" s="96" customFormat="1" ht="20.100000000000001" customHeight="1">
      <c r="A55" s="26"/>
      <c r="B55" s="26"/>
      <c r="C55" s="26"/>
      <c r="D55" s="26"/>
      <c r="E55" s="26"/>
      <c r="F55" s="26"/>
    </row>
    <row r="56" spans="1:7" s="96" customFormat="1" ht="20.100000000000001" customHeight="1">
      <c r="A56" s="26"/>
      <c r="B56" s="278"/>
      <c r="C56" s="278"/>
      <c r="D56" s="278"/>
      <c r="E56" s="278"/>
      <c r="F56" s="278"/>
    </row>
    <row r="57" spans="1:7" s="96" customFormat="1" ht="34.5" customHeight="1">
      <c r="A57" s="278"/>
      <c r="B57" s="278"/>
      <c r="C57" s="278"/>
      <c r="D57" s="278"/>
      <c r="E57" s="278"/>
      <c r="F57" s="278"/>
    </row>
    <row r="58" spans="1:7" s="96" customFormat="1" ht="20.100000000000001" customHeight="1">
      <c r="A58" s="26" t="s">
        <v>632</v>
      </c>
      <c r="B58" s="554">
        <f>SUM(B55:B57)</f>
        <v>0</v>
      </c>
      <c r="C58" s="554">
        <f>SUM(C55:C57)</f>
        <v>0</v>
      </c>
      <c r="D58" s="278"/>
      <c r="E58" s="278"/>
      <c r="F58" s="278"/>
    </row>
    <row r="59" spans="1:7" s="96" customFormat="1" ht="20.100000000000001" customHeight="1">
      <c r="A59" s="1"/>
      <c r="B59" s="1"/>
      <c r="C59" s="1"/>
      <c r="D59" s="1"/>
      <c r="E59" s="1"/>
      <c r="F59" s="1"/>
      <c r="G59" s="537"/>
    </row>
    <row r="60" spans="1:7" s="96" customFormat="1" ht="20.100000000000001" customHeight="1">
      <c r="A60" s="62" t="s">
        <v>721</v>
      </c>
      <c r="B60" s="1"/>
      <c r="C60" s="1"/>
      <c r="D60" s="1"/>
      <c r="E60" s="1"/>
      <c r="F60" s="1"/>
      <c r="G60" s="537"/>
    </row>
    <row r="61" spans="1:7" s="96" customFormat="1" ht="20.100000000000001" customHeight="1">
      <c r="A61" s="502" t="s">
        <v>722</v>
      </c>
      <c r="B61" s="1"/>
      <c r="C61" s="1"/>
      <c r="D61" s="1"/>
      <c r="E61" s="1"/>
      <c r="F61" s="1"/>
      <c r="G61" s="537"/>
    </row>
    <row r="62" spans="1:7" s="96" customFormat="1" ht="20.100000000000001" customHeight="1">
      <c r="A62" s="498" t="s">
        <v>723</v>
      </c>
      <c r="B62" s="1"/>
      <c r="C62" s="1"/>
      <c r="D62" s="1"/>
      <c r="E62" s="1"/>
      <c r="F62" s="1"/>
      <c r="G62" s="537"/>
    </row>
    <row r="63" spans="1:7" s="96" customFormat="1" ht="20.100000000000001" customHeight="1">
      <c r="A63" s="502" t="s">
        <v>724</v>
      </c>
      <c r="B63" s="1"/>
      <c r="C63" s="1"/>
      <c r="D63" s="1"/>
      <c r="E63" s="1"/>
      <c r="F63" s="1"/>
      <c r="G63" s="537"/>
    </row>
    <row r="64" spans="1:7" s="96" customFormat="1" ht="47.25" customHeight="1">
      <c r="A64" s="556" t="s">
        <v>707</v>
      </c>
      <c r="B64" s="556" t="s">
        <v>725</v>
      </c>
      <c r="C64" s="556" t="s">
        <v>726</v>
      </c>
      <c r="D64" s="556" t="s">
        <v>727</v>
      </c>
      <c r="E64" s="540"/>
      <c r="F64" s="1"/>
      <c r="G64" s="537"/>
    </row>
    <row r="65" spans="1:10" s="96" customFormat="1" ht="20.100000000000001" customHeight="1">
      <c r="A65" s="88"/>
      <c r="B65" s="88"/>
      <c r="C65" s="88"/>
      <c r="D65" s="88"/>
      <c r="E65" s="540"/>
      <c r="F65" s="1"/>
      <c r="G65" s="537"/>
    </row>
    <row r="66" spans="1:10" s="96" customFormat="1" ht="20.100000000000001" customHeight="1">
      <c r="A66" s="88"/>
      <c r="B66" s="462"/>
      <c r="C66" s="462"/>
      <c r="D66" s="462"/>
      <c r="E66" s="540"/>
      <c r="F66" s="1"/>
      <c r="G66" s="537"/>
    </row>
    <row r="67" spans="1:10" s="96" customFormat="1" ht="20.100000000000001" customHeight="1">
      <c r="A67" s="462"/>
      <c r="B67" s="462"/>
      <c r="C67" s="462"/>
      <c r="D67" s="462"/>
      <c r="E67" s="540"/>
      <c r="F67" s="1"/>
      <c r="G67" s="537"/>
    </row>
    <row r="68" spans="1:10" s="96" customFormat="1" ht="20.100000000000001" customHeight="1">
      <c r="A68" s="88" t="s">
        <v>632</v>
      </c>
      <c r="B68" s="557">
        <f>SUM(B65:B67)</f>
        <v>0</v>
      </c>
      <c r="C68" s="88">
        <f>SUM(C65:C67)</f>
        <v>0</v>
      </c>
      <c r="D68" s="88">
        <f>SUM(D65:D67)</f>
        <v>0</v>
      </c>
      <c r="E68" s="540"/>
      <c r="F68" s="1"/>
      <c r="G68" s="537"/>
    </row>
    <row r="69" spans="1:10" s="94" customFormat="1" ht="20.100000000000001" customHeight="1">
      <c r="A69" s="96"/>
      <c r="B69" s="96"/>
      <c r="C69" s="96"/>
      <c r="D69" s="96"/>
      <c r="E69" s="540"/>
      <c r="F69" s="1"/>
      <c r="G69" s="537"/>
      <c r="H69" s="96"/>
      <c r="I69" s="96"/>
      <c r="J69" s="96"/>
    </row>
    <row r="70" spans="1:10" s="96" customFormat="1" ht="20.100000000000001" customHeight="1">
      <c r="A70" s="450" t="s">
        <v>728</v>
      </c>
      <c r="E70" s="540"/>
      <c r="F70" s="1"/>
      <c r="G70" s="537"/>
    </row>
    <row r="71" spans="1:10" s="96" customFormat="1" ht="20.100000000000001" customHeight="1">
      <c r="A71" s="10" t="s">
        <v>729</v>
      </c>
      <c r="B71" s="10" t="s">
        <v>730</v>
      </c>
      <c r="C71" s="10" t="s">
        <v>731</v>
      </c>
      <c r="D71" s="10" t="s">
        <v>732</v>
      </c>
      <c r="E71" s="540"/>
      <c r="F71" s="1"/>
      <c r="G71" s="537"/>
    </row>
    <row r="72" spans="1:10" s="96" customFormat="1" ht="20.100000000000001" customHeight="1">
      <c r="A72" s="88"/>
      <c r="B72" s="88"/>
      <c r="C72" s="88"/>
      <c r="D72" s="88"/>
      <c r="E72" s="540"/>
      <c r="F72" s="1"/>
      <c r="G72" s="537"/>
    </row>
    <row r="73" spans="1:10" s="96" customFormat="1" ht="20.100000000000001" customHeight="1">
      <c r="A73" s="88"/>
      <c r="B73" s="462"/>
      <c r="C73" s="462"/>
      <c r="D73" s="462"/>
      <c r="E73" s="540"/>
      <c r="F73" s="1"/>
      <c r="G73" s="537"/>
    </row>
    <row r="74" spans="1:10" s="96" customFormat="1" ht="20.100000000000001" customHeight="1">
      <c r="A74" s="462"/>
      <c r="B74" s="462"/>
      <c r="C74" s="462"/>
      <c r="D74" s="462"/>
      <c r="E74" s="540"/>
      <c r="F74" s="1"/>
      <c r="G74" s="537"/>
    </row>
    <row r="75" spans="1:10" s="96" customFormat="1" ht="20.100000000000001" customHeight="1">
      <c r="A75" s="558" t="s">
        <v>632</v>
      </c>
      <c r="B75" s="558"/>
      <c r="C75" s="559">
        <f>SUM(C72:C74)</f>
        <v>0</v>
      </c>
      <c r="D75" s="559">
        <f>SUM(D72:D74)</f>
        <v>0</v>
      </c>
      <c r="E75" s="540"/>
      <c r="F75" s="1"/>
      <c r="G75" s="537"/>
    </row>
    <row r="76" spans="1:10" s="96" customFormat="1" ht="20.100000000000001" customHeight="1">
      <c r="A76" s="560" t="s">
        <v>651</v>
      </c>
      <c r="B76" s="549"/>
      <c r="C76" s="549"/>
      <c r="D76" s="549"/>
      <c r="E76" s="549"/>
      <c r="F76" s="549"/>
      <c r="G76" s="537"/>
    </row>
    <row r="77" spans="1:10" s="96" customFormat="1" ht="20.100000000000001" customHeight="1">
      <c r="A77" s="498" t="s">
        <v>733</v>
      </c>
      <c r="B77" s="1"/>
      <c r="C77" s="1"/>
      <c r="D77" s="1"/>
      <c r="E77" s="1"/>
      <c r="F77" s="1"/>
      <c r="G77" s="537"/>
    </row>
    <row r="78" spans="1:10" s="96" customFormat="1" ht="20.100000000000001" customHeight="1">
      <c r="A78" s="498" t="s">
        <v>734</v>
      </c>
      <c r="B78" s="1"/>
      <c r="C78" s="1"/>
      <c r="D78" s="1"/>
      <c r="E78" s="1"/>
      <c r="F78" s="1"/>
      <c r="G78" s="537"/>
    </row>
    <row r="79" spans="1:10" s="96" customFormat="1" ht="20.100000000000001" customHeight="1">
      <c r="A79" s="498" t="s">
        <v>735</v>
      </c>
      <c r="B79" s="1"/>
      <c r="C79" s="1"/>
      <c r="D79" s="1"/>
      <c r="E79" s="1"/>
      <c r="F79" s="1"/>
      <c r="G79" s="537"/>
    </row>
    <row r="80" spans="1:10" s="96" customFormat="1" ht="20.100000000000001" customHeight="1">
      <c r="A80" s="1"/>
      <c r="B80" s="1"/>
      <c r="C80" s="1"/>
      <c r="D80" s="1"/>
      <c r="E80" s="1"/>
      <c r="F80" s="1"/>
      <c r="G80" s="537"/>
    </row>
    <row r="81" spans="1:7" s="96" customFormat="1" ht="20.100000000000001" customHeight="1">
      <c r="A81" s="62" t="s">
        <v>736</v>
      </c>
      <c r="B81" s="1"/>
      <c r="C81" s="1"/>
      <c r="D81" s="1"/>
      <c r="E81" s="1"/>
      <c r="F81" s="1"/>
      <c r="G81" s="537"/>
    </row>
    <row r="82" spans="1:7" s="96" customFormat="1" ht="20.100000000000001" customHeight="1">
      <c r="A82" s="556" t="s">
        <v>729</v>
      </c>
      <c r="B82" s="556" t="s">
        <v>737</v>
      </c>
      <c r="C82" s="540"/>
      <c r="D82" s="1"/>
      <c r="E82" s="1"/>
      <c r="F82" s="1"/>
      <c r="G82" s="537"/>
    </row>
    <row r="83" spans="1:7" s="96" customFormat="1" ht="20.100000000000001" customHeight="1">
      <c r="A83" s="26" t="s">
        <v>738</v>
      </c>
      <c r="B83" s="26"/>
      <c r="C83" s="540"/>
      <c r="D83" s="1"/>
      <c r="E83" s="1"/>
      <c r="F83" s="1"/>
      <c r="G83" s="537"/>
    </row>
    <row r="84" spans="1:7" s="96" customFormat="1" ht="20.100000000000001" customHeight="1">
      <c r="A84" s="26"/>
      <c r="B84" s="26"/>
      <c r="C84" s="540"/>
      <c r="D84" s="1"/>
      <c r="E84" s="1"/>
      <c r="F84" s="1"/>
      <c r="G84" s="537"/>
    </row>
    <row r="85" spans="1:7" s="96" customFormat="1" ht="20.100000000000001" customHeight="1">
      <c r="A85" s="26" t="s">
        <v>739</v>
      </c>
      <c r="B85" s="26" t="s">
        <v>740</v>
      </c>
      <c r="C85" s="540"/>
      <c r="D85" s="1"/>
      <c r="E85" s="1"/>
      <c r="F85" s="1"/>
      <c r="G85" s="537"/>
    </row>
    <row r="86" spans="1:7" s="96" customFormat="1" ht="20.100000000000001" customHeight="1">
      <c r="A86" s="26" t="s">
        <v>741</v>
      </c>
      <c r="B86" s="278"/>
      <c r="C86" s="540"/>
      <c r="D86" s="1"/>
      <c r="E86" s="1"/>
      <c r="F86" s="1"/>
      <c r="G86" s="537"/>
    </row>
    <row r="87" spans="1:7" s="96" customFormat="1" ht="20.100000000000001" customHeight="1">
      <c r="A87" s="278"/>
      <c r="B87" s="278"/>
      <c r="C87" s="540"/>
      <c r="D87" s="1"/>
      <c r="E87" s="1"/>
      <c r="F87" s="1"/>
      <c r="G87" s="537"/>
    </row>
    <row r="88" spans="1:7" s="96" customFormat="1" ht="20.100000000000001" customHeight="1">
      <c r="A88" s="26" t="s">
        <v>742</v>
      </c>
      <c r="B88" s="26" t="s">
        <v>740</v>
      </c>
      <c r="C88" s="540"/>
      <c r="D88" s="1"/>
      <c r="E88" s="1"/>
      <c r="F88" s="1"/>
      <c r="G88" s="537"/>
    </row>
    <row r="89" spans="1:7" s="96" customFormat="1" ht="20.100000000000001" customHeight="1">
      <c r="A89" s="552" t="s">
        <v>743</v>
      </c>
      <c r="B89" s="561"/>
      <c r="C89" s="1"/>
      <c r="D89" s="1"/>
      <c r="E89" s="1"/>
      <c r="F89" s="1"/>
      <c r="G89" s="537"/>
    </row>
    <row r="90" spans="1:7" s="96" customFormat="1" ht="20.100000000000001" customHeight="1">
      <c r="C90" s="143"/>
      <c r="D90" s="143"/>
      <c r="E90" s="143"/>
      <c r="F90" s="143"/>
    </row>
    <row r="91" spans="1:7" s="96" customFormat="1" ht="20.100000000000001" customHeight="1">
      <c r="A91" s="59"/>
      <c r="B91" s="59"/>
    </row>
    <row r="92" spans="1:7" s="96" customFormat="1" ht="20.100000000000001" customHeight="1"/>
  </sheetData>
  <mergeCells count="5">
    <mergeCell ref="B5:C5"/>
    <mergeCell ref="D5:E5"/>
    <mergeCell ref="B28:C28"/>
    <mergeCell ref="A5:A6"/>
    <mergeCell ref="A28:A29"/>
  </mergeCells>
  <phoneticPr fontId="78" type="noConversion"/>
  <hyperlinks>
    <hyperlink ref="H1" location="目录!A1" display="BACK"/>
  </hyperlinks>
  <pageMargins left="0.74791666666666701" right="0.27500000000000002" top="0.51180555555555596" bottom="0.51180555555555596" header="0.27500000000000002" footer="0.27500000000000002"/>
  <pageSetup paperSize="9" scale="75" orientation="portrait" blackAndWhite="1" r:id="rId1"/>
  <headerFooter alignWithMargins="0"/>
  <rowBreaks count="1" manualBreakCount="1">
    <brk id="48" max="5"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15"/>
  <sheetViews>
    <sheetView workbookViewId="0">
      <selection activeCell="E1" sqref="E1"/>
    </sheetView>
  </sheetViews>
  <sheetFormatPr defaultColWidth="9" defaultRowHeight="13.8"/>
  <cols>
    <col min="1" max="1" width="30.5" style="5" customWidth="1"/>
    <col min="2" max="2" width="24.59765625" style="5" customWidth="1"/>
    <col min="3" max="3" width="26" style="5" customWidth="1"/>
    <col min="4" max="4" width="14.09765625" style="110" customWidth="1"/>
    <col min="5" max="5" width="7.8984375" style="5" customWidth="1"/>
    <col min="6" max="16384" width="9" style="5"/>
  </cols>
  <sheetData>
    <row r="1" spans="1:9" ht="24.9" customHeight="1">
      <c r="A1" s="48" t="s">
        <v>145</v>
      </c>
      <c r="B1" s="49">
        <f>基础信息!B6</f>
        <v>0</v>
      </c>
      <c r="C1" s="250"/>
      <c r="E1" s="900" t="s">
        <v>146</v>
      </c>
    </row>
    <row r="2" spans="1:9" ht="24.9" customHeight="1">
      <c r="A2" s="48" t="s">
        <v>147</v>
      </c>
      <c r="B2" s="57">
        <f>基础信息!B9</f>
        <v>0</v>
      </c>
      <c r="C2" s="250"/>
    </row>
    <row r="3" spans="1:9" s="110" customFormat="1" ht="24.9" customHeight="1">
      <c r="A3" s="449" t="s">
        <v>148</v>
      </c>
      <c r="B3" s="976" t="s">
        <v>2150</v>
      </c>
      <c r="C3" s="250"/>
      <c r="E3" s="5"/>
      <c r="F3" s="5"/>
      <c r="G3" s="5"/>
      <c r="H3" s="5"/>
      <c r="I3" s="5"/>
    </row>
    <row r="12" spans="1:9" customFormat="1" ht="15.6">
      <c r="A12" s="1008" t="s">
        <v>632</v>
      </c>
      <c r="B12" s="524">
        <f>SUM(B8:B11)</f>
        <v>0</v>
      </c>
    </row>
    <row r="13" spans="1:9" customFormat="1" ht="15.6">
      <c r="A13" s="1007" t="s">
        <v>650</v>
      </c>
      <c r="B13" s="524">
        <f>'RP 006'!E16</f>
        <v>0</v>
      </c>
    </row>
    <row r="14" spans="1:9" customFormat="1" ht="15.6">
      <c r="A14" s="1007"/>
      <c r="B14" s="524">
        <f>B12-B13</f>
        <v>0</v>
      </c>
    </row>
    <row r="15" spans="1:9" customFormat="1" ht="15.6">
      <c r="A15" s="94"/>
      <c r="B15" s="94" t="str">
        <f>IF(B14=0,"OK","NO")</f>
        <v>OK</v>
      </c>
    </row>
  </sheetData>
  <phoneticPr fontId="78" type="noConversion"/>
  <hyperlinks>
    <hyperlink ref="E1" location="目录!A1" display="BACK"/>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I27"/>
  <sheetViews>
    <sheetView view="pageBreakPreview" zoomScaleNormal="100" zoomScaleSheetLayoutView="100" workbookViewId="0">
      <selection activeCell="B12" sqref="B12"/>
    </sheetView>
  </sheetViews>
  <sheetFormatPr defaultColWidth="9" defaultRowHeight="20.100000000000001" customHeight="1"/>
  <cols>
    <col min="1" max="1" width="30.5" style="5" customWidth="1"/>
    <col min="2" max="2" width="24.59765625" style="5" customWidth="1"/>
    <col min="3" max="3" width="26" style="5" customWidth="1"/>
    <col min="4" max="4" width="14.09765625" style="110" customWidth="1"/>
    <col min="5" max="5" width="7.8984375" style="5" customWidth="1"/>
    <col min="6" max="16384" width="9" style="5"/>
  </cols>
  <sheetData>
    <row r="1" spans="1:9" ht="24.9" customHeight="1">
      <c r="A1" s="48" t="s">
        <v>145</v>
      </c>
      <c r="B1" s="49">
        <f>基础信息!B6</f>
        <v>0</v>
      </c>
      <c r="C1" s="250"/>
      <c r="E1" s="900" t="s">
        <v>146</v>
      </c>
    </row>
    <row r="2" spans="1:9" ht="24.9" customHeight="1">
      <c r="A2" s="48" t="s">
        <v>147</v>
      </c>
      <c r="B2" s="57">
        <f>基础信息!B9</f>
        <v>0</v>
      </c>
      <c r="C2" s="250"/>
    </row>
    <row r="3" spans="1:9" s="110" customFormat="1" ht="24.9" customHeight="1">
      <c r="A3" s="449" t="s">
        <v>148</v>
      </c>
      <c r="B3" s="449" t="s">
        <v>744</v>
      </c>
      <c r="C3" s="250"/>
      <c r="E3" s="5"/>
      <c r="F3" s="5"/>
      <c r="G3" s="5"/>
      <c r="H3" s="5"/>
      <c r="I3" s="5"/>
    </row>
    <row r="4" spans="1:9" s="1" customFormat="1" ht="20.100000000000001" customHeight="1">
      <c r="A4" s="450" t="s">
        <v>745</v>
      </c>
      <c r="B4" s="518"/>
      <c r="C4" s="518"/>
      <c r="E4" s="3"/>
      <c r="F4" s="3"/>
      <c r="G4" s="3"/>
      <c r="H4" s="3"/>
      <c r="I4" s="3"/>
    </row>
    <row r="5" spans="1:9" s="1" customFormat="1" ht="20.100000000000001" customHeight="1">
      <c r="A5" s="1059" t="s">
        <v>696</v>
      </c>
      <c r="B5" s="1059" t="s">
        <v>746</v>
      </c>
      <c r="C5" s="1059"/>
      <c r="D5" s="3"/>
      <c r="E5" s="3"/>
      <c r="F5" s="3"/>
      <c r="G5" s="3"/>
    </row>
    <row r="6" spans="1:9" s="1" customFormat="1" ht="20.100000000000001" customHeight="1">
      <c r="A6" s="1059"/>
      <c r="B6" s="10" t="s">
        <v>747</v>
      </c>
      <c r="C6" s="10" t="s">
        <v>748</v>
      </c>
      <c r="D6" s="3"/>
      <c r="E6" s="3"/>
      <c r="F6" s="3"/>
      <c r="G6" s="3"/>
    </row>
    <row r="7" spans="1:9" s="110" customFormat="1" ht="20.100000000000001" customHeight="1">
      <c r="A7" s="26" t="s">
        <v>697</v>
      </c>
      <c r="B7" s="519"/>
      <c r="C7" s="520"/>
      <c r="D7" s="5"/>
      <c r="E7" s="5"/>
      <c r="F7" s="5"/>
      <c r="G7" s="5"/>
    </row>
    <row r="8" spans="1:9" s="110" customFormat="1" ht="20.100000000000001" customHeight="1">
      <c r="A8" s="26" t="s">
        <v>698</v>
      </c>
      <c r="B8" s="519"/>
      <c r="C8" s="520"/>
      <c r="D8" s="5"/>
      <c r="E8" s="5"/>
      <c r="F8" s="5"/>
      <c r="G8" s="5"/>
    </row>
    <row r="9" spans="1:9" s="110" customFormat="1" ht="20.100000000000001" customHeight="1">
      <c r="A9" s="26" t="s">
        <v>699</v>
      </c>
      <c r="B9" s="519"/>
      <c r="C9" s="520"/>
      <c r="D9" s="5"/>
      <c r="E9" s="5"/>
      <c r="F9" s="5"/>
      <c r="G9" s="5"/>
    </row>
    <row r="10" spans="1:9" s="110" customFormat="1" ht="20.100000000000001" customHeight="1">
      <c r="A10" s="26" t="s">
        <v>749</v>
      </c>
      <c r="B10" s="519"/>
      <c r="C10" s="520"/>
      <c r="D10" s="5"/>
      <c r="E10" s="5"/>
      <c r="F10" s="5"/>
      <c r="G10" s="5"/>
    </row>
    <row r="11" spans="1:9" s="110" customFormat="1" ht="20.100000000000001" customHeight="1">
      <c r="A11" s="26" t="s">
        <v>703</v>
      </c>
      <c r="B11" s="521">
        <f>SUM(B7:B10)</f>
        <v>0</v>
      </c>
      <c r="C11" s="522">
        <f>SUM(C7:C10)</f>
        <v>0</v>
      </c>
      <c r="D11" s="523"/>
      <c r="E11" s="5"/>
      <c r="F11" s="5"/>
      <c r="G11" s="5"/>
    </row>
    <row r="12" spans="1:9" s="110" customFormat="1" ht="20.100000000000001" customHeight="1">
      <c r="A12" s="112" t="s">
        <v>623</v>
      </c>
      <c r="B12" s="524">
        <f>'RP 006'!E17</f>
        <v>0</v>
      </c>
      <c r="C12" s="525"/>
    </row>
    <row r="13" spans="1:9" s="110" customFormat="1" ht="20.100000000000001" customHeight="1">
      <c r="A13" s="96"/>
      <c r="B13" s="524">
        <f>B11-B12</f>
        <v>0</v>
      </c>
      <c r="C13" s="525"/>
    </row>
    <row r="14" spans="1:9" s="208" customFormat="1" ht="20.100000000000001" customHeight="1">
      <c r="A14" s="23"/>
      <c r="B14" s="23" t="str">
        <f>IF(B13=0,"OK","NO")</f>
        <v>OK</v>
      </c>
      <c r="C14" s="23"/>
    </row>
    <row r="15" spans="1:9" s="110" customFormat="1" ht="20.100000000000001" customHeight="1">
      <c r="A15" s="22" t="s">
        <v>651</v>
      </c>
      <c r="B15" s="3"/>
      <c r="C15" s="3"/>
      <c r="E15" s="5"/>
      <c r="F15" s="5"/>
      <c r="G15" s="5"/>
      <c r="H15" s="5"/>
    </row>
    <row r="16" spans="1:9" s="1" customFormat="1" ht="20.100000000000001" customHeight="1">
      <c r="A16" s="3" t="s">
        <v>750</v>
      </c>
      <c r="B16" s="3"/>
      <c r="C16" s="3"/>
      <c r="E16" s="3"/>
      <c r="F16" s="3"/>
      <c r="G16" s="3"/>
      <c r="H16" s="3"/>
    </row>
    <row r="17" spans="1:8" s="1" customFormat="1" ht="20.100000000000001" customHeight="1">
      <c r="A17" s="10" t="s">
        <v>751</v>
      </c>
      <c r="B17" s="10" t="s">
        <v>752</v>
      </c>
      <c r="C17" s="10" t="s">
        <v>753</v>
      </c>
      <c r="E17" s="3"/>
      <c r="F17" s="3"/>
      <c r="G17" s="3"/>
      <c r="H17" s="3"/>
    </row>
    <row r="18" spans="1:8" s="1" customFormat="1" ht="20.100000000000001" customHeight="1">
      <c r="A18" s="526"/>
      <c r="B18" s="526"/>
      <c r="C18" s="526"/>
      <c r="E18" s="3"/>
      <c r="F18" s="3"/>
      <c r="G18" s="3"/>
      <c r="H18" s="3"/>
    </row>
    <row r="19" spans="1:8" s="3" customFormat="1" ht="20.100000000000001" customHeight="1">
      <c r="A19" s="22" t="s">
        <v>754</v>
      </c>
      <c r="D19" s="1"/>
    </row>
    <row r="20" spans="1:8" s="3" customFormat="1" ht="20.100000000000001" customHeight="1">
      <c r="A20" s="281" t="s">
        <v>755</v>
      </c>
      <c r="D20" s="1"/>
    </row>
    <row r="21" spans="1:8" s="3" customFormat="1" ht="20.100000000000001" customHeight="1">
      <c r="A21" s="22" t="s">
        <v>756</v>
      </c>
      <c r="D21" s="1"/>
    </row>
    <row r="22" spans="1:8" s="3" customFormat="1" ht="20.100000000000001" customHeight="1">
      <c r="A22" s="281" t="s">
        <v>757</v>
      </c>
      <c r="D22" s="1"/>
    </row>
    <row r="23" spans="1:8" s="3" customFormat="1" ht="27.75" customHeight="1">
      <c r="A23" s="10" t="s">
        <v>707</v>
      </c>
      <c r="B23" s="10" t="s">
        <v>758</v>
      </c>
      <c r="C23" s="10" t="s">
        <v>759</v>
      </c>
      <c r="D23" s="1"/>
    </row>
    <row r="24" spans="1:8" s="3" customFormat="1" ht="20.100000000000001" customHeight="1">
      <c r="A24" s="26"/>
      <c r="B24" s="26"/>
      <c r="C24" s="26"/>
      <c r="D24" s="1"/>
    </row>
    <row r="25" spans="1:8" s="3" customFormat="1" ht="20.100000000000001" customHeight="1">
      <c r="A25" s="26"/>
      <c r="B25" s="278"/>
      <c r="C25" s="278"/>
      <c r="D25" s="1"/>
    </row>
    <row r="26" spans="1:8" s="3" customFormat="1" ht="20.100000000000001" customHeight="1">
      <c r="A26" s="278"/>
      <c r="B26" s="278"/>
      <c r="C26" s="278"/>
      <c r="D26" s="1"/>
    </row>
    <row r="27" spans="1:8" s="3" customFormat="1" ht="20.100000000000001" customHeight="1">
      <c r="A27" s="26" t="s">
        <v>632</v>
      </c>
      <c r="B27" s="527">
        <f>SUM(B24:B26)</f>
        <v>0</v>
      </c>
      <c r="C27" s="527">
        <f>SUM(C24:C26)</f>
        <v>0</v>
      </c>
      <c r="D27" s="1"/>
    </row>
  </sheetData>
  <mergeCells count="2">
    <mergeCell ref="B5:C5"/>
    <mergeCell ref="A5:A6"/>
  </mergeCells>
  <phoneticPr fontId="78" type="noConversion"/>
  <hyperlinks>
    <hyperlink ref="E1" location="目录!A1" display="BACK"/>
  </hyperlinks>
  <pageMargins left="0.51180555555555596" right="0.27500000000000002" top="0.51180555555555596" bottom="0.51180555555555596" header="0.27500000000000002" footer="0.27500000000000002"/>
  <pageSetup paperSize="9" orientation="portrait" blackAndWhite="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E11"/>
  <sheetViews>
    <sheetView view="pageBreakPreview" zoomScaleNormal="100" zoomScaleSheetLayoutView="100" workbookViewId="0">
      <selection activeCell="B9" sqref="B9"/>
    </sheetView>
  </sheetViews>
  <sheetFormatPr defaultColWidth="9" defaultRowHeight="15.6"/>
  <cols>
    <col min="1" max="1" width="16.8984375" customWidth="1"/>
    <col min="2" max="2" width="27.3984375" customWidth="1"/>
    <col min="5" max="5" width="34.3984375" customWidth="1"/>
  </cols>
  <sheetData>
    <row r="1" spans="1:5">
      <c r="A1" s="516" t="s">
        <v>760</v>
      </c>
      <c r="B1" s="49">
        <f>基础信息!B6</f>
        <v>0</v>
      </c>
      <c r="C1" s="312"/>
      <c r="D1" s="900" t="s">
        <v>146</v>
      </c>
      <c r="E1" s="483"/>
    </row>
    <row r="2" spans="1:5">
      <c r="A2" s="516" t="s">
        <v>761</v>
      </c>
      <c r="B2" s="49">
        <f>基础信息!B9</f>
        <v>0</v>
      </c>
      <c r="C2" s="312"/>
      <c r="D2" s="312"/>
      <c r="E2" s="312"/>
    </row>
    <row r="3" spans="1:5" ht="16.2">
      <c r="A3" s="345" t="s">
        <v>762</v>
      </c>
      <c r="B3" s="345" t="s">
        <v>182</v>
      </c>
      <c r="C3" s="312"/>
      <c r="D3" s="312"/>
      <c r="E3" s="312"/>
    </row>
    <row r="4" spans="1:5" ht="16.2">
      <c r="A4" s="517" t="s">
        <v>305</v>
      </c>
      <c r="B4" s="517" t="s">
        <v>763</v>
      </c>
      <c r="C4" s="503"/>
      <c r="D4" s="366"/>
      <c r="E4" s="366"/>
    </row>
    <row r="5" spans="1:5">
      <c r="A5" s="346" t="s">
        <v>764</v>
      </c>
      <c r="B5" s="509">
        <f>'RP 020-1'!B9</f>
        <v>0</v>
      </c>
      <c r="C5" s="270"/>
      <c r="D5" s="366"/>
      <c r="E5" s="366"/>
    </row>
    <row r="6" spans="1:5">
      <c r="A6" s="346" t="s">
        <v>765</v>
      </c>
      <c r="B6" s="509">
        <f>'RP 020-2'!B8</f>
        <v>0</v>
      </c>
      <c r="C6" s="270"/>
      <c r="D6" s="366"/>
      <c r="E6" s="366"/>
    </row>
    <row r="7" spans="1:5">
      <c r="A7" s="346" t="s">
        <v>182</v>
      </c>
      <c r="B7" s="509">
        <f>'RP 020-3'!B10-'RP 020-3'!C10</f>
        <v>0</v>
      </c>
      <c r="C7" s="270"/>
      <c r="D7" s="366"/>
      <c r="E7" s="366"/>
    </row>
    <row r="8" spans="1:5">
      <c r="A8" s="88" t="s">
        <v>632</v>
      </c>
      <c r="B8" s="511">
        <f>SUM(B5:B7)</f>
        <v>0</v>
      </c>
      <c r="C8" s="270"/>
      <c r="D8" s="504"/>
      <c r="E8" s="366"/>
    </row>
    <row r="9" spans="1:5">
      <c r="A9" s="219" t="s">
        <v>623</v>
      </c>
      <c r="B9" s="511">
        <f>'RP 006'!E20</f>
        <v>0</v>
      </c>
      <c r="C9" s="270"/>
      <c r="D9" s="366"/>
      <c r="E9" s="366"/>
    </row>
    <row r="10" spans="1:5">
      <c r="A10" s="328"/>
      <c r="B10" s="511">
        <f>B8-B9</f>
        <v>0</v>
      </c>
      <c r="C10" s="270"/>
      <c r="D10" s="366"/>
      <c r="E10" s="366"/>
    </row>
    <row r="11" spans="1:5">
      <c r="A11" s="221"/>
      <c r="B11" s="221" t="str">
        <f>IF(B10=0,"OK","NO")</f>
        <v>OK</v>
      </c>
      <c r="C11" s="221"/>
      <c r="D11" s="221"/>
      <c r="E11" s="221"/>
    </row>
  </sheetData>
  <phoneticPr fontId="78" type="noConversion"/>
  <hyperlinks>
    <hyperlink ref="D1" location="目录!A1" display="BACK"/>
  </hyperlinks>
  <pageMargins left="0.75" right="0.75" top="1" bottom="1" header="0.51180555555555596" footer="0.51180555555555596"/>
  <pageSetup paperSize="9" scale="91"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I19"/>
  <sheetViews>
    <sheetView view="pageBreakPreview" zoomScaleNormal="100" zoomScaleSheetLayoutView="100" workbookViewId="0">
      <selection activeCell="G1" sqref="G1"/>
    </sheetView>
  </sheetViews>
  <sheetFormatPr defaultColWidth="9" defaultRowHeight="20.100000000000001" customHeight="1"/>
  <cols>
    <col min="1" max="4" width="20.59765625" style="312" customWidth="1"/>
    <col min="5" max="5" width="22.69921875" style="312" customWidth="1"/>
    <col min="6" max="16384" width="9" style="312"/>
  </cols>
  <sheetData>
    <row r="1" spans="1:9" ht="24.9" customHeight="1">
      <c r="A1" s="48" t="s">
        <v>145</v>
      </c>
      <c r="B1" s="49">
        <f>基础信息!B6</f>
        <v>0</v>
      </c>
      <c r="E1" s="483"/>
      <c r="G1" s="900" t="s">
        <v>146</v>
      </c>
    </row>
    <row r="2" spans="1:9" ht="24.9" customHeight="1">
      <c r="A2" s="48" t="s">
        <v>147</v>
      </c>
      <c r="B2" s="49">
        <f>基础信息!B9</f>
        <v>0</v>
      </c>
    </row>
    <row r="3" spans="1:9" s="313" customFormat="1" ht="24.9" customHeight="1">
      <c r="A3" s="341" t="s">
        <v>148</v>
      </c>
      <c r="B3" s="341" t="s">
        <v>766</v>
      </c>
      <c r="C3" s="312"/>
      <c r="D3" s="312"/>
      <c r="E3" s="312"/>
      <c r="F3" s="312"/>
      <c r="G3" s="312"/>
      <c r="H3" s="312"/>
      <c r="I3" s="312"/>
    </row>
    <row r="4" spans="1:9" s="313" customFormat="1" ht="20.100000000000001" customHeight="1">
      <c r="A4" s="10" t="s">
        <v>729</v>
      </c>
      <c r="B4" s="10" t="s">
        <v>683</v>
      </c>
      <c r="C4" s="503"/>
      <c r="D4" s="366"/>
      <c r="E4" s="366"/>
    </row>
    <row r="5" spans="1:9" s="313" customFormat="1" ht="20.100000000000001" customHeight="1">
      <c r="A5" s="88" t="s">
        <v>767</v>
      </c>
      <c r="B5" s="509"/>
      <c r="C5" s="270"/>
      <c r="D5" s="366"/>
      <c r="E5" s="366"/>
    </row>
    <row r="6" spans="1:9" s="313" customFormat="1" ht="20.100000000000001" customHeight="1">
      <c r="A6" s="88" t="s">
        <v>768</v>
      </c>
      <c r="B6" s="509"/>
      <c r="C6" s="270"/>
      <c r="D6" s="366"/>
      <c r="E6" s="366"/>
    </row>
    <row r="7" spans="1:9" s="313" customFormat="1" ht="20.100000000000001" customHeight="1">
      <c r="A7" s="88" t="s">
        <v>769</v>
      </c>
      <c r="B7" s="509"/>
      <c r="C7" s="270"/>
      <c r="D7" s="366"/>
      <c r="E7" s="366"/>
    </row>
    <row r="8" spans="1:9" s="313" customFormat="1" ht="20.100000000000001" customHeight="1">
      <c r="A8" s="510" t="s">
        <v>770</v>
      </c>
      <c r="B8" s="509"/>
      <c r="C8" s="270"/>
      <c r="D8" s="366"/>
      <c r="E8" s="366"/>
    </row>
    <row r="9" spans="1:9" s="313" customFormat="1" ht="20.100000000000001" customHeight="1">
      <c r="A9" s="88" t="s">
        <v>632</v>
      </c>
      <c r="B9" s="511">
        <f>SUM(B5:B8)</f>
        <v>0</v>
      </c>
      <c r="C9" s="270"/>
      <c r="D9" s="504"/>
      <c r="E9" s="366"/>
    </row>
    <row r="10" spans="1:9" s="313" customFormat="1" ht="20.100000000000001" customHeight="1">
      <c r="A10" s="219"/>
      <c r="B10" s="511"/>
      <c r="C10" s="270"/>
      <c r="D10" s="366"/>
      <c r="E10" s="366"/>
    </row>
    <row r="11" spans="1:9" s="313" customFormat="1" ht="20.100000000000001" customHeight="1">
      <c r="A11" s="328"/>
      <c r="B11" s="511"/>
      <c r="C11" s="270"/>
      <c r="D11" s="366"/>
      <c r="E11" s="366"/>
    </row>
    <row r="12" spans="1:9" s="406" customFormat="1" ht="20.100000000000001" customHeight="1">
      <c r="A12" s="221"/>
      <c r="B12" s="221"/>
      <c r="C12" s="221"/>
      <c r="D12" s="221"/>
      <c r="E12" s="221"/>
    </row>
    <row r="13" spans="1:9" s="313" customFormat="1" ht="20.100000000000001" customHeight="1">
      <c r="A13" s="22" t="s">
        <v>771</v>
      </c>
      <c r="B13" s="201"/>
      <c r="C13" s="201"/>
      <c r="D13" s="201"/>
      <c r="E13" s="201"/>
      <c r="F13" s="312"/>
      <c r="G13" s="312"/>
      <c r="H13" s="312"/>
      <c r="I13" s="312"/>
    </row>
    <row r="14" spans="1:9" ht="20.100000000000001" customHeight="1">
      <c r="A14" s="82" t="s">
        <v>772</v>
      </c>
      <c r="B14" s="81" t="s">
        <v>773</v>
      </c>
      <c r="C14" s="82" t="s">
        <v>774</v>
      </c>
      <c r="D14" s="82" t="s">
        <v>775</v>
      </c>
      <c r="E14" s="82" t="s">
        <v>776</v>
      </c>
    </row>
    <row r="15" spans="1:9" ht="19.5" customHeight="1">
      <c r="A15" s="88"/>
      <c r="B15" s="512"/>
      <c r="C15" s="88"/>
      <c r="D15" s="88"/>
      <c r="E15" s="88"/>
    </row>
    <row r="16" spans="1:9" ht="20.100000000000001" customHeight="1">
      <c r="A16" s="88"/>
      <c r="B16" s="513"/>
      <c r="C16" s="462"/>
      <c r="D16" s="462"/>
      <c r="E16" s="462"/>
    </row>
    <row r="17" spans="1:5" ht="20.100000000000001" customHeight="1">
      <c r="A17" s="462"/>
      <c r="B17" s="513"/>
      <c r="C17" s="462"/>
      <c r="D17" s="462"/>
      <c r="E17" s="462"/>
    </row>
    <row r="18" spans="1:5" ht="20.100000000000001" customHeight="1">
      <c r="A18" s="88" t="s">
        <v>632</v>
      </c>
      <c r="B18" s="514">
        <f>SUM(B15:B17)</f>
        <v>0</v>
      </c>
      <c r="C18" s="462"/>
      <c r="D18" s="88"/>
      <c r="E18" s="88"/>
    </row>
    <row r="19" spans="1:5" ht="20.100000000000001" customHeight="1">
      <c r="A19" s="515" t="s">
        <v>777</v>
      </c>
      <c r="B19" s="201"/>
      <c r="C19" s="201"/>
      <c r="D19" s="201"/>
      <c r="E19" s="201"/>
    </row>
  </sheetData>
  <phoneticPr fontId="78" type="noConversion"/>
  <hyperlinks>
    <hyperlink ref="G1" location="目录!A1" display="BACK"/>
  </hyperlinks>
  <pageMargins left="0.70763888888888904" right="0.70763888888888904" top="0.74791666666666701" bottom="0.74791666666666701" header="0.31388888888888899" footer="0.31388888888888899"/>
  <pageSetup paperSize="9" scale="58" orientation="portrait" blackAndWhite="1"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I19"/>
  <sheetViews>
    <sheetView view="pageBreakPreview" zoomScaleNormal="100" zoomScaleSheetLayoutView="100" workbookViewId="0">
      <selection activeCell="G1" sqref="G1"/>
    </sheetView>
  </sheetViews>
  <sheetFormatPr defaultColWidth="9" defaultRowHeight="20.100000000000001" customHeight="1"/>
  <cols>
    <col min="1" max="4" width="20.59765625" style="312" customWidth="1"/>
    <col min="5" max="5" width="27.19921875" style="312" customWidth="1"/>
    <col min="6" max="16384" width="9" style="312"/>
  </cols>
  <sheetData>
    <row r="1" spans="1:9" ht="24.9" customHeight="1">
      <c r="A1" s="48" t="s">
        <v>145</v>
      </c>
      <c r="B1" s="49">
        <f>基础信息!B6</f>
        <v>0</v>
      </c>
      <c r="E1" s="483"/>
      <c r="G1" s="900" t="s">
        <v>146</v>
      </c>
    </row>
    <row r="2" spans="1:9" ht="24.9" customHeight="1">
      <c r="A2" s="48" t="s">
        <v>147</v>
      </c>
      <c r="B2" s="49">
        <f>基础信息!B9</f>
        <v>0</v>
      </c>
    </row>
    <row r="3" spans="1:9" s="313" customFormat="1" ht="24.9" customHeight="1">
      <c r="A3" s="341" t="s">
        <v>148</v>
      </c>
      <c r="B3" s="341" t="s">
        <v>778</v>
      </c>
      <c r="C3" s="312"/>
      <c r="D3" s="312"/>
      <c r="E3" s="312"/>
      <c r="F3" s="312"/>
      <c r="G3" s="312"/>
      <c r="H3" s="312"/>
      <c r="I3" s="312"/>
    </row>
    <row r="4" spans="1:9" s="313" customFormat="1" ht="20.100000000000001" customHeight="1">
      <c r="A4" s="312"/>
      <c r="B4" s="312"/>
      <c r="C4" s="312"/>
      <c r="D4" s="312"/>
      <c r="E4" s="312"/>
      <c r="F4" s="312"/>
      <c r="G4" s="312"/>
      <c r="H4" s="312"/>
      <c r="I4" s="312"/>
    </row>
    <row r="5" spans="1:9" s="313" customFormat="1" ht="20.100000000000001" customHeight="1">
      <c r="A5" s="82" t="s">
        <v>779</v>
      </c>
      <c r="B5" s="82" t="s">
        <v>683</v>
      </c>
      <c r="C5" s="503"/>
      <c r="D5" s="366"/>
      <c r="E5" s="366"/>
    </row>
    <row r="6" spans="1:9" s="313" customFormat="1" ht="20.100000000000001" customHeight="1">
      <c r="A6" s="88"/>
      <c r="B6" s="486"/>
      <c r="C6" s="270"/>
      <c r="D6" s="366"/>
      <c r="E6" s="366"/>
    </row>
    <row r="7" spans="1:9" s="313" customFormat="1" ht="20.100000000000001" customHeight="1">
      <c r="A7" s="88"/>
      <c r="B7" s="486"/>
      <c r="C7" s="270"/>
      <c r="D7" s="366"/>
      <c r="E7" s="366"/>
    </row>
    <row r="8" spans="1:9" s="313" customFormat="1" ht="20.100000000000001" customHeight="1">
      <c r="A8" s="88" t="s">
        <v>632</v>
      </c>
      <c r="B8" s="220">
        <f>SUM(B6:B7)</f>
        <v>0</v>
      </c>
      <c r="C8" s="270"/>
      <c r="D8" s="504"/>
      <c r="E8" s="366"/>
    </row>
    <row r="9" spans="1:9" s="313" customFormat="1" ht="20.100000000000001" customHeight="1">
      <c r="A9" s="219"/>
      <c r="B9" s="220"/>
      <c r="C9" s="270"/>
      <c r="D9" s="366"/>
      <c r="E9" s="366"/>
    </row>
    <row r="10" spans="1:9" s="313" customFormat="1" ht="20.100000000000001" customHeight="1">
      <c r="A10" s="328"/>
      <c r="B10" s="220"/>
      <c r="C10" s="270"/>
      <c r="D10" s="366"/>
      <c r="E10" s="366"/>
    </row>
    <row r="11" spans="1:9" s="406" customFormat="1" ht="20.100000000000001" customHeight="1">
      <c r="A11" s="221"/>
      <c r="B11" s="221"/>
      <c r="C11" s="221"/>
      <c r="D11" s="221"/>
      <c r="E11" s="221"/>
    </row>
    <row r="12" spans="1:9" s="313" customFormat="1" ht="20.100000000000001" customHeight="1">
      <c r="A12" s="201"/>
      <c r="B12" s="505"/>
      <c r="C12" s="506"/>
      <c r="D12" s="506"/>
      <c r="E12" s="201"/>
      <c r="F12" s="312"/>
      <c r="G12" s="312"/>
      <c r="H12" s="312"/>
      <c r="I12" s="312"/>
    </row>
    <row r="13" spans="1:9" s="313" customFormat="1" ht="20.100000000000001" customHeight="1">
      <c r="A13" s="507" t="s">
        <v>780</v>
      </c>
      <c r="B13" s="506"/>
      <c r="C13" s="506"/>
      <c r="D13" s="201"/>
      <c r="E13" s="201"/>
      <c r="F13" s="312"/>
      <c r="G13" s="312"/>
      <c r="H13" s="312"/>
    </row>
    <row r="14" spans="1:9" ht="20.100000000000001" customHeight="1">
      <c r="A14" s="82" t="s">
        <v>781</v>
      </c>
      <c r="B14" s="81" t="s">
        <v>773</v>
      </c>
      <c r="C14" s="82" t="s">
        <v>782</v>
      </c>
      <c r="D14" s="81" t="s">
        <v>783</v>
      </c>
      <c r="E14" s="81" t="s">
        <v>784</v>
      </c>
    </row>
    <row r="15" spans="1:9" ht="20.100000000000001" customHeight="1">
      <c r="A15" s="88"/>
      <c r="B15" s="85"/>
      <c r="C15" s="85"/>
      <c r="D15" s="88"/>
      <c r="E15" s="88"/>
    </row>
    <row r="16" spans="1:9" ht="20.100000000000001" customHeight="1">
      <c r="A16" s="88"/>
      <c r="B16" s="508"/>
      <c r="C16" s="508"/>
      <c r="D16" s="462"/>
      <c r="E16" s="462"/>
    </row>
    <row r="17" spans="1:5" ht="20.100000000000001" customHeight="1">
      <c r="A17" s="462"/>
      <c r="B17" s="508"/>
      <c r="C17" s="508"/>
      <c r="D17" s="462"/>
      <c r="E17" s="462"/>
    </row>
    <row r="18" spans="1:5" ht="20.100000000000001" customHeight="1">
      <c r="A18" s="88" t="s">
        <v>632</v>
      </c>
      <c r="B18" s="84">
        <f>SUM(B15:B17)</f>
        <v>0</v>
      </c>
      <c r="C18" s="508"/>
      <c r="D18" s="88"/>
      <c r="E18" s="88"/>
    </row>
    <row r="19" spans="1:5" ht="20.100000000000001" customHeight="1">
      <c r="A19" s="507" t="s">
        <v>785</v>
      </c>
      <c r="B19" s="201"/>
      <c r="C19" s="201"/>
      <c r="D19" s="201"/>
      <c r="E19" s="201"/>
    </row>
  </sheetData>
  <phoneticPr fontId="78" type="noConversion"/>
  <hyperlinks>
    <hyperlink ref="G1" location="目录!A1" display="BACK"/>
  </hyperlinks>
  <pageMargins left="0.55000000000000004" right="0.27500000000000002" top="0.86527777777777803" bottom="0.51180555555555596" header="0.27500000000000002" footer="0.27500000000000002"/>
  <pageSetup paperSize="9" scale="81" orientation="landscape" blackAndWhite="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J128"/>
  <sheetViews>
    <sheetView view="pageBreakPreview" zoomScaleNormal="100" zoomScaleSheetLayoutView="100" workbookViewId="0">
      <selection activeCell="H18" sqref="H18"/>
    </sheetView>
  </sheetViews>
  <sheetFormatPr defaultColWidth="9" defaultRowHeight="20.100000000000001" customHeight="1"/>
  <cols>
    <col min="1" max="1" width="26.19921875" style="5" customWidth="1"/>
    <col min="2" max="5" width="24.59765625" style="5" customWidth="1"/>
    <col min="6" max="6" width="16.8984375" style="5" customWidth="1"/>
    <col min="7" max="7" width="14.59765625" style="5" customWidth="1"/>
    <col min="8" max="10" width="9" style="110"/>
    <col min="11" max="16384" width="9" style="5"/>
  </cols>
  <sheetData>
    <row r="1" spans="1:8" ht="20.100000000000001" customHeight="1">
      <c r="A1" s="48" t="s">
        <v>145</v>
      </c>
      <c r="B1" s="49">
        <f>基础信息!B6</f>
        <v>0</v>
      </c>
      <c r="E1" s="8"/>
      <c r="H1" s="900" t="s">
        <v>146</v>
      </c>
    </row>
    <row r="2" spans="1:8" ht="20.100000000000001" customHeight="1">
      <c r="A2" s="48" t="s">
        <v>147</v>
      </c>
      <c r="B2" s="49">
        <f>基础信息!B9</f>
        <v>0</v>
      </c>
    </row>
    <row r="3" spans="1:8" ht="20.100000000000001" customHeight="1">
      <c r="A3" s="91" t="s">
        <v>148</v>
      </c>
      <c r="B3" s="91" t="s">
        <v>786</v>
      </c>
    </row>
    <row r="4" spans="1:8" ht="20.100000000000001" customHeight="1">
      <c r="A4" s="9" t="s">
        <v>681</v>
      </c>
      <c r="B4" s="9"/>
      <c r="C4" s="9"/>
      <c r="D4" s="9"/>
      <c r="E4" s="9"/>
      <c r="F4" s="9"/>
      <c r="G4" s="3"/>
    </row>
    <row r="5" spans="1:8" ht="20.100000000000001" customHeight="1">
      <c r="A5" s="1059" t="s">
        <v>682</v>
      </c>
      <c r="B5" s="1059" t="s">
        <v>683</v>
      </c>
      <c r="C5" s="1059"/>
      <c r="D5" s="1061"/>
      <c r="E5" s="1061"/>
      <c r="F5" s="9"/>
      <c r="G5" s="1"/>
    </row>
    <row r="6" spans="1:8" ht="20.100000000000001" customHeight="1">
      <c r="A6" s="1059"/>
      <c r="B6" s="10" t="s">
        <v>747</v>
      </c>
      <c r="C6" s="10" t="s">
        <v>685</v>
      </c>
      <c r="D6" s="497"/>
      <c r="E6" s="497"/>
      <c r="F6" s="9"/>
      <c r="G6" s="1"/>
    </row>
    <row r="7" spans="1:8" ht="33" customHeight="1">
      <c r="A7" s="26" t="s">
        <v>787</v>
      </c>
      <c r="B7" s="26"/>
      <c r="C7" s="26"/>
      <c r="D7" s="31"/>
      <c r="E7" s="31"/>
      <c r="F7" s="1"/>
      <c r="G7" s="1"/>
    </row>
    <row r="8" spans="1:8" ht="51.75" customHeight="1">
      <c r="A8" s="26" t="s">
        <v>788</v>
      </c>
      <c r="B8" s="26"/>
      <c r="C8" s="26"/>
      <c r="D8" s="31"/>
      <c r="E8" s="31"/>
      <c r="F8" s="1"/>
      <c r="G8" s="1"/>
    </row>
    <row r="9" spans="1:8" ht="20.100000000000001" customHeight="1">
      <c r="A9" s="26" t="s">
        <v>789</v>
      </c>
      <c r="B9" s="244"/>
      <c r="C9" s="244"/>
      <c r="D9" s="109"/>
      <c r="E9" s="109"/>
      <c r="F9" s="1"/>
      <c r="G9" s="1"/>
    </row>
    <row r="10" spans="1:8" ht="20.100000000000001" customHeight="1">
      <c r="A10" s="26" t="s">
        <v>632</v>
      </c>
      <c r="B10" s="113">
        <f>SUM(B7:B9)</f>
        <v>0</v>
      </c>
      <c r="C10" s="113">
        <f>SUM(C7:C9)</f>
        <v>0</v>
      </c>
      <c r="D10" s="109"/>
      <c r="E10" s="109"/>
      <c r="F10" s="1"/>
      <c r="G10" s="1"/>
    </row>
    <row r="11" spans="1:8" ht="20.100000000000001" customHeight="1">
      <c r="A11" s="112"/>
      <c r="B11" s="113"/>
      <c r="C11" s="113"/>
      <c r="D11" s="1"/>
      <c r="E11" s="1"/>
      <c r="F11" s="1"/>
      <c r="G11" s="1"/>
    </row>
    <row r="12" spans="1:8" ht="20.100000000000001" customHeight="1">
      <c r="A12" s="96"/>
      <c r="B12" s="113"/>
      <c r="C12" s="113"/>
      <c r="D12" s="1"/>
      <c r="E12" s="1"/>
      <c r="F12" s="1"/>
      <c r="G12" s="1"/>
    </row>
    <row r="13" spans="1:8" s="208" customFormat="1" ht="20.100000000000001" customHeight="1">
      <c r="A13" s="23"/>
      <c r="B13" s="23"/>
      <c r="C13" s="23"/>
      <c r="D13" s="23"/>
      <c r="E13" s="23"/>
      <c r="F13" s="23"/>
      <c r="G13" s="23"/>
    </row>
    <row r="14" spans="1:8" ht="20.100000000000001" customHeight="1">
      <c r="A14" s="498" t="s">
        <v>790</v>
      </c>
      <c r="B14" s="27"/>
      <c r="C14" s="249"/>
      <c r="D14" s="249"/>
      <c r="E14" s="109"/>
      <c r="F14" s="109"/>
      <c r="G14" s="109"/>
      <c r="H14" s="206"/>
    </row>
    <row r="15" spans="1:8" ht="20.100000000000001" customHeight="1">
      <c r="A15" s="82" t="s">
        <v>791</v>
      </c>
      <c r="B15" s="82" t="s">
        <v>691</v>
      </c>
      <c r="C15" s="82" t="s">
        <v>685</v>
      </c>
      <c r="D15" s="82" t="s">
        <v>692</v>
      </c>
      <c r="E15" s="82" t="s">
        <v>693</v>
      </c>
      <c r="F15" s="109"/>
      <c r="G15" s="109"/>
      <c r="H15" s="206"/>
    </row>
    <row r="16" spans="1:8" ht="20.100000000000001" customHeight="1">
      <c r="A16" s="462" t="s">
        <v>712</v>
      </c>
      <c r="B16" s="88"/>
      <c r="C16" s="88"/>
      <c r="D16" s="88"/>
      <c r="E16" s="88"/>
      <c r="F16" s="109"/>
      <c r="G16" s="109"/>
      <c r="H16" s="206"/>
    </row>
    <row r="17" spans="1:9" ht="20.100000000000001" customHeight="1">
      <c r="A17" s="88" t="s">
        <v>632</v>
      </c>
      <c r="B17" s="84">
        <f>SUM(B16)</f>
        <v>0</v>
      </c>
      <c r="C17" s="84">
        <f t="shared" ref="C17:D17" si="0">SUM(C16)</f>
        <v>0</v>
      </c>
      <c r="D17" s="499">
        <f t="shared" si="0"/>
        <v>0</v>
      </c>
      <c r="E17" s="88"/>
      <c r="F17" s="109"/>
      <c r="G17" s="109"/>
      <c r="H17" s="206"/>
    </row>
    <row r="18" spans="1:9" ht="20.100000000000001" customHeight="1">
      <c r="A18" s="1"/>
      <c r="B18" s="27"/>
      <c r="C18" s="249"/>
      <c r="D18" s="249"/>
      <c r="E18" s="109"/>
      <c r="F18" s="109"/>
      <c r="G18" s="109"/>
      <c r="H18" s="206"/>
    </row>
    <row r="19" spans="1:9" ht="20.100000000000001" customHeight="1">
      <c r="A19" s="498" t="s">
        <v>792</v>
      </c>
      <c r="B19" s="3"/>
      <c r="C19" s="3"/>
      <c r="D19" s="3"/>
      <c r="E19" s="3"/>
      <c r="F19" s="3"/>
      <c r="G19" s="3"/>
    </row>
    <row r="20" spans="1:9" ht="20.100000000000001" customHeight="1">
      <c r="A20" s="1059" t="s">
        <v>696</v>
      </c>
      <c r="B20" s="1059" t="s">
        <v>683</v>
      </c>
      <c r="C20" s="1059"/>
      <c r="D20" s="1062"/>
      <c r="E20" s="1062"/>
      <c r="F20" s="1"/>
      <c r="G20" s="1"/>
    </row>
    <row r="21" spans="1:9" ht="20.100000000000001" customHeight="1">
      <c r="A21" s="1059"/>
      <c r="B21" s="10" t="s">
        <v>747</v>
      </c>
      <c r="C21" s="10" t="s">
        <v>685</v>
      </c>
      <c r="D21" s="31"/>
      <c r="E21" s="31"/>
      <c r="F21" s="1"/>
      <c r="G21" s="1"/>
    </row>
    <row r="22" spans="1:9" ht="20.100000000000001" customHeight="1">
      <c r="A22" s="26" t="s">
        <v>697</v>
      </c>
      <c r="B22" s="26"/>
      <c r="C22" s="26"/>
      <c r="D22" s="31"/>
      <c r="E22" s="31"/>
      <c r="F22" s="1"/>
      <c r="G22" s="1"/>
    </row>
    <row r="23" spans="1:9" ht="20.100000000000001" customHeight="1">
      <c r="A23" s="26" t="s">
        <v>698</v>
      </c>
      <c r="B23" s="26"/>
      <c r="C23" s="26"/>
      <c r="D23" s="31"/>
      <c r="E23" s="31"/>
      <c r="F23" s="1"/>
      <c r="G23" s="1"/>
    </row>
    <row r="24" spans="1:9" ht="20.100000000000001" customHeight="1">
      <c r="A24" s="26" t="s">
        <v>699</v>
      </c>
      <c r="B24" s="26"/>
      <c r="C24" s="26"/>
      <c r="D24" s="31"/>
      <c r="E24" s="31"/>
      <c r="F24" s="1"/>
      <c r="G24" s="1"/>
    </row>
    <row r="25" spans="1:9" ht="20.100000000000001" customHeight="1">
      <c r="A25" s="26" t="s">
        <v>749</v>
      </c>
      <c r="B25" s="26"/>
      <c r="C25" s="26"/>
      <c r="D25" s="31"/>
      <c r="E25" s="31"/>
      <c r="F25" s="1"/>
      <c r="G25" s="1"/>
    </row>
    <row r="26" spans="1:9" ht="20.100000000000001" customHeight="1">
      <c r="A26" s="26" t="s">
        <v>703</v>
      </c>
      <c r="B26" s="26">
        <f>SUM(B22:B25)</f>
        <v>0</v>
      </c>
      <c r="C26" s="26">
        <f>SUM(C22:C25)</f>
        <v>0</v>
      </c>
      <c r="D26" s="31"/>
      <c r="E26" s="31"/>
      <c r="F26" s="114"/>
      <c r="G26" s="1"/>
    </row>
    <row r="27" spans="1:9" ht="20.100000000000001" customHeight="1">
      <c r="A27" s="112" t="s">
        <v>623</v>
      </c>
      <c r="B27" s="112">
        <f>B8</f>
        <v>0</v>
      </c>
      <c r="C27" s="112">
        <f>C8</f>
        <v>0</v>
      </c>
      <c r="D27" s="1"/>
      <c r="E27" s="1"/>
      <c r="F27" s="1"/>
      <c r="G27" s="1"/>
    </row>
    <row r="28" spans="1:9" ht="20.100000000000001" customHeight="1">
      <c r="A28" s="96"/>
      <c r="B28" s="112">
        <f>B26-B27</f>
        <v>0</v>
      </c>
      <c r="C28" s="112">
        <f>C26-C27</f>
        <v>0</v>
      </c>
      <c r="D28" s="1"/>
      <c r="E28" s="1"/>
      <c r="F28" s="1"/>
      <c r="G28" s="1"/>
    </row>
    <row r="29" spans="1:9" s="208" customFormat="1" ht="20.100000000000001" customHeight="1">
      <c r="A29" s="23"/>
      <c r="B29" s="23" t="str">
        <f>IF(B28=0,"OK","NO")</f>
        <v>OK</v>
      </c>
      <c r="C29" s="23" t="str">
        <f>IF(C28=0,"OK","NO")</f>
        <v>OK</v>
      </c>
      <c r="D29" s="23"/>
      <c r="E29" s="23"/>
      <c r="F29" s="23"/>
      <c r="G29" s="23"/>
    </row>
    <row r="30" spans="1:9" ht="20.100000000000001" customHeight="1">
      <c r="A30" s="27"/>
      <c r="B30" s="27"/>
      <c r="C30" s="27"/>
      <c r="D30" s="27"/>
      <c r="E30" s="27"/>
      <c r="F30" s="27"/>
      <c r="G30" s="31"/>
      <c r="H30" s="119"/>
      <c r="I30" s="119"/>
    </row>
    <row r="31" spans="1:9" ht="20.100000000000001" customHeight="1">
      <c r="A31" s="498" t="s">
        <v>793</v>
      </c>
      <c r="B31" s="27"/>
      <c r="C31" s="27"/>
      <c r="D31" s="27"/>
      <c r="E31" s="27"/>
      <c r="F31" s="27"/>
      <c r="G31" s="27"/>
    </row>
    <row r="32" spans="1:9" ht="20.100000000000001" customHeight="1">
      <c r="A32" s="498" t="s">
        <v>705</v>
      </c>
      <c r="B32" s="27"/>
      <c r="C32" s="27"/>
      <c r="D32" s="27"/>
      <c r="E32" s="27"/>
      <c r="F32" s="27"/>
      <c r="G32" s="27"/>
    </row>
    <row r="33" spans="1:7" ht="20.100000000000001" customHeight="1">
      <c r="A33" s="498" t="s">
        <v>706</v>
      </c>
      <c r="B33" s="27"/>
      <c r="C33" s="27"/>
      <c r="D33" s="27"/>
      <c r="E33" s="27"/>
      <c r="F33" s="27"/>
      <c r="G33" s="27"/>
    </row>
    <row r="34" spans="1:7" ht="20.100000000000001" customHeight="1">
      <c r="A34" s="10" t="s">
        <v>707</v>
      </c>
      <c r="B34" s="10" t="s">
        <v>708</v>
      </c>
      <c r="C34" s="10" t="s">
        <v>709</v>
      </c>
      <c r="D34" s="10" t="s">
        <v>710</v>
      </c>
      <c r="E34" s="10" t="s">
        <v>711</v>
      </c>
      <c r="F34" s="27"/>
      <c r="G34" s="27"/>
    </row>
    <row r="35" spans="1:7" s="110" customFormat="1" ht="20.100000000000001" customHeight="1">
      <c r="A35" s="278"/>
      <c r="B35" s="26"/>
      <c r="C35" s="26"/>
      <c r="D35" s="26"/>
      <c r="E35" s="26"/>
      <c r="F35" s="27"/>
      <c r="G35" s="27"/>
    </row>
    <row r="36" spans="1:7" s="208" customFormat="1" ht="20.100000000000001" customHeight="1">
      <c r="A36" s="278" t="s">
        <v>712</v>
      </c>
      <c r="B36" s="26"/>
      <c r="C36" s="26"/>
      <c r="D36" s="26"/>
      <c r="E36" s="26"/>
      <c r="F36" s="27"/>
      <c r="G36" s="27"/>
    </row>
    <row r="37" spans="1:7" s="110" customFormat="1" ht="20.100000000000001" customHeight="1">
      <c r="A37" s="26" t="s">
        <v>632</v>
      </c>
      <c r="B37" s="26"/>
      <c r="C37" s="26"/>
      <c r="D37" s="26"/>
      <c r="E37" s="14">
        <f>SUM(E35:E36)</f>
        <v>0</v>
      </c>
      <c r="F37" s="27"/>
      <c r="G37" s="27"/>
    </row>
    <row r="38" spans="1:7" s="110" customFormat="1" ht="20.100000000000001" customHeight="1">
      <c r="A38" s="27"/>
      <c r="B38" s="27"/>
      <c r="C38" s="27"/>
      <c r="D38" s="27"/>
      <c r="E38" s="27"/>
      <c r="F38" s="27"/>
      <c r="G38" s="27"/>
    </row>
    <row r="39" spans="1:7" s="110" customFormat="1" ht="20.100000000000001" customHeight="1">
      <c r="A39" s="1" t="s">
        <v>794</v>
      </c>
      <c r="B39" s="1"/>
      <c r="C39" s="1"/>
      <c r="D39" s="1"/>
      <c r="E39" s="1"/>
      <c r="F39" s="1"/>
      <c r="G39" s="27"/>
    </row>
    <row r="40" spans="1:7" s="110" customFormat="1" ht="20.100000000000001" customHeight="1">
      <c r="A40" s="10" t="s">
        <v>137</v>
      </c>
      <c r="B40" s="10" t="s">
        <v>714</v>
      </c>
      <c r="C40" s="1"/>
      <c r="D40" s="1"/>
      <c r="E40" s="1"/>
      <c r="F40" s="1"/>
      <c r="G40" s="27"/>
    </row>
    <row r="41" spans="1:7" s="110" customFormat="1" ht="20.100000000000001" customHeight="1">
      <c r="A41" s="26" t="s">
        <v>795</v>
      </c>
      <c r="B41" s="26"/>
      <c r="C41" s="1"/>
      <c r="D41" s="1"/>
      <c r="E41" s="1"/>
      <c r="F41" s="1"/>
      <c r="G41" s="27"/>
    </row>
    <row r="42" spans="1:7" s="110" customFormat="1" ht="20.100000000000001" customHeight="1">
      <c r="A42" s="27"/>
      <c r="B42" s="27"/>
      <c r="C42" s="1"/>
      <c r="D42" s="1"/>
      <c r="E42" s="1"/>
      <c r="F42" s="1"/>
      <c r="G42" s="27"/>
    </row>
    <row r="43" spans="1:7" s="110" customFormat="1" ht="20.100000000000001" customHeight="1">
      <c r="A43" s="498" t="s">
        <v>796</v>
      </c>
      <c r="B43" s="1"/>
      <c r="C43" s="1"/>
      <c r="D43" s="1"/>
      <c r="E43" s="1"/>
      <c r="F43" s="1"/>
      <c r="G43" s="27"/>
    </row>
    <row r="44" spans="1:7" s="110" customFormat="1" ht="20.100000000000001" customHeight="1">
      <c r="A44" s="10" t="s">
        <v>707</v>
      </c>
      <c r="B44" s="10" t="s">
        <v>797</v>
      </c>
      <c r="C44" s="10" t="s">
        <v>714</v>
      </c>
      <c r="D44" s="10" t="s">
        <v>718</v>
      </c>
      <c r="E44" s="10" t="s">
        <v>719</v>
      </c>
      <c r="F44" s="10" t="s">
        <v>720</v>
      </c>
      <c r="G44" s="27"/>
    </row>
    <row r="45" spans="1:7" s="110" customFormat="1" ht="20.100000000000001" customHeight="1">
      <c r="A45" s="26"/>
      <c r="B45" s="26"/>
      <c r="C45" s="26"/>
      <c r="D45" s="26"/>
      <c r="E45" s="26"/>
      <c r="F45" s="26"/>
      <c r="G45" s="27"/>
    </row>
    <row r="46" spans="1:7" s="110" customFormat="1" ht="20.100000000000001" customHeight="1">
      <c r="A46" s="26"/>
      <c r="B46" s="278"/>
      <c r="C46" s="278"/>
      <c r="D46" s="278"/>
      <c r="E46" s="278"/>
      <c r="F46" s="278"/>
      <c r="G46" s="27"/>
    </row>
    <row r="47" spans="1:7" s="110" customFormat="1" ht="20.100000000000001" customHeight="1">
      <c r="A47" s="278"/>
      <c r="B47" s="278"/>
      <c r="C47" s="278"/>
      <c r="D47" s="278"/>
      <c r="E47" s="278"/>
      <c r="F47" s="278"/>
      <c r="G47" s="27"/>
    </row>
    <row r="48" spans="1:7" s="110" customFormat="1" ht="20.100000000000001" customHeight="1">
      <c r="A48" s="26" t="s">
        <v>632</v>
      </c>
      <c r="B48" s="26"/>
      <c r="C48" s="14">
        <f>SUM(C45:C47)</f>
        <v>0</v>
      </c>
      <c r="D48" s="278"/>
      <c r="E48" s="278"/>
      <c r="F48" s="278"/>
      <c r="G48" s="27"/>
    </row>
    <row r="49" spans="1:10" s="110" customFormat="1" ht="20.100000000000001" customHeight="1">
      <c r="A49" s="1"/>
      <c r="B49" s="1"/>
      <c r="C49" s="1"/>
      <c r="D49" s="1"/>
      <c r="E49" s="1"/>
      <c r="F49" s="1"/>
      <c r="G49" s="27"/>
    </row>
    <row r="50" spans="1:10" s="110" customFormat="1" ht="20.100000000000001" customHeight="1">
      <c r="A50" s="1" t="s">
        <v>798</v>
      </c>
      <c r="B50" s="1"/>
      <c r="C50" s="1"/>
      <c r="D50" s="1"/>
      <c r="E50" s="1"/>
      <c r="F50" s="1"/>
      <c r="G50" s="27"/>
    </row>
    <row r="51" spans="1:10" s="110" customFormat="1" ht="20.100000000000001" customHeight="1">
      <c r="A51" s="500" t="s">
        <v>799</v>
      </c>
      <c r="B51" s="500" t="s">
        <v>800</v>
      </c>
      <c r="C51" s="1"/>
      <c r="D51" s="1"/>
      <c r="E51" s="1"/>
      <c r="F51" s="1"/>
      <c r="G51" s="27"/>
    </row>
    <row r="52" spans="1:10" s="110" customFormat="1" ht="20.100000000000001" customHeight="1">
      <c r="A52" s="501" t="s">
        <v>801</v>
      </c>
      <c r="B52" s="88"/>
      <c r="C52" s="1"/>
      <c r="D52" s="1"/>
      <c r="E52" s="1"/>
      <c r="F52" s="1"/>
      <c r="G52" s="27"/>
    </row>
    <row r="53" spans="1:10" s="110" customFormat="1" ht="20.100000000000001" customHeight="1">
      <c r="A53" s="501" t="s">
        <v>802</v>
      </c>
      <c r="B53" s="88"/>
      <c r="C53" s="1"/>
      <c r="D53" s="1"/>
      <c r="E53" s="1"/>
      <c r="F53" s="1"/>
      <c r="G53" s="27"/>
    </row>
    <row r="54" spans="1:10" s="110" customFormat="1" ht="20.100000000000001" customHeight="1">
      <c r="A54" s="462" t="s">
        <v>712</v>
      </c>
      <c r="B54" s="88"/>
      <c r="C54" s="1"/>
      <c r="D54" s="1"/>
      <c r="E54" s="1"/>
      <c r="F54" s="1"/>
      <c r="G54" s="27"/>
    </row>
    <row r="55" spans="1:10" s="110" customFormat="1" ht="20.100000000000001" customHeight="1">
      <c r="A55" s="88"/>
      <c r="B55" s="88"/>
      <c r="C55" s="1"/>
      <c r="D55" s="1"/>
      <c r="E55" s="1"/>
      <c r="F55" s="1"/>
      <c r="G55" s="27"/>
    </row>
    <row r="56" spans="1:10" s="110" customFormat="1" ht="20.100000000000001" customHeight="1">
      <c r="A56" s="88" t="s">
        <v>703</v>
      </c>
      <c r="B56" s="88"/>
      <c r="C56" s="1"/>
      <c r="D56" s="1"/>
      <c r="E56" s="1"/>
      <c r="F56" s="1"/>
      <c r="G56" s="27"/>
    </row>
    <row r="57" spans="1:10" s="110" customFormat="1" ht="20.100000000000001" customHeight="1">
      <c r="A57" s="1"/>
      <c r="B57" s="1"/>
      <c r="C57" s="1"/>
      <c r="D57" s="1"/>
      <c r="E57" s="1"/>
      <c r="F57" s="1"/>
      <c r="G57" s="27"/>
    </row>
    <row r="58" spans="1:10" s="110" customFormat="1" ht="20.100000000000001" customHeight="1">
      <c r="A58" s="498" t="s">
        <v>803</v>
      </c>
      <c r="B58" s="1"/>
      <c r="C58" s="1"/>
      <c r="D58" s="1"/>
      <c r="E58" s="1"/>
      <c r="F58" s="1"/>
      <c r="G58" s="27"/>
    </row>
    <row r="59" spans="1:10" s="110" customFormat="1" ht="20.100000000000001" customHeight="1">
      <c r="A59" s="502" t="s">
        <v>722</v>
      </c>
      <c r="B59" s="1"/>
      <c r="C59" s="1"/>
      <c r="D59" s="1"/>
      <c r="E59" s="1"/>
      <c r="F59" s="1"/>
      <c r="G59" s="27"/>
    </row>
    <row r="60" spans="1:10" s="110" customFormat="1" ht="20.100000000000001" customHeight="1">
      <c r="A60" s="498" t="s">
        <v>804</v>
      </c>
      <c r="B60" s="1"/>
      <c r="C60" s="1"/>
      <c r="D60" s="1"/>
      <c r="E60" s="1"/>
      <c r="F60" s="1"/>
      <c r="G60" s="27"/>
    </row>
    <row r="61" spans="1:10" ht="20.100000000000001" customHeight="1">
      <c r="A61" s="502" t="s">
        <v>724</v>
      </c>
      <c r="B61" s="1"/>
      <c r="C61" s="1"/>
      <c r="D61" s="1"/>
      <c r="E61" s="1"/>
      <c r="F61" s="1"/>
      <c r="G61" s="27"/>
      <c r="J61" s="5"/>
    </row>
    <row r="62" spans="1:10" ht="34.5" customHeight="1">
      <c r="A62" s="10" t="s">
        <v>707</v>
      </c>
      <c r="B62" s="10" t="s">
        <v>805</v>
      </c>
      <c r="C62" s="10" t="s">
        <v>806</v>
      </c>
      <c r="D62" s="10" t="s">
        <v>727</v>
      </c>
      <c r="E62" s="1"/>
      <c r="F62" s="1"/>
      <c r="G62" s="27"/>
      <c r="J62" s="5"/>
    </row>
    <row r="63" spans="1:10" ht="20.100000000000001" customHeight="1">
      <c r="A63" s="88"/>
      <c r="B63" s="88"/>
      <c r="C63" s="88"/>
      <c r="D63" s="88"/>
      <c r="E63" s="1"/>
      <c r="F63" s="1"/>
      <c r="G63" s="27"/>
      <c r="J63" s="5"/>
    </row>
    <row r="64" spans="1:10" ht="20.100000000000001" customHeight="1">
      <c r="A64" s="88"/>
      <c r="B64" s="462"/>
      <c r="C64" s="462"/>
      <c r="D64" s="462"/>
      <c r="E64" s="1"/>
      <c r="F64" s="1"/>
      <c r="G64" s="1"/>
      <c r="J64" s="5"/>
    </row>
    <row r="65" spans="1:10" ht="20.100000000000001" customHeight="1">
      <c r="A65" s="462"/>
      <c r="B65" s="462"/>
      <c r="C65" s="462"/>
      <c r="D65" s="462"/>
      <c r="E65" s="1"/>
      <c r="F65" s="1"/>
      <c r="G65" s="1"/>
      <c r="J65" s="5"/>
    </row>
    <row r="66" spans="1:10" ht="20.100000000000001" customHeight="1">
      <c r="A66" s="88" t="s">
        <v>632</v>
      </c>
      <c r="B66" s="84">
        <f>SUM(B63:B65)</f>
        <v>0</v>
      </c>
      <c r="C66" s="499">
        <f>SUM(C63:C65)</f>
        <v>0</v>
      </c>
      <c r="D66" s="84">
        <f>SUM(D63:D65)</f>
        <v>0</v>
      </c>
      <c r="E66" s="1"/>
      <c r="F66" s="1"/>
      <c r="G66" s="1"/>
      <c r="J66" s="5"/>
    </row>
    <row r="67" spans="1:10" ht="20.100000000000001" customHeight="1">
      <c r="A67" s="1"/>
      <c r="B67" s="1"/>
      <c r="C67" s="1"/>
      <c r="D67" s="1"/>
      <c r="E67" s="1"/>
      <c r="F67" s="1"/>
      <c r="G67" s="1"/>
      <c r="J67" s="5"/>
    </row>
    <row r="68" spans="1:10" ht="20.100000000000001" customHeight="1">
      <c r="A68" s="1" t="s">
        <v>807</v>
      </c>
      <c r="B68" s="1"/>
      <c r="C68" s="1"/>
      <c r="D68" s="1"/>
      <c r="E68" s="1"/>
      <c r="F68" s="1"/>
      <c r="G68" s="1"/>
      <c r="J68" s="5"/>
    </row>
    <row r="69" spans="1:10" ht="33.75" customHeight="1">
      <c r="A69" s="10" t="s">
        <v>808</v>
      </c>
      <c r="B69" s="10" t="s">
        <v>809</v>
      </c>
      <c r="C69" s="10" t="s">
        <v>810</v>
      </c>
      <c r="D69" s="10" t="s">
        <v>811</v>
      </c>
      <c r="E69" s="10" t="s">
        <v>812</v>
      </c>
      <c r="F69" s="1"/>
      <c r="G69" s="1"/>
      <c r="J69" s="5"/>
    </row>
    <row r="70" spans="1:10" ht="20.100000000000001" customHeight="1">
      <c r="A70" s="492"/>
      <c r="B70" s="492"/>
      <c r="C70" s="88"/>
      <c r="D70" s="88"/>
      <c r="E70" s="492"/>
      <c r="F70" s="1"/>
      <c r="G70" s="1"/>
      <c r="J70" s="5"/>
    </row>
    <row r="71" spans="1:10" ht="20.100000000000001" customHeight="1">
      <c r="A71" s="492"/>
      <c r="B71" s="492"/>
      <c r="C71" s="88"/>
      <c r="D71" s="88"/>
      <c r="E71" s="492"/>
      <c r="F71" s="1"/>
      <c r="G71" s="1"/>
      <c r="J71" s="5"/>
    </row>
    <row r="72" spans="1:10" ht="20.100000000000001" customHeight="1">
      <c r="A72" s="492"/>
      <c r="B72" s="492"/>
      <c r="C72" s="88"/>
      <c r="D72" s="88"/>
      <c r="E72" s="492"/>
      <c r="F72" s="1"/>
      <c r="G72" s="1"/>
      <c r="J72" s="5"/>
    </row>
    <row r="73" spans="1:10" ht="20.100000000000001" customHeight="1">
      <c r="A73" s="492" t="s">
        <v>142</v>
      </c>
      <c r="B73" s="492"/>
      <c r="C73" s="88"/>
      <c r="D73" s="88"/>
      <c r="E73" s="492"/>
      <c r="F73" s="1"/>
      <c r="G73" s="1"/>
      <c r="J73" s="5"/>
    </row>
    <row r="74" spans="1:10" ht="20.100000000000001" customHeight="1">
      <c r="A74" s="1"/>
      <c r="B74" s="1"/>
      <c r="C74" s="1"/>
      <c r="D74" s="1"/>
      <c r="E74" s="1"/>
      <c r="F74" s="1"/>
      <c r="G74" s="1"/>
      <c r="J74" s="5"/>
    </row>
    <row r="75" spans="1:10" ht="20.100000000000001" customHeight="1">
      <c r="A75" s="1"/>
      <c r="B75" s="1"/>
      <c r="C75" s="1"/>
      <c r="D75" s="1"/>
      <c r="E75" s="1"/>
      <c r="F75" s="1"/>
      <c r="G75" s="1"/>
      <c r="J75" s="5"/>
    </row>
    <row r="76" spans="1:10" ht="20.100000000000001" customHeight="1">
      <c r="A76" s="498" t="s">
        <v>813</v>
      </c>
      <c r="B76" s="1"/>
      <c r="C76" s="1"/>
      <c r="D76" s="1"/>
      <c r="E76" s="1"/>
      <c r="F76" s="1"/>
      <c r="G76" s="1"/>
      <c r="J76" s="5"/>
    </row>
    <row r="77" spans="1:10" ht="13.8">
      <c r="A77" s="10" t="s">
        <v>729</v>
      </c>
      <c r="B77" s="10" t="s">
        <v>730</v>
      </c>
      <c r="C77" s="10" t="s">
        <v>731</v>
      </c>
      <c r="D77" s="10" t="s">
        <v>732</v>
      </c>
      <c r="E77" s="1"/>
      <c r="F77" s="1"/>
      <c r="G77" s="1"/>
      <c r="J77" s="5"/>
    </row>
    <row r="78" spans="1:10" ht="20.100000000000001" customHeight="1">
      <c r="A78" s="88"/>
      <c r="B78" s="88"/>
      <c r="C78" s="88"/>
      <c r="D78" s="88"/>
      <c r="E78" s="1"/>
      <c r="F78" s="1"/>
      <c r="G78" s="1"/>
      <c r="J78" s="5"/>
    </row>
    <row r="79" spans="1:10" ht="20.100000000000001" customHeight="1">
      <c r="A79" s="88"/>
      <c r="B79" s="462"/>
      <c r="C79" s="462"/>
      <c r="D79" s="462"/>
      <c r="E79" s="1"/>
      <c r="F79" s="1"/>
      <c r="G79" s="1"/>
      <c r="J79" s="5"/>
    </row>
    <row r="80" spans="1:10" ht="20.100000000000001" customHeight="1">
      <c r="A80" s="462"/>
      <c r="B80" s="462"/>
      <c r="C80" s="462"/>
      <c r="D80" s="462"/>
      <c r="E80" s="1"/>
      <c r="F80" s="1"/>
      <c r="G80" s="3"/>
    </row>
    <row r="81" spans="1:7" ht="20.100000000000001" customHeight="1">
      <c r="A81" s="88" t="s">
        <v>632</v>
      </c>
      <c r="B81" s="88"/>
      <c r="C81" s="88">
        <f>SUM(C78:C80)</f>
        <v>0</v>
      </c>
      <c r="D81" s="88">
        <f>SUM(D78:D80)</f>
        <v>0</v>
      </c>
      <c r="E81" s="1"/>
      <c r="F81" s="1"/>
      <c r="G81" s="3"/>
    </row>
    <row r="82" spans="1:7" ht="20.100000000000001" customHeight="1">
      <c r="A82" s="201" t="s">
        <v>651</v>
      </c>
      <c r="B82" s="1"/>
      <c r="C82" s="1"/>
      <c r="D82" s="1"/>
      <c r="E82" s="1"/>
      <c r="F82" s="1"/>
      <c r="G82" s="3"/>
    </row>
    <row r="83" spans="1:7" ht="20.100000000000001" customHeight="1">
      <c r="A83" s="498" t="s">
        <v>814</v>
      </c>
      <c r="B83" s="1"/>
      <c r="C83" s="1"/>
      <c r="D83" s="1"/>
      <c r="E83" s="1"/>
      <c r="F83" s="1"/>
      <c r="G83" s="3"/>
    </row>
    <row r="84" spans="1:7" ht="20.100000000000001" customHeight="1">
      <c r="A84" s="498" t="s">
        <v>815</v>
      </c>
      <c r="B84" s="1"/>
      <c r="C84" s="1"/>
      <c r="D84" s="1"/>
      <c r="E84" s="1"/>
      <c r="F84" s="1"/>
      <c r="G84" s="3"/>
    </row>
    <row r="85" spans="1:7" ht="20.100000000000001" customHeight="1">
      <c r="A85" s="498" t="s">
        <v>816</v>
      </c>
      <c r="B85" s="1"/>
      <c r="C85" s="1"/>
      <c r="D85" s="1"/>
      <c r="E85" s="1"/>
      <c r="F85" s="1"/>
      <c r="G85" s="3"/>
    </row>
    <row r="86" spans="1:7" ht="20.100000000000001" customHeight="1">
      <c r="A86" s="1"/>
      <c r="B86" s="1"/>
      <c r="C86" s="1"/>
      <c r="D86" s="1"/>
      <c r="E86" s="1"/>
      <c r="F86" s="1"/>
      <c r="G86" s="3"/>
    </row>
    <row r="87" spans="1:7" ht="20.100000000000001" customHeight="1">
      <c r="A87" s="498" t="s">
        <v>817</v>
      </c>
      <c r="B87" s="1"/>
      <c r="C87" s="1"/>
      <c r="D87" s="1"/>
      <c r="E87" s="1"/>
      <c r="F87" s="1"/>
      <c r="G87" s="3"/>
    </row>
    <row r="88" spans="1:7" ht="20.100000000000001" customHeight="1">
      <c r="A88" s="10" t="s">
        <v>729</v>
      </c>
      <c r="B88" s="10" t="s">
        <v>737</v>
      </c>
      <c r="C88" s="1"/>
      <c r="D88" s="1"/>
      <c r="E88" s="1"/>
      <c r="F88" s="1"/>
      <c r="G88" s="3"/>
    </row>
    <row r="89" spans="1:7" ht="20.100000000000001" customHeight="1">
      <c r="A89" s="26" t="s">
        <v>738</v>
      </c>
      <c r="B89" s="26"/>
      <c r="C89" s="1"/>
      <c r="D89" s="1"/>
      <c r="E89" s="1"/>
      <c r="F89" s="1"/>
      <c r="G89" s="3"/>
    </row>
    <row r="90" spans="1:7" ht="20.100000000000001" customHeight="1">
      <c r="A90" s="26"/>
      <c r="B90" s="26"/>
      <c r="C90" s="1"/>
      <c r="D90" s="1"/>
      <c r="E90" s="1"/>
      <c r="F90" s="1"/>
      <c r="G90" s="3"/>
    </row>
    <row r="91" spans="1:7" ht="20.100000000000001" customHeight="1">
      <c r="A91" s="26" t="s">
        <v>739</v>
      </c>
      <c r="B91" s="26" t="s">
        <v>740</v>
      </c>
      <c r="C91" s="1"/>
      <c r="D91" s="1"/>
      <c r="E91" s="1"/>
      <c r="F91" s="1"/>
      <c r="G91" s="3"/>
    </row>
    <row r="92" spans="1:7" ht="20.100000000000001" customHeight="1">
      <c r="A92" s="26" t="s">
        <v>741</v>
      </c>
      <c r="B92" s="278"/>
      <c r="C92" s="1"/>
      <c r="D92" s="1"/>
      <c r="E92" s="1"/>
      <c r="F92" s="1"/>
      <c r="G92" s="3"/>
    </row>
    <row r="93" spans="1:7" ht="20.100000000000001" customHeight="1">
      <c r="A93" s="278"/>
      <c r="B93" s="278"/>
      <c r="C93" s="1"/>
      <c r="D93" s="1"/>
      <c r="E93" s="1"/>
      <c r="F93" s="1"/>
      <c r="G93" s="3"/>
    </row>
    <row r="94" spans="1:7" ht="20.100000000000001" customHeight="1">
      <c r="A94" s="26" t="s">
        <v>742</v>
      </c>
      <c r="B94" s="26" t="s">
        <v>740</v>
      </c>
      <c r="C94" s="1"/>
      <c r="D94" s="1"/>
      <c r="E94" s="1"/>
      <c r="F94" s="1"/>
      <c r="G94" s="3"/>
    </row>
    <row r="95" spans="1:7" ht="20.100000000000001" customHeight="1">
      <c r="A95" s="498" t="s">
        <v>743</v>
      </c>
      <c r="B95" s="1"/>
      <c r="C95" s="1"/>
      <c r="D95" s="1"/>
      <c r="E95" s="1"/>
      <c r="F95" s="1"/>
      <c r="G95" s="3"/>
    </row>
    <row r="96" spans="1:7" ht="20.100000000000001" customHeight="1">
      <c r="A96" s="1"/>
      <c r="B96" s="1"/>
      <c r="C96" s="1"/>
      <c r="D96" s="1"/>
      <c r="E96" s="1"/>
      <c r="F96" s="1"/>
      <c r="G96" s="3"/>
    </row>
    <row r="97" spans="1:10" ht="20.100000000000001" customHeight="1">
      <c r="A97" s="3"/>
      <c r="B97" s="3"/>
      <c r="C97" s="3"/>
      <c r="D97" s="3"/>
      <c r="E97" s="3"/>
      <c r="F97" s="3"/>
      <c r="G97" s="3"/>
    </row>
    <row r="98" spans="1:10" ht="20.100000000000001" customHeight="1">
      <c r="A98" s="1"/>
      <c r="B98" s="1"/>
      <c r="C98" s="1"/>
      <c r="D98" s="1"/>
      <c r="E98" s="1"/>
      <c r="F98" s="1"/>
      <c r="G98" s="1"/>
      <c r="J98" s="5"/>
    </row>
    <row r="99" spans="1:10" ht="20.100000000000001" customHeight="1">
      <c r="A99" s="3"/>
      <c r="B99" s="3"/>
      <c r="C99" s="3"/>
      <c r="D99" s="3"/>
      <c r="E99" s="3"/>
      <c r="F99" s="3"/>
      <c r="G99" s="3"/>
    </row>
    <row r="100" spans="1:10" ht="20.100000000000001" customHeight="1">
      <c r="A100" s="3"/>
      <c r="B100" s="3"/>
      <c r="C100" s="3"/>
      <c r="D100" s="3"/>
      <c r="E100" s="3"/>
      <c r="F100" s="3"/>
      <c r="G100" s="3"/>
    </row>
    <row r="101" spans="1:10" ht="20.100000000000001" customHeight="1">
      <c r="A101" s="3"/>
      <c r="B101" s="3"/>
      <c r="C101" s="3"/>
      <c r="D101" s="3"/>
      <c r="E101" s="3"/>
      <c r="F101" s="3"/>
      <c r="G101" s="3"/>
    </row>
    <row r="102" spans="1:10" ht="20.100000000000001" customHeight="1">
      <c r="A102" s="3"/>
      <c r="B102" s="3"/>
      <c r="C102" s="3"/>
      <c r="D102" s="3"/>
      <c r="E102" s="3"/>
      <c r="F102" s="3"/>
      <c r="G102" s="3"/>
    </row>
    <row r="103" spans="1:10" ht="20.100000000000001" customHeight="1">
      <c r="A103" s="3"/>
      <c r="B103" s="3"/>
      <c r="C103" s="3"/>
      <c r="D103" s="3"/>
      <c r="E103" s="3"/>
      <c r="F103" s="3"/>
      <c r="G103" s="3"/>
    </row>
    <row r="104" spans="1:10" ht="20.100000000000001" customHeight="1">
      <c r="A104" s="3"/>
      <c r="B104" s="3"/>
      <c r="C104" s="3"/>
      <c r="D104" s="3"/>
      <c r="E104" s="3"/>
      <c r="F104" s="3"/>
      <c r="G104" s="3"/>
    </row>
    <row r="105" spans="1:10" ht="20.100000000000001" customHeight="1">
      <c r="A105" s="3"/>
      <c r="B105" s="3"/>
      <c r="C105" s="3"/>
      <c r="D105" s="3"/>
      <c r="E105" s="3"/>
      <c r="F105" s="3"/>
      <c r="G105" s="3"/>
    </row>
    <row r="106" spans="1:10" ht="20.100000000000001" customHeight="1">
      <c r="A106" s="3"/>
      <c r="B106" s="3"/>
      <c r="C106" s="3"/>
      <c r="D106" s="3"/>
      <c r="E106" s="3"/>
      <c r="F106" s="3"/>
      <c r="G106" s="3"/>
    </row>
    <row r="107" spans="1:10" ht="20.100000000000001" customHeight="1">
      <c r="A107" s="3"/>
      <c r="B107" s="3"/>
      <c r="C107" s="3"/>
      <c r="D107" s="3"/>
      <c r="E107" s="3"/>
      <c r="F107" s="3"/>
      <c r="G107" s="3"/>
    </row>
    <row r="108" spans="1:10" ht="20.100000000000001" customHeight="1">
      <c r="A108" s="3"/>
      <c r="B108" s="3"/>
      <c r="C108" s="3"/>
      <c r="D108" s="3"/>
      <c r="E108" s="3"/>
      <c r="F108" s="3"/>
      <c r="G108" s="3"/>
    </row>
    <row r="109" spans="1:10" ht="20.100000000000001" customHeight="1">
      <c r="A109" s="3"/>
      <c r="B109" s="3"/>
      <c r="C109" s="3"/>
      <c r="D109" s="3"/>
      <c r="E109" s="3"/>
      <c r="F109" s="3"/>
      <c r="G109" s="3"/>
    </row>
    <row r="110" spans="1:10" ht="20.100000000000001" customHeight="1">
      <c r="A110" s="3"/>
      <c r="B110" s="3"/>
      <c r="C110" s="3"/>
      <c r="D110" s="3"/>
      <c r="E110" s="3"/>
      <c r="F110" s="3"/>
      <c r="G110" s="3"/>
    </row>
    <row r="111" spans="1:10" ht="20.100000000000001" customHeight="1">
      <c r="A111" s="3"/>
      <c r="B111" s="3"/>
      <c r="C111" s="3"/>
      <c r="D111" s="3"/>
      <c r="E111" s="3"/>
      <c r="F111" s="3"/>
      <c r="G111" s="3"/>
    </row>
    <row r="112" spans="1:10" ht="20.100000000000001" customHeight="1">
      <c r="A112" s="3"/>
      <c r="B112" s="3"/>
      <c r="C112" s="3"/>
      <c r="D112" s="3"/>
      <c r="E112" s="3"/>
      <c r="F112" s="3"/>
      <c r="G112" s="3"/>
    </row>
    <row r="113" spans="1:7" ht="20.100000000000001" customHeight="1">
      <c r="A113" s="3"/>
      <c r="B113" s="3"/>
      <c r="C113" s="3"/>
      <c r="D113" s="3"/>
      <c r="E113" s="3"/>
      <c r="F113" s="3"/>
      <c r="G113" s="3"/>
    </row>
    <row r="114" spans="1:7" ht="20.100000000000001" customHeight="1">
      <c r="A114" s="3"/>
      <c r="B114" s="3"/>
      <c r="C114" s="3"/>
      <c r="D114" s="3"/>
      <c r="E114" s="3"/>
      <c r="F114" s="3"/>
      <c r="G114" s="3"/>
    </row>
    <row r="115" spans="1:7" ht="20.100000000000001" customHeight="1">
      <c r="A115" s="3"/>
      <c r="B115" s="3"/>
      <c r="C115" s="3"/>
      <c r="D115" s="3"/>
      <c r="E115" s="3"/>
      <c r="F115" s="3"/>
      <c r="G115" s="3"/>
    </row>
    <row r="116" spans="1:7" ht="20.100000000000001" customHeight="1">
      <c r="A116" s="3"/>
      <c r="B116" s="3"/>
      <c r="C116" s="3"/>
      <c r="D116" s="3"/>
      <c r="E116" s="3"/>
      <c r="F116" s="3"/>
      <c r="G116" s="3"/>
    </row>
    <row r="117" spans="1:7" ht="20.100000000000001" customHeight="1">
      <c r="A117" s="3"/>
      <c r="B117" s="3"/>
      <c r="C117" s="3"/>
      <c r="D117" s="3"/>
      <c r="E117" s="3"/>
      <c r="F117" s="3"/>
      <c r="G117" s="3"/>
    </row>
    <row r="118" spans="1:7" ht="20.100000000000001" customHeight="1">
      <c r="A118" s="3"/>
      <c r="B118" s="3"/>
      <c r="C118" s="3"/>
      <c r="D118" s="3"/>
      <c r="E118" s="3"/>
      <c r="F118" s="3"/>
      <c r="G118" s="3"/>
    </row>
    <row r="119" spans="1:7" ht="20.100000000000001" customHeight="1">
      <c r="A119" s="3"/>
      <c r="B119" s="3"/>
      <c r="C119" s="3"/>
      <c r="D119" s="3"/>
      <c r="E119" s="3"/>
      <c r="F119" s="3"/>
      <c r="G119" s="3"/>
    </row>
    <row r="120" spans="1:7" ht="20.100000000000001" customHeight="1">
      <c r="A120" s="3"/>
      <c r="B120" s="3"/>
      <c r="C120" s="3"/>
      <c r="D120" s="3"/>
      <c r="E120" s="3"/>
      <c r="F120" s="3"/>
      <c r="G120" s="3"/>
    </row>
    <row r="121" spans="1:7" ht="20.100000000000001" customHeight="1">
      <c r="A121" s="3"/>
      <c r="B121" s="3"/>
      <c r="C121" s="3"/>
      <c r="D121" s="3"/>
      <c r="E121" s="3"/>
      <c r="F121" s="3"/>
      <c r="G121" s="3"/>
    </row>
    <row r="122" spans="1:7" ht="20.100000000000001" customHeight="1">
      <c r="A122" s="3"/>
      <c r="B122" s="3"/>
      <c r="C122" s="3"/>
      <c r="D122" s="3"/>
      <c r="E122" s="3"/>
      <c r="F122" s="3"/>
      <c r="G122" s="3"/>
    </row>
    <row r="123" spans="1:7" ht="20.100000000000001" customHeight="1">
      <c r="A123" s="3"/>
      <c r="B123" s="3"/>
      <c r="C123" s="3"/>
      <c r="D123" s="3"/>
      <c r="E123" s="3"/>
      <c r="F123" s="3"/>
      <c r="G123" s="3"/>
    </row>
    <row r="124" spans="1:7" ht="20.100000000000001" customHeight="1">
      <c r="A124" s="3"/>
      <c r="B124" s="3"/>
      <c r="C124" s="3"/>
      <c r="D124" s="3"/>
      <c r="E124" s="3"/>
      <c r="F124" s="3"/>
      <c r="G124" s="3"/>
    </row>
    <row r="125" spans="1:7" ht="20.100000000000001" customHeight="1">
      <c r="A125" s="3"/>
      <c r="B125" s="3"/>
      <c r="C125" s="3"/>
      <c r="D125" s="3"/>
      <c r="E125" s="3"/>
      <c r="F125" s="3"/>
      <c r="G125" s="3"/>
    </row>
    <row r="126" spans="1:7" ht="20.100000000000001" customHeight="1">
      <c r="A126" s="3"/>
      <c r="B126" s="3"/>
      <c r="C126" s="3"/>
      <c r="D126" s="3"/>
      <c r="E126" s="3"/>
      <c r="F126" s="3"/>
      <c r="G126" s="3"/>
    </row>
    <row r="127" spans="1:7" ht="20.100000000000001" customHeight="1">
      <c r="A127" s="3"/>
      <c r="B127" s="3"/>
      <c r="C127" s="3"/>
      <c r="D127" s="3"/>
      <c r="E127" s="3"/>
      <c r="F127" s="3"/>
      <c r="G127" s="3"/>
    </row>
    <row r="128" spans="1:7" ht="20.100000000000001" customHeight="1">
      <c r="A128" s="3"/>
      <c r="B128" s="3"/>
      <c r="C128" s="3"/>
      <c r="D128" s="3"/>
      <c r="E128" s="3"/>
      <c r="F128" s="3"/>
      <c r="G128" s="3"/>
    </row>
  </sheetData>
  <mergeCells count="6">
    <mergeCell ref="B5:C5"/>
    <mergeCell ref="D5:E5"/>
    <mergeCell ref="B20:C20"/>
    <mergeCell ref="D20:E20"/>
    <mergeCell ref="A5:A6"/>
    <mergeCell ref="A20:A21"/>
  </mergeCells>
  <phoneticPr fontId="78" type="noConversion"/>
  <hyperlinks>
    <hyperlink ref="H1" location="目录!A1" display="BACK"/>
  </hyperlinks>
  <pageMargins left="0.27500000000000002" right="0.27500000000000002" top="0.51180555555555596" bottom="0.51180555555555596" header="0.27500000000000002" footer="0.27500000000000002"/>
  <pageSetup paperSize="9" scale="74" orientation="landscape" blackAndWhite="1" r:id="rId1"/>
  <headerFooter alignWithMargins="0"/>
  <rowBreaks count="3" manualBreakCount="3">
    <brk id="30" max="16383" man="1"/>
    <brk id="57" max="5" man="1"/>
    <brk id="75" max="5"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I44"/>
  <sheetViews>
    <sheetView view="pageBreakPreview" zoomScale="90" zoomScaleNormal="100" zoomScaleSheetLayoutView="90" workbookViewId="0">
      <selection activeCell="F18" sqref="F18"/>
    </sheetView>
  </sheetViews>
  <sheetFormatPr defaultColWidth="9" defaultRowHeight="20.100000000000001" customHeight="1"/>
  <cols>
    <col min="1" max="1" width="29.8984375" style="5" customWidth="1"/>
    <col min="2" max="2" width="24.59765625" style="5" customWidth="1"/>
    <col min="3" max="3" width="22.59765625" style="5" customWidth="1"/>
    <col min="4" max="4" width="21.69921875" style="5" customWidth="1"/>
    <col min="5" max="5" width="23" style="5" customWidth="1"/>
    <col min="6" max="6" width="17" style="5" customWidth="1"/>
    <col min="7" max="7" width="16.19921875" style="5" customWidth="1"/>
    <col min="8" max="9" width="9" style="110"/>
    <col min="10" max="16384" width="9" style="5"/>
  </cols>
  <sheetData>
    <row r="1" spans="1:9" ht="20.100000000000001" customHeight="1">
      <c r="A1" s="48" t="s">
        <v>145</v>
      </c>
      <c r="B1" s="49">
        <f>基础信息!B6</f>
        <v>0</v>
      </c>
      <c r="C1" s="250"/>
      <c r="D1" s="250"/>
      <c r="E1" s="255"/>
      <c r="F1" s="250"/>
      <c r="G1" s="250"/>
      <c r="I1" s="900" t="s">
        <v>146</v>
      </c>
    </row>
    <row r="2" spans="1:9" ht="20.100000000000001" customHeight="1">
      <c r="A2" s="48" t="s">
        <v>147</v>
      </c>
      <c r="B2" s="49">
        <f>基础信息!B9</f>
        <v>0</v>
      </c>
      <c r="C2" s="250"/>
      <c r="D2" s="250"/>
      <c r="E2" s="250"/>
      <c r="F2" s="250"/>
      <c r="G2" s="250"/>
    </row>
    <row r="3" spans="1:9" ht="20.100000000000001" customHeight="1">
      <c r="A3" s="91" t="s">
        <v>148</v>
      </c>
      <c r="B3" s="91" t="s">
        <v>818</v>
      </c>
      <c r="C3" s="250"/>
      <c r="D3" s="250"/>
      <c r="E3" s="250"/>
      <c r="F3" s="250"/>
      <c r="G3" s="250"/>
    </row>
    <row r="4" spans="1:9" ht="20.100000000000001" customHeight="1">
      <c r="A4" s="122" t="s">
        <v>819</v>
      </c>
      <c r="B4" s="122"/>
      <c r="C4" s="122"/>
      <c r="D4" s="122"/>
      <c r="E4" s="251"/>
      <c r="F4" s="251"/>
      <c r="G4" s="251"/>
    </row>
    <row r="5" spans="1:9" ht="20.100000000000001" customHeight="1">
      <c r="A5" s="1064" t="s">
        <v>305</v>
      </c>
      <c r="B5" s="1064" t="s">
        <v>820</v>
      </c>
      <c r="C5" s="1064"/>
      <c r="D5" s="1064"/>
      <c r="E5" s="251"/>
      <c r="F5" s="251"/>
      <c r="G5" s="251"/>
    </row>
    <row r="6" spans="1:9" ht="20.100000000000001" customHeight="1">
      <c r="A6" s="1064"/>
      <c r="B6" s="295" t="s">
        <v>821</v>
      </c>
      <c r="C6" s="295" t="s">
        <v>822</v>
      </c>
      <c r="D6" s="295" t="s">
        <v>823</v>
      </c>
      <c r="E6" s="251"/>
      <c r="F6" s="251"/>
      <c r="G6" s="251"/>
    </row>
    <row r="7" spans="1:9" ht="20.100000000000001" customHeight="1">
      <c r="A7" s="181" t="s">
        <v>824</v>
      </c>
      <c r="B7" s="259"/>
      <c r="C7" s="259"/>
      <c r="D7" s="496">
        <f>B7-C7</f>
        <v>0</v>
      </c>
    </row>
    <row r="8" spans="1:9" ht="20.100000000000001" customHeight="1">
      <c r="A8" s="181" t="s">
        <v>825</v>
      </c>
      <c r="B8" s="259"/>
      <c r="C8" s="259"/>
      <c r="D8" s="496">
        <f t="shared" ref="D8:D15" si="0">B8-C8</f>
        <v>0</v>
      </c>
    </row>
    <row r="9" spans="1:9" ht="20.100000000000001" customHeight="1">
      <c r="A9" s="181" t="s">
        <v>826</v>
      </c>
      <c r="B9" s="259"/>
      <c r="C9" s="259"/>
      <c r="D9" s="496">
        <f t="shared" si="0"/>
        <v>0</v>
      </c>
    </row>
    <row r="10" spans="1:9" ht="20.100000000000001" customHeight="1">
      <c r="A10" s="181" t="s">
        <v>827</v>
      </c>
      <c r="B10" s="259"/>
      <c r="C10" s="259"/>
      <c r="D10" s="496">
        <f t="shared" si="0"/>
        <v>0</v>
      </c>
    </row>
    <row r="11" spans="1:9" ht="20.100000000000001" customHeight="1">
      <c r="A11" s="181" t="s">
        <v>828</v>
      </c>
      <c r="B11" s="259"/>
      <c r="C11" s="259"/>
      <c r="D11" s="496">
        <f t="shared" si="0"/>
        <v>0</v>
      </c>
    </row>
    <row r="12" spans="1:9" ht="20.100000000000001" customHeight="1">
      <c r="A12" s="181" t="s">
        <v>829</v>
      </c>
      <c r="B12" s="259"/>
      <c r="C12" s="259"/>
      <c r="D12" s="496">
        <f t="shared" si="0"/>
        <v>0</v>
      </c>
    </row>
    <row r="13" spans="1:9" ht="20.100000000000001" customHeight="1">
      <c r="A13" s="181" t="s">
        <v>830</v>
      </c>
      <c r="B13" s="259"/>
      <c r="C13" s="259"/>
      <c r="D13" s="496">
        <f t="shared" si="0"/>
        <v>0</v>
      </c>
    </row>
    <row r="14" spans="1:9" ht="20.100000000000001" customHeight="1">
      <c r="A14" s="181"/>
      <c r="B14" s="259"/>
      <c r="C14" s="259"/>
      <c r="D14" s="496">
        <f t="shared" si="0"/>
        <v>0</v>
      </c>
    </row>
    <row r="15" spans="1:9" ht="20.100000000000001" customHeight="1">
      <c r="A15" s="181" t="s">
        <v>430</v>
      </c>
      <c r="B15" s="259"/>
      <c r="C15" s="259"/>
      <c r="D15" s="496">
        <f t="shared" si="0"/>
        <v>0</v>
      </c>
    </row>
    <row r="16" spans="1:9" ht="20.100000000000001" customHeight="1">
      <c r="A16" s="181" t="s">
        <v>632</v>
      </c>
      <c r="B16" s="496">
        <f>SUM(B7:B15)</f>
        <v>0</v>
      </c>
      <c r="C16" s="496">
        <f>SUM(C7:C15)</f>
        <v>0</v>
      </c>
      <c r="D16" s="496">
        <f>SUM(D7:D15)</f>
        <v>0</v>
      </c>
    </row>
    <row r="17" spans="1:7" ht="20.100000000000001" customHeight="1">
      <c r="A17" s="112" t="s">
        <v>623</v>
      </c>
      <c r="B17" s="113"/>
      <c r="C17" s="113"/>
      <c r="D17" s="95"/>
    </row>
    <row r="18" spans="1:7" ht="20.100000000000001" customHeight="1">
      <c r="A18" s="96"/>
      <c r="B18" s="113">
        <f>B16-B17</f>
        <v>0</v>
      </c>
      <c r="C18" s="113">
        <f>C16-C17</f>
        <v>0</v>
      </c>
      <c r="D18" s="113">
        <f>D16-D17</f>
        <v>0</v>
      </c>
    </row>
    <row r="19" spans="1:7" ht="20.100000000000001" customHeight="1">
      <c r="A19" s="23"/>
      <c r="B19" s="23" t="str">
        <f>IF(B18=0,"OK","NO")</f>
        <v>OK</v>
      </c>
      <c r="C19" s="23" t="str">
        <f>IF(C18=0,"OK","NO")</f>
        <v>OK</v>
      </c>
      <c r="D19" s="23" t="str">
        <f>IF(D18=0,"OK","NO")</f>
        <v>OK</v>
      </c>
    </row>
    <row r="20" spans="1:7" ht="20.100000000000001" customHeight="1">
      <c r="A20" s="234" t="s">
        <v>831</v>
      </c>
      <c r="B20" s="3"/>
      <c r="C20" s="3"/>
      <c r="D20" s="3"/>
    </row>
    <row r="21" spans="1:7" ht="20.100000000000001" customHeight="1">
      <c r="A21" s="472" t="s">
        <v>832</v>
      </c>
      <c r="B21" s="251"/>
      <c r="C21" s="251"/>
      <c r="D21" s="251"/>
      <c r="E21" s="251"/>
      <c r="F21" s="251"/>
      <c r="G21" s="251"/>
    </row>
    <row r="22" spans="1:7" ht="20.100000000000001" customHeight="1">
      <c r="A22" s="1063" t="s">
        <v>833</v>
      </c>
      <c r="B22" s="1063" t="s">
        <v>834</v>
      </c>
      <c r="C22" s="1063" t="s">
        <v>835</v>
      </c>
      <c r="D22" s="1063"/>
      <c r="E22" s="1063" t="s">
        <v>836</v>
      </c>
      <c r="F22" s="1063"/>
      <c r="G22" s="1063" t="s">
        <v>837</v>
      </c>
    </row>
    <row r="23" spans="1:7" ht="20.100000000000001" customHeight="1">
      <c r="A23" s="1063"/>
      <c r="B23" s="1063"/>
      <c r="C23" s="166" t="s">
        <v>838</v>
      </c>
      <c r="D23" s="166" t="s">
        <v>839</v>
      </c>
      <c r="E23" s="166" t="s">
        <v>840</v>
      </c>
      <c r="F23" s="166" t="s">
        <v>839</v>
      </c>
      <c r="G23" s="1063"/>
    </row>
    <row r="24" spans="1:7" ht="20.100000000000001" customHeight="1">
      <c r="A24" s="26" t="s">
        <v>824</v>
      </c>
      <c r="B24" s="133"/>
      <c r="C24" s="133"/>
      <c r="D24" s="133"/>
      <c r="E24" s="133"/>
      <c r="F24" s="133"/>
      <c r="G24" s="133"/>
    </row>
    <row r="25" spans="1:7" ht="20.100000000000001" customHeight="1">
      <c r="A25" s="26" t="s">
        <v>841</v>
      </c>
      <c r="B25" s="133"/>
      <c r="C25" s="12"/>
      <c r="D25" s="12"/>
      <c r="E25" s="12"/>
      <c r="F25" s="133"/>
      <c r="G25" s="133"/>
    </row>
    <row r="26" spans="1:7" ht="20.100000000000001" customHeight="1">
      <c r="A26" s="26" t="s">
        <v>842</v>
      </c>
      <c r="B26" s="133"/>
      <c r="C26" s="12"/>
      <c r="D26" s="12"/>
      <c r="E26" s="12"/>
      <c r="F26" s="133"/>
      <c r="G26" s="133"/>
    </row>
    <row r="27" spans="1:7" ht="20.100000000000001" customHeight="1">
      <c r="A27" s="26" t="s">
        <v>843</v>
      </c>
      <c r="B27" s="133"/>
      <c r="C27" s="12"/>
      <c r="D27" s="12"/>
      <c r="E27" s="12"/>
      <c r="F27" s="133"/>
      <c r="G27" s="133"/>
    </row>
    <row r="28" spans="1:7" ht="20.100000000000001" customHeight="1">
      <c r="A28" s="26" t="s">
        <v>828</v>
      </c>
      <c r="B28" s="133"/>
      <c r="C28" s="133"/>
      <c r="D28" s="133"/>
      <c r="E28" s="133"/>
      <c r="F28" s="133"/>
      <c r="G28" s="133"/>
    </row>
    <row r="29" spans="1:7" ht="20.100000000000001" customHeight="1">
      <c r="A29" s="26" t="s">
        <v>632</v>
      </c>
      <c r="B29" s="14">
        <f t="shared" ref="B29:G29" si="1">SUM(B24:B28)</f>
        <v>0</v>
      </c>
      <c r="C29" s="14">
        <f t="shared" si="1"/>
        <v>0</v>
      </c>
      <c r="D29" s="14">
        <f t="shared" si="1"/>
        <v>0</v>
      </c>
      <c r="E29" s="14">
        <f t="shared" si="1"/>
        <v>0</v>
      </c>
      <c r="F29" s="14">
        <f t="shared" si="1"/>
        <v>0</v>
      </c>
      <c r="G29" s="14">
        <f t="shared" si="1"/>
        <v>0</v>
      </c>
    </row>
    <row r="30" spans="1:7" ht="20.100000000000001" customHeight="1">
      <c r="A30" s="112" t="s">
        <v>623</v>
      </c>
      <c r="B30" s="124"/>
      <c r="C30" s="124"/>
      <c r="D30" s="108"/>
      <c r="E30" s="108"/>
      <c r="F30" s="108"/>
      <c r="G30" s="95">
        <f>C17</f>
        <v>0</v>
      </c>
    </row>
    <row r="31" spans="1:7" ht="20.100000000000001" customHeight="1">
      <c r="A31" s="3"/>
      <c r="B31" s="3"/>
      <c r="C31" s="3"/>
      <c r="D31" s="3"/>
      <c r="E31" s="3"/>
      <c r="F31" s="3"/>
      <c r="G31" s="23" t="str">
        <f>IF(G30=0,"OK","NO")</f>
        <v>OK</v>
      </c>
    </row>
    <row r="32" spans="1:7" ht="20.100000000000001" customHeight="1">
      <c r="A32" s="3"/>
      <c r="B32" s="3"/>
      <c r="C32" s="3"/>
      <c r="D32" s="3"/>
      <c r="E32" s="3"/>
      <c r="F32" s="3"/>
      <c r="G32" s="3"/>
    </row>
    <row r="33" spans="1:7" ht="20.100000000000001" customHeight="1">
      <c r="A33" s="3" t="s">
        <v>844</v>
      </c>
      <c r="B33" s="3"/>
      <c r="C33" s="3"/>
      <c r="D33" s="3"/>
      <c r="E33" s="3"/>
      <c r="F33" s="3"/>
      <c r="G33" s="3"/>
    </row>
    <row r="34" spans="1:7" ht="34.5" customHeight="1">
      <c r="A34" s="225" t="s">
        <v>845</v>
      </c>
      <c r="B34" s="10" t="s">
        <v>846</v>
      </c>
      <c r="C34" s="10" t="s">
        <v>847</v>
      </c>
      <c r="D34" s="3"/>
      <c r="E34" s="3"/>
      <c r="F34" s="3"/>
      <c r="G34" s="3"/>
    </row>
    <row r="35" spans="1:7" ht="20.100000000000001" customHeight="1">
      <c r="A35" s="26" t="s">
        <v>824</v>
      </c>
      <c r="B35" s="26"/>
      <c r="C35" s="26"/>
      <c r="D35" s="3"/>
      <c r="E35" s="3"/>
      <c r="F35" s="3"/>
      <c r="G35" s="3"/>
    </row>
    <row r="36" spans="1:7" ht="20.100000000000001" customHeight="1">
      <c r="A36" s="26" t="s">
        <v>841</v>
      </c>
      <c r="B36" s="278"/>
      <c r="C36" s="278"/>
      <c r="D36" s="3"/>
      <c r="E36" s="3"/>
      <c r="F36" s="3"/>
      <c r="G36" s="3"/>
    </row>
    <row r="37" spans="1:7" ht="20.100000000000001" customHeight="1">
      <c r="A37" s="26" t="s">
        <v>842</v>
      </c>
      <c r="B37" s="278"/>
      <c r="C37" s="278"/>
      <c r="D37" s="3"/>
      <c r="E37" s="3"/>
      <c r="F37" s="3"/>
      <c r="G37" s="3"/>
    </row>
    <row r="38" spans="1:7" ht="20.100000000000001" customHeight="1">
      <c r="A38" s="26" t="s">
        <v>843</v>
      </c>
      <c r="B38" s="278"/>
      <c r="C38" s="278"/>
      <c r="D38" s="3"/>
      <c r="E38" s="3"/>
      <c r="F38" s="3"/>
      <c r="G38" s="3"/>
    </row>
    <row r="39" spans="1:7" ht="20.100000000000001" customHeight="1">
      <c r="A39" s="26" t="s">
        <v>828</v>
      </c>
      <c r="B39" s="278"/>
      <c r="C39" s="278"/>
      <c r="D39" s="3"/>
      <c r="E39" s="3"/>
      <c r="F39" s="3"/>
      <c r="G39" s="3"/>
    </row>
    <row r="40" spans="1:7" ht="20.100000000000001" customHeight="1">
      <c r="A40" s="26" t="s">
        <v>632</v>
      </c>
      <c r="B40" s="278"/>
      <c r="C40" s="26"/>
      <c r="D40" s="3"/>
      <c r="E40" s="3"/>
      <c r="F40" s="3"/>
      <c r="G40" s="3"/>
    </row>
    <row r="41" spans="1:7" ht="20.100000000000001" customHeight="1">
      <c r="A41" s="234" t="s">
        <v>848</v>
      </c>
      <c r="B41" s="3"/>
      <c r="C41" s="3"/>
      <c r="D41" s="3"/>
      <c r="E41" s="3"/>
      <c r="F41" s="3"/>
      <c r="G41" s="3"/>
    </row>
    <row r="42" spans="1:7" ht="20.100000000000001" customHeight="1">
      <c r="A42" s="80" t="s">
        <v>849</v>
      </c>
      <c r="B42" s="3"/>
      <c r="C42" s="3"/>
      <c r="D42" s="3"/>
      <c r="E42" s="3"/>
      <c r="F42" s="3"/>
      <c r="G42" s="3"/>
    </row>
    <row r="43" spans="1:7" ht="20.100000000000001" customHeight="1">
      <c r="A43" s="80"/>
      <c r="B43" s="3"/>
      <c r="C43" s="3"/>
      <c r="D43" s="3"/>
      <c r="E43" s="3"/>
      <c r="F43" s="3"/>
      <c r="G43" s="3"/>
    </row>
    <row r="44" spans="1:7" ht="20.100000000000001" customHeight="1">
      <c r="A44" s="234" t="s">
        <v>850</v>
      </c>
      <c r="B44" s="3"/>
      <c r="C44" s="3"/>
      <c r="D44" s="3"/>
      <c r="E44" s="3"/>
      <c r="F44" s="3"/>
      <c r="G44" s="3"/>
    </row>
  </sheetData>
  <mergeCells count="7">
    <mergeCell ref="G22:G23"/>
    <mergeCell ref="B5:D5"/>
    <mergeCell ref="C22:D22"/>
    <mergeCell ref="E22:F22"/>
    <mergeCell ref="A5:A6"/>
    <mergeCell ref="A22:A23"/>
    <mergeCell ref="B22:B23"/>
  </mergeCells>
  <phoneticPr fontId="78" type="noConversion"/>
  <hyperlinks>
    <hyperlink ref="I1" location="目录!A1" display="BACK"/>
  </hyperlinks>
  <pageMargins left="0.27500000000000002" right="0.27500000000000002" top="0.51180555555555596" bottom="0.51180555555555596" header="0.27500000000000002" footer="0.27500000000000002"/>
  <pageSetup paperSize="9" scale="52" orientation="landscape" blackAndWhite="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tabColor rgb="FFFFC000"/>
  </sheetPr>
  <dimension ref="A1:G29"/>
  <sheetViews>
    <sheetView workbookViewId="0">
      <selection activeCell="H11" sqref="H11"/>
    </sheetView>
  </sheetViews>
  <sheetFormatPr defaultRowHeight="15.6"/>
  <cols>
    <col min="1" max="1" width="45.69921875" customWidth="1"/>
    <col min="2" max="2" width="44.19921875" customWidth="1"/>
    <col min="3" max="3" width="14.69921875" customWidth="1"/>
    <col min="4" max="4" width="25.59765625" customWidth="1"/>
  </cols>
  <sheetData>
    <row r="1" spans="1:7">
      <c r="A1" s="48" t="s">
        <v>145</v>
      </c>
      <c r="B1" s="49">
        <f>基础信息!B6</f>
        <v>0</v>
      </c>
      <c r="C1" s="250"/>
      <c r="D1" s="900" t="s">
        <v>146</v>
      </c>
      <c r="E1" s="255"/>
      <c r="F1" s="250"/>
      <c r="G1" s="250"/>
    </row>
    <row r="2" spans="1:7">
      <c r="A2" s="48" t="s">
        <v>147</v>
      </c>
      <c r="B2" s="49">
        <f>基础信息!B9</f>
        <v>0</v>
      </c>
      <c r="C2" s="250"/>
      <c r="D2" s="250"/>
      <c r="E2" s="250"/>
      <c r="F2" s="250"/>
      <c r="G2" s="250"/>
    </row>
    <row r="3" spans="1:7">
      <c r="A3" s="91" t="s">
        <v>148</v>
      </c>
      <c r="B3" s="307" t="s">
        <v>2118</v>
      </c>
      <c r="C3" s="250"/>
      <c r="D3" s="250"/>
      <c r="E3" s="250"/>
      <c r="F3" s="250"/>
      <c r="G3" s="250"/>
    </row>
    <row r="4" spans="1:7">
      <c r="A4" s="971" t="s">
        <v>2102</v>
      </c>
      <c r="B4" s="122"/>
      <c r="C4" s="122"/>
      <c r="D4" s="122"/>
      <c r="E4" s="251"/>
      <c r="F4" s="251"/>
      <c r="G4" s="251"/>
    </row>
    <row r="5" spans="1:7">
      <c r="A5" s="1064" t="s">
        <v>305</v>
      </c>
      <c r="B5" s="1064" t="s">
        <v>820</v>
      </c>
      <c r="C5" s="1064"/>
      <c r="D5" s="1064"/>
      <c r="E5" s="251"/>
      <c r="F5" s="251"/>
      <c r="G5" s="251"/>
    </row>
    <row r="6" spans="1:7">
      <c r="A6" s="1064"/>
      <c r="B6" s="936" t="s">
        <v>821</v>
      </c>
      <c r="C6" s="936" t="s">
        <v>822</v>
      </c>
      <c r="D6" s="936" t="s">
        <v>823</v>
      </c>
      <c r="E6" s="251"/>
      <c r="F6" s="251"/>
      <c r="G6" s="251"/>
    </row>
    <row r="7" spans="1:7">
      <c r="A7" s="181"/>
      <c r="B7" s="259"/>
      <c r="C7" s="259"/>
      <c r="D7" s="496">
        <f>B7-C7</f>
        <v>0</v>
      </c>
      <c r="E7" s="5"/>
      <c r="F7" s="5"/>
      <c r="G7" s="5"/>
    </row>
    <row r="8" spans="1:7">
      <c r="A8" s="181"/>
      <c r="B8" s="259"/>
      <c r="C8" s="259"/>
      <c r="D8" s="496">
        <f t="shared" ref="D8:D12" si="0">B8-C8</f>
        <v>0</v>
      </c>
      <c r="E8" s="5"/>
      <c r="F8" s="5"/>
      <c r="G8" s="5"/>
    </row>
    <row r="9" spans="1:7">
      <c r="A9" s="181"/>
      <c r="B9" s="259"/>
      <c r="C9" s="259"/>
      <c r="D9" s="496">
        <f t="shared" si="0"/>
        <v>0</v>
      </c>
      <c r="E9" s="5"/>
      <c r="F9" s="5"/>
      <c r="G9" s="5"/>
    </row>
    <row r="10" spans="1:7">
      <c r="A10" s="181"/>
      <c r="B10" s="259"/>
      <c r="C10" s="259"/>
      <c r="D10" s="496">
        <f t="shared" si="0"/>
        <v>0</v>
      </c>
      <c r="E10" s="5"/>
      <c r="F10" s="5"/>
      <c r="G10" s="5"/>
    </row>
    <row r="11" spans="1:7">
      <c r="A11" s="181"/>
      <c r="B11" s="259"/>
      <c r="C11" s="259"/>
      <c r="D11" s="496">
        <f t="shared" si="0"/>
        <v>0</v>
      </c>
      <c r="E11" s="5"/>
      <c r="F11" s="5"/>
      <c r="G11" s="5"/>
    </row>
    <row r="12" spans="1:7">
      <c r="A12" s="181"/>
      <c r="B12" s="259"/>
      <c r="C12" s="259"/>
      <c r="D12" s="496">
        <f t="shared" si="0"/>
        <v>0</v>
      </c>
      <c r="E12" s="5"/>
      <c r="F12" s="5"/>
      <c r="G12" s="5"/>
    </row>
    <row r="13" spans="1:7">
      <c r="A13" s="181" t="s">
        <v>632</v>
      </c>
      <c r="B13" s="496">
        <f>SUM(B7:B12)</f>
        <v>0</v>
      </c>
      <c r="C13" s="496">
        <f>SUM(C7:C12)</f>
        <v>0</v>
      </c>
      <c r="D13" s="496">
        <f>SUM(D7:D12)</f>
        <v>0</v>
      </c>
      <c r="E13" s="5"/>
      <c r="F13" s="5"/>
      <c r="G13" s="5"/>
    </row>
    <row r="14" spans="1:7">
      <c r="A14" s="112" t="s">
        <v>623</v>
      </c>
      <c r="B14" s="113"/>
      <c r="C14" s="113"/>
      <c r="D14" s="95"/>
      <c r="E14" s="5"/>
      <c r="F14" s="5"/>
      <c r="G14" s="5"/>
    </row>
    <row r="15" spans="1:7">
      <c r="A15" s="96"/>
      <c r="B15" s="113">
        <f>B13-B14</f>
        <v>0</v>
      </c>
      <c r="C15" s="113">
        <f>C13-C14</f>
        <v>0</v>
      </c>
      <c r="D15" s="113">
        <f>D13-D14</f>
        <v>0</v>
      </c>
      <c r="E15" s="5"/>
      <c r="F15" s="5"/>
      <c r="G15" s="5"/>
    </row>
    <row r="16" spans="1:7">
      <c r="A16" s="23"/>
      <c r="B16" s="23" t="str">
        <f>IF(B15=0,"OK","NO")</f>
        <v>OK</v>
      </c>
      <c r="C16" s="23" t="str">
        <f>IF(C15=0,"OK","NO")</f>
        <v>OK</v>
      </c>
      <c r="D16" s="23" t="str">
        <f>IF(D15=0,"OK","NO")</f>
        <v>OK</v>
      </c>
      <c r="E16" s="5"/>
      <c r="F16" s="5"/>
      <c r="G16" s="5"/>
    </row>
    <row r="17" spans="1:7">
      <c r="A17" s="980" t="s">
        <v>2117</v>
      </c>
      <c r="B17" s="3"/>
      <c r="C17" s="3"/>
      <c r="D17" s="3"/>
      <c r="E17" s="5"/>
      <c r="F17" s="5"/>
      <c r="G17" s="5"/>
    </row>
    <row r="18" spans="1:7" ht="16.2">
      <c r="A18" s="472" t="s">
        <v>2103</v>
      </c>
      <c r="B18" s="251"/>
      <c r="C18" s="251"/>
      <c r="D18" s="251"/>
      <c r="E18" s="251"/>
      <c r="F18" s="251"/>
      <c r="G18" s="251"/>
    </row>
    <row r="19" spans="1:7">
      <c r="A19" s="1065" t="s">
        <v>2106</v>
      </c>
      <c r="B19" s="1063" t="s">
        <v>834</v>
      </c>
      <c r="C19" s="1063" t="s">
        <v>835</v>
      </c>
      <c r="D19" s="1063"/>
      <c r="E19" s="1063" t="s">
        <v>836</v>
      </c>
      <c r="F19" s="1063"/>
      <c r="G19" s="1063" t="s">
        <v>837</v>
      </c>
    </row>
    <row r="20" spans="1:7" ht="31.2">
      <c r="A20" s="1063"/>
      <c r="B20" s="1063"/>
      <c r="C20" s="935" t="s">
        <v>838</v>
      </c>
      <c r="D20" s="935" t="s">
        <v>839</v>
      </c>
      <c r="E20" s="987" t="s">
        <v>2138</v>
      </c>
      <c r="F20" s="935" t="s">
        <v>839</v>
      </c>
      <c r="G20" s="1063"/>
    </row>
    <row r="21" spans="1:7">
      <c r="A21" s="945"/>
      <c r="B21" s="133"/>
      <c r="C21" s="133"/>
      <c r="D21" s="133"/>
      <c r="E21" s="133"/>
      <c r="F21" s="133"/>
      <c r="G21" s="133"/>
    </row>
    <row r="22" spans="1:7">
      <c r="A22" s="945"/>
      <c r="B22" s="133"/>
      <c r="C22" s="12"/>
      <c r="D22" s="12"/>
      <c r="E22" s="12"/>
      <c r="F22" s="133"/>
      <c r="G22" s="133"/>
    </row>
    <row r="23" spans="1:7">
      <c r="A23" s="945"/>
      <c r="B23" s="133"/>
      <c r="C23" s="12"/>
      <c r="D23" s="12"/>
      <c r="E23" s="12"/>
      <c r="F23" s="133"/>
      <c r="G23" s="133"/>
    </row>
    <row r="24" spans="1:7">
      <c r="A24" s="945"/>
      <c r="B24" s="133"/>
      <c r="C24" s="12"/>
      <c r="D24" s="12"/>
      <c r="E24" s="12"/>
      <c r="F24" s="133"/>
      <c r="G24" s="133"/>
    </row>
    <row r="25" spans="1:7">
      <c r="A25" s="945"/>
      <c r="B25" s="133"/>
      <c r="C25" s="12"/>
      <c r="D25" s="12"/>
      <c r="E25" s="12"/>
      <c r="F25" s="133"/>
      <c r="G25" s="133"/>
    </row>
    <row r="26" spans="1:7">
      <c r="A26" s="945"/>
      <c r="B26" s="133"/>
      <c r="C26" s="133"/>
      <c r="D26" s="133"/>
      <c r="E26" s="133"/>
      <c r="F26" s="133"/>
      <c r="G26" s="133"/>
    </row>
    <row r="27" spans="1:7">
      <c r="A27" s="945" t="s">
        <v>632</v>
      </c>
      <c r="B27" s="14">
        <f>SUM(B21:B26)</f>
        <v>0</v>
      </c>
      <c r="C27" s="14">
        <f t="shared" ref="C27:G27" si="1">SUM(C21:C26)</f>
        <v>0</v>
      </c>
      <c r="D27" s="14">
        <f t="shared" si="1"/>
        <v>0</v>
      </c>
      <c r="E27" s="14">
        <f t="shared" si="1"/>
        <v>0</v>
      </c>
      <c r="F27" s="14">
        <f t="shared" si="1"/>
        <v>0</v>
      </c>
      <c r="G27" s="14">
        <f t="shared" si="1"/>
        <v>0</v>
      </c>
    </row>
    <row r="28" spans="1:7">
      <c r="A28" s="112" t="s">
        <v>623</v>
      </c>
      <c r="B28" s="124"/>
      <c r="C28" s="124"/>
      <c r="D28" s="108"/>
      <c r="E28" s="108"/>
      <c r="F28" s="108"/>
      <c r="G28" s="95">
        <f>C14</f>
        <v>0</v>
      </c>
    </row>
    <row r="29" spans="1:7">
      <c r="G29" s="23" t="str">
        <f>IF(G28=0,"OK","NO")</f>
        <v>OK</v>
      </c>
    </row>
  </sheetData>
  <mergeCells count="7">
    <mergeCell ref="G19:G20"/>
    <mergeCell ref="A5:A6"/>
    <mergeCell ref="B5:D5"/>
    <mergeCell ref="A19:A20"/>
    <mergeCell ref="B19:B20"/>
    <mergeCell ref="C19:D19"/>
    <mergeCell ref="E19:F19"/>
  </mergeCells>
  <phoneticPr fontId="78" type="noConversion"/>
  <hyperlinks>
    <hyperlink ref="D1" location="目录!A1" display="BACK"/>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I67"/>
  <sheetViews>
    <sheetView view="pageBreakPreview" zoomScale="90" zoomScaleNormal="100" zoomScaleSheetLayoutView="90" workbookViewId="0">
      <selection activeCell="B23" sqref="B23"/>
    </sheetView>
  </sheetViews>
  <sheetFormatPr defaultColWidth="9" defaultRowHeight="20.100000000000001" customHeight="1"/>
  <cols>
    <col min="1" max="1" width="34.59765625" style="312" customWidth="1"/>
    <col min="2" max="2" width="42.8984375" style="312" customWidth="1"/>
    <col min="3" max="4" width="20.59765625" style="312" customWidth="1"/>
    <col min="5" max="5" width="22.69921875" style="312" customWidth="1"/>
    <col min="6" max="16384" width="9" style="312"/>
  </cols>
  <sheetData>
    <row r="1" spans="1:9" ht="24.9" customHeight="1">
      <c r="A1" s="48" t="s">
        <v>145</v>
      </c>
      <c r="B1" s="49">
        <f>基础信息!B6</f>
        <v>0</v>
      </c>
      <c r="E1" s="483"/>
      <c r="G1" s="900" t="s">
        <v>146</v>
      </c>
    </row>
    <row r="2" spans="1:9" ht="24.9" customHeight="1">
      <c r="A2" s="48" t="s">
        <v>147</v>
      </c>
      <c r="B2" s="49">
        <f>基础信息!B9</f>
        <v>0</v>
      </c>
    </row>
    <row r="3" spans="1:9" s="313" customFormat="1" ht="24.9" customHeight="1">
      <c r="A3" s="341" t="s">
        <v>148</v>
      </c>
      <c r="B3" s="345" t="s">
        <v>851</v>
      </c>
      <c r="C3" s="312"/>
      <c r="D3" s="312"/>
      <c r="E3" s="312"/>
      <c r="F3" s="312"/>
      <c r="G3" s="312"/>
      <c r="H3" s="312"/>
      <c r="I3" s="312"/>
    </row>
    <row r="4" spans="1:9" s="313" customFormat="1" ht="20.100000000000001" customHeight="1">
      <c r="A4" s="312"/>
      <c r="B4" s="312"/>
      <c r="C4" s="312"/>
      <c r="D4" s="312"/>
      <c r="E4" s="312"/>
      <c r="F4" s="312"/>
      <c r="G4" s="312"/>
      <c r="H4" s="312"/>
      <c r="I4" s="312"/>
    </row>
    <row r="5" spans="1:9" s="313" customFormat="1" ht="20.100000000000001" customHeight="1">
      <c r="C5" s="110"/>
    </row>
    <row r="6" spans="1:9" s="110" customFormat="1" ht="20.100000000000001" customHeight="1">
      <c r="A6" s="225" t="s">
        <v>852</v>
      </c>
      <c r="B6" s="225" t="s">
        <v>773</v>
      </c>
      <c r="C6" s="1"/>
      <c r="D6" s="1"/>
      <c r="E6" s="1"/>
      <c r="F6" s="1"/>
    </row>
    <row r="7" spans="1:9" s="110" customFormat="1" ht="20.100000000000001" customHeight="1">
      <c r="A7" s="490" t="s">
        <v>853</v>
      </c>
      <c r="B7" s="227"/>
      <c r="C7" s="1"/>
      <c r="D7" s="1"/>
      <c r="E7" s="1"/>
      <c r="F7" s="1"/>
    </row>
    <row r="8" spans="1:9" s="110" customFormat="1" ht="20.100000000000001" customHeight="1">
      <c r="A8" s="490" t="s">
        <v>854</v>
      </c>
      <c r="B8" s="227"/>
      <c r="C8" s="1"/>
      <c r="D8" s="1"/>
      <c r="E8" s="1"/>
      <c r="F8" s="1"/>
    </row>
    <row r="9" spans="1:9" s="110" customFormat="1" ht="20.100000000000001" customHeight="1">
      <c r="A9" s="490" t="s">
        <v>855</v>
      </c>
      <c r="B9" s="227"/>
      <c r="C9" s="1"/>
      <c r="D9" s="1"/>
      <c r="E9" s="1"/>
      <c r="F9" s="1"/>
    </row>
    <row r="10" spans="1:9" s="110" customFormat="1" ht="20.100000000000001" customHeight="1">
      <c r="A10" s="227" t="s">
        <v>856</v>
      </c>
      <c r="B10" s="227"/>
      <c r="C10" s="1"/>
      <c r="D10" s="1"/>
      <c r="E10" s="1"/>
      <c r="F10" s="1"/>
    </row>
    <row r="11" spans="1:9" s="110" customFormat="1" ht="20.100000000000001" customHeight="1">
      <c r="A11" s="227" t="s">
        <v>857</v>
      </c>
      <c r="B11" s="227"/>
      <c r="C11" s="1"/>
      <c r="D11" s="1"/>
      <c r="E11" s="1"/>
      <c r="F11" s="1"/>
    </row>
    <row r="12" spans="1:9" s="110" customFormat="1" ht="20.100000000000001" customHeight="1">
      <c r="A12" s="227" t="s">
        <v>858</v>
      </c>
      <c r="B12" s="14">
        <f>SUM(B7:B11)</f>
        <v>0</v>
      </c>
      <c r="C12" s="1"/>
      <c r="D12" s="1"/>
      <c r="E12" s="1"/>
      <c r="F12" s="1"/>
    </row>
    <row r="13" spans="1:9" ht="20.100000000000001" customHeight="1">
      <c r="A13" s="112" t="s">
        <v>623</v>
      </c>
      <c r="B13" s="489"/>
      <c r="C13" s="1"/>
      <c r="D13" s="366"/>
      <c r="E13" s="366"/>
      <c r="F13" s="366"/>
    </row>
    <row r="14" spans="1:9" ht="20.100000000000001" customHeight="1">
      <c r="A14" s="112"/>
      <c r="B14" s="113">
        <f>B12-B13</f>
        <v>0</v>
      </c>
      <c r="C14" s="1"/>
      <c r="D14" s="366"/>
      <c r="E14" s="366"/>
      <c r="F14" s="366"/>
    </row>
    <row r="15" spans="1:9" ht="20.100000000000001" customHeight="1">
      <c r="A15" s="109"/>
      <c r="B15" s="23" t="str">
        <f>IF(B14=0,"OK","NO")</f>
        <v>OK</v>
      </c>
      <c r="C15" s="1"/>
      <c r="D15" s="366"/>
      <c r="E15" s="366"/>
      <c r="F15" s="366"/>
    </row>
    <row r="16" spans="1:9" ht="20.100000000000001" customHeight="1">
      <c r="A16" s="366"/>
      <c r="B16" s="366"/>
      <c r="C16" s="1"/>
      <c r="D16" s="366"/>
      <c r="E16" s="366"/>
      <c r="F16" s="366"/>
    </row>
    <row r="17" spans="1:9" s="110" customFormat="1" ht="20.100000000000001" customHeight="1">
      <c r="A17" s="225" t="s">
        <v>852</v>
      </c>
      <c r="B17" s="225" t="s">
        <v>773</v>
      </c>
      <c r="C17" s="1"/>
      <c r="D17" s="1"/>
      <c r="E17" s="1"/>
      <c r="F17" s="1"/>
    </row>
    <row r="18" spans="1:9" s="208" customFormat="1" ht="20.100000000000001" customHeight="1">
      <c r="A18" s="490" t="s">
        <v>859</v>
      </c>
      <c r="B18" s="227"/>
      <c r="C18" s="1"/>
      <c r="D18" s="1"/>
      <c r="E18" s="1"/>
      <c r="F18" s="1"/>
    </row>
    <row r="19" spans="1:9" s="110" customFormat="1" ht="20.100000000000001" customHeight="1">
      <c r="A19" s="490" t="s">
        <v>860</v>
      </c>
      <c r="B19" s="227"/>
      <c r="C19" s="1"/>
      <c r="D19" s="1"/>
      <c r="E19" s="1"/>
      <c r="F19" s="1"/>
      <c r="G19" s="5"/>
      <c r="H19" s="5"/>
      <c r="I19" s="5"/>
    </row>
    <row r="20" spans="1:9" s="110" customFormat="1" ht="20.100000000000001" customHeight="1">
      <c r="A20" s="227" t="s">
        <v>856</v>
      </c>
      <c r="B20" s="227"/>
      <c r="C20" s="1"/>
      <c r="D20" s="1"/>
      <c r="E20" s="1"/>
      <c r="F20" s="1"/>
      <c r="G20" s="5"/>
      <c r="H20" s="5"/>
      <c r="I20" s="5"/>
    </row>
    <row r="21" spans="1:9" s="5" customFormat="1" ht="20.100000000000001" customHeight="1">
      <c r="A21" s="227" t="s">
        <v>857</v>
      </c>
      <c r="B21" s="227"/>
      <c r="C21" s="1"/>
      <c r="D21" s="1"/>
      <c r="E21" s="1"/>
      <c r="F21" s="1"/>
    </row>
    <row r="22" spans="1:9" ht="20.100000000000001" customHeight="1">
      <c r="A22" s="282" t="s">
        <v>858</v>
      </c>
      <c r="B22" s="113">
        <f>SUM(B18:B21)</f>
        <v>0</v>
      </c>
      <c r="C22" s="1"/>
      <c r="D22" s="366"/>
      <c r="E22" s="366"/>
      <c r="F22" s="366"/>
    </row>
    <row r="23" spans="1:9" ht="20.100000000000001" customHeight="1">
      <c r="A23" s="112" t="s">
        <v>623</v>
      </c>
      <c r="B23" s="113"/>
      <c r="C23" s="1"/>
      <c r="D23" s="366"/>
      <c r="E23" s="366"/>
      <c r="F23" s="366"/>
    </row>
    <row r="24" spans="1:9" ht="20.100000000000001" customHeight="1">
      <c r="A24" s="112"/>
      <c r="B24" s="113">
        <f>B22-B23</f>
        <v>0</v>
      </c>
      <c r="C24" s="366"/>
      <c r="D24" s="366"/>
      <c r="E24" s="366"/>
      <c r="F24" s="366"/>
    </row>
    <row r="25" spans="1:9" ht="20.100000000000001" customHeight="1">
      <c r="A25" s="109"/>
      <c r="B25" s="23" t="str">
        <f>IF(B24=0,"OK","NO")</f>
        <v>OK</v>
      </c>
      <c r="C25" s="366"/>
      <c r="D25" s="366"/>
      <c r="E25" s="366"/>
      <c r="F25" s="366"/>
    </row>
    <row r="26" spans="1:9" ht="20.100000000000001" customHeight="1">
      <c r="A26" s="366"/>
      <c r="B26" s="366"/>
      <c r="C26" s="366"/>
      <c r="D26" s="366"/>
      <c r="E26" s="366"/>
      <c r="F26" s="366"/>
    </row>
    <row r="27" spans="1:9" ht="20.100000000000001" customHeight="1">
      <c r="A27" s="491" t="s">
        <v>861</v>
      </c>
      <c r="B27" s="366"/>
      <c r="C27" s="366"/>
      <c r="D27" s="366"/>
      <c r="E27" s="366"/>
      <c r="F27" s="366"/>
    </row>
    <row r="28" spans="1:9" ht="20.100000000000001" customHeight="1">
      <c r="A28" s="281" t="s">
        <v>862</v>
      </c>
      <c r="B28" s="366"/>
      <c r="C28" s="366"/>
      <c r="D28" s="366"/>
      <c r="E28" s="366"/>
      <c r="F28" s="366"/>
    </row>
    <row r="29" spans="1:9" ht="20.100000000000001" customHeight="1">
      <c r="A29" s="491" t="s">
        <v>863</v>
      </c>
      <c r="B29" s="366"/>
      <c r="C29" s="366"/>
      <c r="D29" s="366"/>
      <c r="E29" s="366"/>
      <c r="F29" s="366"/>
    </row>
    <row r="30" spans="1:9" ht="20.100000000000001" customHeight="1">
      <c r="A30" s="10" t="s">
        <v>729</v>
      </c>
      <c r="B30" s="10" t="s">
        <v>864</v>
      </c>
      <c r="C30" s="10" t="s">
        <v>865</v>
      </c>
      <c r="D30" s="10" t="s">
        <v>866</v>
      </c>
      <c r="E30" s="10" t="s">
        <v>867</v>
      </c>
      <c r="F30" s="366"/>
    </row>
    <row r="31" spans="1:9" ht="20.100000000000001" customHeight="1">
      <c r="A31" s="492"/>
      <c r="B31" s="492"/>
      <c r="C31" s="492"/>
      <c r="D31" s="492"/>
      <c r="E31" s="492"/>
      <c r="F31" s="366"/>
    </row>
    <row r="32" spans="1:9" ht="20.100000000000001" customHeight="1">
      <c r="A32" s="492"/>
      <c r="B32" s="492"/>
      <c r="C32" s="492"/>
      <c r="D32" s="492"/>
      <c r="E32" s="492"/>
      <c r="F32" s="201"/>
    </row>
    <row r="33" spans="1:6" ht="20.100000000000001" customHeight="1">
      <c r="A33" s="492"/>
      <c r="B33" s="492"/>
      <c r="C33" s="492"/>
      <c r="D33" s="492"/>
      <c r="E33" s="492"/>
      <c r="F33" s="201"/>
    </row>
    <row r="34" spans="1:6" ht="20.100000000000001" customHeight="1">
      <c r="A34" s="492"/>
      <c r="B34" s="492"/>
      <c r="C34" s="492"/>
      <c r="D34" s="492"/>
      <c r="E34" s="492"/>
      <c r="F34" s="201"/>
    </row>
    <row r="35" spans="1:6" ht="20.100000000000001" customHeight="1">
      <c r="A35" s="492" t="s">
        <v>632</v>
      </c>
      <c r="B35" s="492"/>
      <c r="C35" s="492"/>
      <c r="D35" s="492"/>
      <c r="E35" s="492"/>
      <c r="F35" s="201"/>
    </row>
    <row r="36" spans="1:6" ht="20.100000000000001" customHeight="1">
      <c r="A36" s="201"/>
      <c r="B36" s="201"/>
      <c r="C36" s="201"/>
      <c r="D36" s="201"/>
      <c r="E36" s="201"/>
      <c r="F36" s="201"/>
    </row>
    <row r="37" spans="1:6" ht="20.100000000000001" customHeight="1">
      <c r="A37" s="80" t="s">
        <v>868</v>
      </c>
      <c r="B37" s="201"/>
      <c r="C37" s="201"/>
      <c r="D37" s="201"/>
      <c r="E37" s="201"/>
      <c r="F37" s="201"/>
    </row>
    <row r="38" spans="1:6" ht="20.100000000000001" customHeight="1">
      <c r="A38" s="80" t="s">
        <v>869</v>
      </c>
      <c r="B38" s="201"/>
      <c r="C38" s="201"/>
      <c r="D38" s="201"/>
      <c r="E38" s="201"/>
      <c r="F38" s="201"/>
    </row>
    <row r="39" spans="1:6" ht="20.100000000000001" customHeight="1">
      <c r="A39" s="10" t="s">
        <v>729</v>
      </c>
      <c r="B39" s="10" t="s">
        <v>864</v>
      </c>
      <c r="C39" s="10" t="s">
        <v>865</v>
      </c>
      <c r="D39" s="10" t="s">
        <v>866</v>
      </c>
      <c r="E39" s="10" t="s">
        <v>867</v>
      </c>
      <c r="F39" s="201"/>
    </row>
    <row r="40" spans="1:6" ht="20.100000000000001" customHeight="1">
      <c r="A40" s="493" t="s">
        <v>855</v>
      </c>
      <c r="B40" s="492"/>
      <c r="C40" s="492"/>
      <c r="D40" s="492"/>
      <c r="E40" s="492"/>
      <c r="F40" s="201"/>
    </row>
    <row r="41" spans="1:6" ht="20.100000000000001" customHeight="1">
      <c r="A41" s="492" t="s">
        <v>37</v>
      </c>
      <c r="B41" s="492"/>
      <c r="C41" s="492"/>
      <c r="D41" s="492"/>
      <c r="E41" s="492"/>
      <c r="F41" s="201"/>
    </row>
    <row r="42" spans="1:6" ht="20.100000000000001" customHeight="1">
      <c r="A42" s="492"/>
      <c r="B42" s="492"/>
      <c r="C42" s="492"/>
      <c r="D42" s="492"/>
      <c r="E42" s="492"/>
      <c r="F42" s="201"/>
    </row>
    <row r="43" spans="1:6" ht="20.100000000000001" customHeight="1">
      <c r="A43" s="492" t="s">
        <v>188</v>
      </c>
      <c r="B43" s="492"/>
      <c r="C43" s="492"/>
      <c r="D43" s="492"/>
      <c r="E43" s="492"/>
      <c r="F43" s="201"/>
    </row>
    <row r="44" spans="1:6" ht="20.100000000000001" customHeight="1">
      <c r="A44" s="492" t="s">
        <v>870</v>
      </c>
      <c r="B44" s="492"/>
      <c r="C44" s="492"/>
      <c r="D44" s="492"/>
      <c r="E44" s="492"/>
      <c r="F44" s="201"/>
    </row>
    <row r="45" spans="1:6" ht="20.100000000000001" customHeight="1">
      <c r="A45" s="492"/>
      <c r="B45" s="492"/>
      <c r="C45" s="492"/>
      <c r="D45" s="494"/>
      <c r="E45" s="492"/>
      <c r="F45" s="201"/>
    </row>
    <row r="46" spans="1:6" ht="20.100000000000001" customHeight="1">
      <c r="A46" s="493" t="s">
        <v>860</v>
      </c>
      <c r="B46" s="492"/>
      <c r="C46" s="492"/>
      <c r="D46" s="492"/>
      <c r="E46" s="492"/>
      <c r="F46" s="201"/>
    </row>
    <row r="47" spans="1:6" ht="20.100000000000001" customHeight="1">
      <c r="A47" s="492" t="s">
        <v>871</v>
      </c>
      <c r="B47" s="492"/>
      <c r="C47" s="492"/>
      <c r="D47" s="492"/>
      <c r="E47" s="492"/>
      <c r="F47" s="201"/>
    </row>
    <row r="48" spans="1:6" ht="20.100000000000001" customHeight="1">
      <c r="A48" s="492" t="s">
        <v>202</v>
      </c>
      <c r="B48" s="492"/>
      <c r="C48" s="492"/>
      <c r="D48" s="492"/>
      <c r="E48" s="492"/>
      <c r="F48" s="201"/>
    </row>
    <row r="49" spans="1:6" ht="20.100000000000001" customHeight="1">
      <c r="A49" s="492" t="s">
        <v>870</v>
      </c>
      <c r="B49" s="492"/>
      <c r="C49" s="492"/>
      <c r="D49" s="492"/>
      <c r="E49" s="492"/>
      <c r="F49" s="201"/>
    </row>
    <row r="50" spans="1:6" ht="20.100000000000001" customHeight="1">
      <c r="A50" s="201"/>
      <c r="B50" s="201"/>
      <c r="C50" s="201"/>
      <c r="D50" s="201"/>
      <c r="E50" s="201"/>
      <c r="F50" s="201"/>
    </row>
    <row r="51" spans="1:6" ht="20.100000000000001" customHeight="1">
      <c r="A51" s="80" t="s">
        <v>872</v>
      </c>
      <c r="B51" s="201"/>
      <c r="C51" s="201"/>
      <c r="D51" s="201"/>
      <c r="E51" s="201"/>
      <c r="F51" s="201"/>
    </row>
    <row r="52" spans="1:6" ht="20.100000000000001" customHeight="1">
      <c r="A52" s="10" t="s">
        <v>729</v>
      </c>
      <c r="B52" s="10" t="s">
        <v>864</v>
      </c>
      <c r="C52" s="10" t="s">
        <v>865</v>
      </c>
      <c r="D52" s="10" t="s">
        <v>866</v>
      </c>
      <c r="E52" s="10" t="s">
        <v>867</v>
      </c>
      <c r="F52" s="201"/>
    </row>
    <row r="53" spans="1:6" ht="20.100000000000001" customHeight="1">
      <c r="A53" s="493" t="s">
        <v>855</v>
      </c>
      <c r="B53" s="492"/>
      <c r="C53" s="492"/>
      <c r="D53" s="492"/>
      <c r="E53" s="492"/>
      <c r="F53" s="201"/>
    </row>
    <row r="54" spans="1:6" ht="20.100000000000001" customHeight="1">
      <c r="A54" s="492" t="s">
        <v>37</v>
      </c>
      <c r="B54" s="492"/>
      <c r="C54" s="492"/>
      <c r="D54" s="492"/>
      <c r="E54" s="492"/>
      <c r="F54" s="201"/>
    </row>
    <row r="55" spans="1:6" ht="20.100000000000001" customHeight="1">
      <c r="A55" s="492"/>
      <c r="B55" s="492"/>
      <c r="C55" s="492"/>
      <c r="D55" s="492"/>
      <c r="E55" s="492"/>
      <c r="F55" s="201"/>
    </row>
    <row r="56" spans="1:6" ht="20.100000000000001" customHeight="1">
      <c r="A56" s="492" t="s">
        <v>188</v>
      </c>
      <c r="B56" s="492"/>
      <c r="C56" s="492"/>
      <c r="D56" s="492"/>
      <c r="E56" s="492"/>
      <c r="F56" s="201"/>
    </row>
    <row r="57" spans="1:6" ht="20.100000000000001" customHeight="1">
      <c r="A57" s="492" t="s">
        <v>870</v>
      </c>
      <c r="B57" s="492"/>
      <c r="C57" s="492"/>
      <c r="D57" s="492"/>
      <c r="E57" s="492"/>
      <c r="F57" s="201"/>
    </row>
    <row r="58" spans="1:6" ht="20.100000000000001" customHeight="1">
      <c r="A58" s="492"/>
      <c r="B58" s="492"/>
      <c r="C58" s="492"/>
      <c r="D58" s="492"/>
      <c r="E58" s="492"/>
      <c r="F58" s="201"/>
    </row>
    <row r="59" spans="1:6" ht="20.100000000000001" customHeight="1">
      <c r="A59" s="493" t="s">
        <v>860</v>
      </c>
      <c r="B59" s="492"/>
      <c r="C59" s="492"/>
      <c r="D59" s="492"/>
      <c r="E59" s="492"/>
      <c r="F59" s="201"/>
    </row>
    <row r="60" spans="1:6" ht="20.100000000000001" customHeight="1">
      <c r="A60" s="492" t="s">
        <v>871</v>
      </c>
      <c r="B60" s="492"/>
      <c r="C60" s="492"/>
      <c r="D60" s="492"/>
      <c r="E60" s="492"/>
      <c r="F60" s="201"/>
    </row>
    <row r="61" spans="1:6" ht="20.100000000000001" customHeight="1">
      <c r="A61" s="492" t="s">
        <v>202</v>
      </c>
      <c r="B61" s="492"/>
      <c r="C61" s="492"/>
      <c r="D61" s="492"/>
      <c r="E61" s="492"/>
      <c r="F61" s="201"/>
    </row>
    <row r="62" spans="1:6" ht="20.100000000000001" customHeight="1">
      <c r="A62" s="492" t="s">
        <v>870</v>
      </c>
      <c r="B62" s="492"/>
      <c r="C62" s="492"/>
      <c r="D62" s="492"/>
      <c r="E62" s="492"/>
      <c r="F62" s="201"/>
    </row>
    <row r="63" spans="1:6" ht="20.100000000000001" customHeight="1">
      <c r="A63" s="495"/>
      <c r="B63" s="495"/>
      <c r="C63" s="495"/>
      <c r="D63" s="495"/>
      <c r="E63" s="495"/>
      <c r="F63" s="201"/>
    </row>
    <row r="64" spans="1:6" ht="28.5" customHeight="1">
      <c r="A64" s="1066" t="s">
        <v>873</v>
      </c>
      <c r="B64" s="1066"/>
      <c r="C64" s="1066"/>
      <c r="D64" s="1066"/>
      <c r="E64" s="1066"/>
      <c r="F64" s="201"/>
    </row>
    <row r="65" spans="1:6" ht="36.75" customHeight="1">
      <c r="A65" s="1066" t="s">
        <v>874</v>
      </c>
      <c r="B65" s="1066"/>
      <c r="C65" s="1066"/>
      <c r="D65" s="1066"/>
      <c r="E65" s="1066"/>
      <c r="F65" s="201"/>
    </row>
    <row r="66" spans="1:6" ht="20.100000000000001" customHeight="1">
      <c r="A66" s="495"/>
      <c r="B66" s="495"/>
      <c r="C66" s="495"/>
      <c r="D66" s="495"/>
      <c r="E66" s="495"/>
      <c r="F66" s="201"/>
    </row>
    <row r="67" spans="1:6" ht="20.100000000000001" customHeight="1">
      <c r="A67" s="495"/>
      <c r="B67" s="495"/>
      <c r="C67" s="495"/>
      <c r="D67" s="495"/>
      <c r="E67" s="495"/>
      <c r="F67" s="201"/>
    </row>
  </sheetData>
  <mergeCells count="2">
    <mergeCell ref="A64:E64"/>
    <mergeCell ref="A65:E65"/>
  </mergeCells>
  <phoneticPr fontId="78" type="noConversion"/>
  <hyperlinks>
    <hyperlink ref="G1" location="目录!A1" display="BACK"/>
  </hyperlinks>
  <pageMargins left="0.70763888888888904" right="0.70763888888888904" top="0.74791666666666701" bottom="0.74791666666666701" header="0.31388888888888899" footer="0.31388888888888899"/>
  <pageSetup paperSize="9" scale="48" orientation="portrait" blackAndWhite="1"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I65"/>
  <sheetViews>
    <sheetView view="pageBreakPreview" zoomScaleNormal="100" zoomScaleSheetLayoutView="100" workbookViewId="0">
      <selection activeCell="B13" sqref="B13"/>
    </sheetView>
  </sheetViews>
  <sheetFormatPr defaultColWidth="9" defaultRowHeight="20.100000000000001" customHeight="1"/>
  <cols>
    <col min="1" max="1" width="34.59765625" style="312" customWidth="1"/>
    <col min="2" max="2" width="33.19921875" style="312" customWidth="1"/>
    <col min="3" max="4" width="20.59765625" style="312" customWidth="1"/>
    <col min="5" max="5" width="22.69921875" style="312" customWidth="1"/>
    <col min="6" max="16384" width="9" style="312"/>
  </cols>
  <sheetData>
    <row r="1" spans="1:9" ht="24.9" customHeight="1">
      <c r="A1" s="48" t="s">
        <v>145</v>
      </c>
      <c r="B1" s="49">
        <f>基础信息!B6</f>
        <v>0</v>
      </c>
      <c r="D1" s="900" t="s">
        <v>146</v>
      </c>
      <c r="E1" s="483"/>
    </row>
    <row r="2" spans="1:9" ht="24.75" customHeight="1">
      <c r="A2" s="48" t="s">
        <v>147</v>
      </c>
      <c r="B2" s="49">
        <f>基础信息!B9</f>
        <v>0</v>
      </c>
    </row>
    <row r="3" spans="1:9" s="313" customFormat="1" ht="24.75" customHeight="1">
      <c r="A3" s="341" t="s">
        <v>148</v>
      </c>
      <c r="B3" s="341" t="s">
        <v>875</v>
      </c>
      <c r="C3" s="312"/>
      <c r="D3" s="312"/>
      <c r="E3" s="312"/>
      <c r="F3" s="312"/>
      <c r="G3" s="312"/>
      <c r="H3" s="312"/>
      <c r="I3" s="312"/>
    </row>
    <row r="4" spans="1:9" s="313" customFormat="1" ht="20.100000000000001" customHeight="1">
      <c r="A4" s="312"/>
      <c r="B4" s="312"/>
      <c r="C4" s="312"/>
      <c r="D4" s="312"/>
      <c r="E4" s="312"/>
      <c r="F4" s="312"/>
      <c r="G4" s="312"/>
      <c r="H4" s="312"/>
      <c r="I4" s="312"/>
    </row>
    <row r="5" spans="1:9" s="313" customFormat="1" ht="20.100000000000001" customHeight="1">
      <c r="A5" s="312"/>
      <c r="B5" s="312"/>
      <c r="C5" s="110"/>
    </row>
    <row r="6" spans="1:9" s="110" customFormat="1" ht="20.100000000000001" customHeight="1">
      <c r="A6" s="201" t="s">
        <v>876</v>
      </c>
      <c r="B6" s="201"/>
    </row>
    <row r="7" spans="1:9" s="110" customFormat="1" ht="20.100000000000001" customHeight="1">
      <c r="A7" s="225" t="s">
        <v>877</v>
      </c>
      <c r="B7" s="225" t="s">
        <v>773</v>
      </c>
    </row>
    <row r="8" spans="1:9" s="110" customFormat="1" ht="20.100000000000001" customHeight="1">
      <c r="A8" s="358" t="s">
        <v>878</v>
      </c>
      <c r="B8" s="282"/>
    </row>
    <row r="9" spans="1:9" s="110" customFormat="1" ht="20.100000000000001" customHeight="1">
      <c r="A9" s="358" t="s">
        <v>879</v>
      </c>
      <c r="B9" s="282"/>
    </row>
    <row r="10" spans="1:9" s="110" customFormat="1" ht="20.100000000000001" customHeight="1">
      <c r="A10" s="358" t="s">
        <v>880</v>
      </c>
      <c r="B10" s="282"/>
    </row>
    <row r="11" spans="1:9" s="110" customFormat="1" ht="20.100000000000001" customHeight="1">
      <c r="A11" s="358" t="s">
        <v>881</v>
      </c>
      <c r="B11" s="282"/>
    </row>
    <row r="12" spans="1:9" s="110" customFormat="1" ht="20.100000000000001" customHeight="1">
      <c r="A12" s="282" t="s">
        <v>882</v>
      </c>
      <c r="B12" s="84">
        <f>SUM(B8:B11)</f>
        <v>0</v>
      </c>
    </row>
    <row r="13" spans="1:9" ht="20.100000000000001" customHeight="1">
      <c r="A13" s="112" t="s">
        <v>623</v>
      </c>
      <c r="B13" s="489"/>
      <c r="C13" s="110"/>
      <c r="D13" s="313"/>
      <c r="E13" s="313"/>
      <c r="F13" s="313"/>
    </row>
    <row r="14" spans="1:9" ht="20.100000000000001" customHeight="1">
      <c r="A14" s="112"/>
      <c r="B14" s="113">
        <f>B16-B13</f>
        <v>0</v>
      </c>
      <c r="C14" s="110"/>
      <c r="D14" s="313"/>
      <c r="E14" s="313"/>
      <c r="F14" s="313"/>
    </row>
    <row r="15" spans="1:9" ht="20.100000000000001" customHeight="1">
      <c r="A15" s="109"/>
      <c r="B15" s="23" t="str">
        <f>IF(B14=0,"OK","NO")</f>
        <v>OK</v>
      </c>
      <c r="C15" s="110"/>
      <c r="D15" s="313"/>
      <c r="E15" s="313"/>
      <c r="F15" s="313"/>
    </row>
    <row r="16" spans="1:9" ht="20.100000000000001" customHeight="1">
      <c r="A16" s="479" t="s">
        <v>883</v>
      </c>
      <c r="B16" s="201"/>
      <c r="C16" s="110"/>
      <c r="D16" s="313"/>
      <c r="E16" s="313"/>
      <c r="F16" s="313"/>
    </row>
    <row r="17" spans="1:9" s="110" customFormat="1" ht="20.100000000000001" customHeight="1">
      <c r="A17" s="312"/>
      <c r="B17" s="312"/>
    </row>
    <row r="18" spans="1:9" s="208" customFormat="1" ht="57" customHeight="1">
      <c r="A18" s="1067" t="s">
        <v>2136</v>
      </c>
      <c r="B18" s="1067"/>
      <c r="C18" s="1067"/>
      <c r="D18" s="110"/>
      <c r="E18" s="110"/>
      <c r="F18" s="110"/>
    </row>
    <row r="19" spans="1:9" s="110" customFormat="1" ht="13.8">
      <c r="A19" s="312"/>
      <c r="B19" s="312"/>
      <c r="G19" s="5"/>
      <c r="H19" s="5"/>
      <c r="I19" s="5"/>
    </row>
    <row r="20" spans="1:9" s="110" customFormat="1" ht="13.8">
      <c r="A20" s="312"/>
      <c r="B20" s="312"/>
      <c r="G20" s="5"/>
      <c r="H20" s="5"/>
      <c r="I20" s="5"/>
    </row>
    <row r="21" spans="1:9" s="5" customFormat="1" ht="13.8">
      <c r="A21" s="312"/>
      <c r="B21" s="312"/>
      <c r="C21" s="110"/>
      <c r="D21" s="110"/>
      <c r="E21" s="110"/>
      <c r="F21" s="110"/>
    </row>
    <row r="22" spans="1:9" ht="13.8">
      <c r="C22" s="110"/>
      <c r="D22" s="313"/>
      <c r="E22" s="313"/>
      <c r="F22" s="313"/>
    </row>
    <row r="23" spans="1:9" ht="20.100000000000001" customHeight="1">
      <c r="C23" s="110"/>
      <c r="D23" s="313"/>
      <c r="E23" s="313"/>
      <c r="F23" s="313"/>
    </row>
    <row r="24" spans="1:9" ht="20.100000000000001" customHeight="1">
      <c r="C24" s="313"/>
      <c r="D24" s="313"/>
      <c r="E24" s="313"/>
      <c r="F24" s="313"/>
    </row>
    <row r="25" spans="1:9" ht="20.100000000000001" customHeight="1">
      <c r="C25" s="313"/>
      <c r="D25" s="313"/>
      <c r="E25" s="313"/>
      <c r="F25" s="313"/>
    </row>
    <row r="26" spans="1:9" ht="20.100000000000001" customHeight="1">
      <c r="C26" s="313"/>
      <c r="D26" s="313"/>
      <c r="E26" s="313"/>
      <c r="F26" s="313"/>
    </row>
    <row r="27" spans="1:9" ht="20.100000000000001" customHeight="1">
      <c r="C27" s="313"/>
      <c r="D27" s="313"/>
      <c r="E27" s="313"/>
      <c r="F27" s="313"/>
    </row>
    <row r="28" spans="1:9" ht="20.100000000000001" customHeight="1">
      <c r="C28" s="313"/>
      <c r="D28" s="313"/>
      <c r="E28" s="313"/>
      <c r="F28" s="313"/>
    </row>
    <row r="29" spans="1:9" ht="20.100000000000001" customHeight="1">
      <c r="C29" s="313"/>
      <c r="D29" s="313"/>
      <c r="E29" s="313"/>
      <c r="F29" s="313"/>
    </row>
    <row r="30" spans="1:9" ht="20.100000000000001" customHeight="1">
      <c r="C30" s="313"/>
      <c r="D30" s="313"/>
      <c r="E30" s="313"/>
      <c r="F30" s="313"/>
    </row>
    <row r="31" spans="1:9" ht="20.100000000000001" customHeight="1">
      <c r="C31" s="313"/>
      <c r="D31" s="313"/>
      <c r="E31" s="313"/>
      <c r="F31" s="313"/>
    </row>
    <row r="32" spans="1:9" ht="20.100000000000001" customHeight="1">
      <c r="C32" s="313"/>
      <c r="D32" s="313"/>
      <c r="E32" s="313"/>
      <c r="F32" s="313"/>
    </row>
    <row r="33" spans="3:6" ht="13.8">
      <c r="C33" s="313"/>
      <c r="D33" s="313"/>
      <c r="E33" s="313"/>
      <c r="F33" s="313"/>
    </row>
    <row r="34" spans="3:6" ht="13.8">
      <c r="C34" s="313"/>
      <c r="D34" s="313"/>
      <c r="E34" s="313"/>
      <c r="F34" s="313"/>
    </row>
    <row r="35" spans="3:6" ht="13.8">
      <c r="C35" s="313"/>
      <c r="D35" s="313"/>
      <c r="E35" s="313"/>
      <c r="F35" s="313"/>
    </row>
    <row r="36" spans="3:6" ht="20.100000000000001" customHeight="1">
      <c r="C36" s="313"/>
      <c r="D36" s="313"/>
      <c r="E36" s="313"/>
      <c r="F36" s="313"/>
    </row>
    <row r="37" spans="3:6" ht="13.8">
      <c r="C37" s="313"/>
      <c r="D37" s="313"/>
      <c r="E37" s="313"/>
      <c r="F37" s="313"/>
    </row>
    <row r="38" spans="3:6" ht="13.8">
      <c r="C38" s="313"/>
      <c r="D38" s="313"/>
      <c r="E38" s="313"/>
      <c r="F38" s="313"/>
    </row>
    <row r="39" spans="3:6" ht="13.8">
      <c r="C39" s="313"/>
      <c r="D39" s="313"/>
      <c r="E39" s="313"/>
      <c r="F39" s="313"/>
    </row>
    <row r="40" spans="3:6" ht="13.8">
      <c r="C40" s="313"/>
      <c r="D40" s="313"/>
      <c r="E40" s="313"/>
      <c r="F40" s="313"/>
    </row>
    <row r="41" spans="3:6" ht="13.8">
      <c r="C41" s="313"/>
      <c r="D41" s="313"/>
      <c r="E41" s="313"/>
      <c r="F41" s="313"/>
    </row>
    <row r="42" spans="3:6" ht="13.8">
      <c r="C42" s="313"/>
      <c r="D42" s="313"/>
      <c r="E42" s="313"/>
      <c r="F42" s="313"/>
    </row>
    <row r="43" spans="3:6" ht="13.8">
      <c r="C43" s="313"/>
      <c r="D43" s="313"/>
      <c r="E43" s="313"/>
      <c r="F43" s="313"/>
    </row>
    <row r="44" spans="3:6" ht="13.8">
      <c r="C44" s="313"/>
      <c r="D44" s="313"/>
      <c r="E44" s="313"/>
      <c r="F44" s="313"/>
    </row>
    <row r="45" spans="3:6" ht="13.8">
      <c r="C45" s="313"/>
      <c r="D45" s="313"/>
      <c r="E45" s="313"/>
      <c r="F45" s="313"/>
    </row>
    <row r="46" spans="3:6" ht="13.8">
      <c r="C46" s="313"/>
      <c r="D46" s="313"/>
      <c r="E46" s="313"/>
      <c r="F46" s="313"/>
    </row>
    <row r="47" spans="3:6" ht="13.8">
      <c r="C47" s="313"/>
      <c r="D47" s="313"/>
      <c r="E47" s="313"/>
      <c r="F47" s="313"/>
    </row>
    <row r="48" spans="3:6" ht="13.8">
      <c r="C48" s="313"/>
      <c r="D48" s="313"/>
      <c r="E48" s="313"/>
      <c r="F48" s="313"/>
    </row>
    <row r="49" spans="3:6" ht="13.8">
      <c r="C49" s="313"/>
      <c r="D49" s="313"/>
      <c r="E49" s="313"/>
      <c r="F49" s="313"/>
    </row>
    <row r="50" spans="3:6" ht="20.100000000000001" customHeight="1">
      <c r="C50" s="313"/>
      <c r="D50" s="313"/>
      <c r="E50" s="313"/>
      <c r="F50" s="313"/>
    </row>
    <row r="51" spans="3:6" ht="13.8">
      <c r="C51" s="313"/>
      <c r="D51" s="313"/>
      <c r="E51" s="313"/>
      <c r="F51" s="313"/>
    </row>
    <row r="52" spans="3:6" ht="13.8">
      <c r="C52" s="313"/>
      <c r="D52" s="313"/>
      <c r="E52" s="313"/>
      <c r="F52" s="313"/>
    </row>
    <row r="53" spans="3:6" ht="13.8">
      <c r="C53" s="313"/>
      <c r="D53" s="313"/>
      <c r="E53" s="313"/>
      <c r="F53" s="313"/>
    </row>
    <row r="54" spans="3:6" ht="13.8">
      <c r="C54" s="313"/>
      <c r="D54" s="313"/>
      <c r="E54" s="313"/>
      <c r="F54" s="313"/>
    </row>
    <row r="55" spans="3:6" ht="13.8">
      <c r="C55" s="313"/>
      <c r="D55" s="313"/>
      <c r="E55" s="313"/>
      <c r="F55" s="313"/>
    </row>
    <row r="56" spans="3:6" ht="13.8">
      <c r="C56" s="313"/>
      <c r="D56" s="313"/>
      <c r="E56" s="313"/>
      <c r="F56" s="313"/>
    </row>
    <row r="57" spans="3:6" ht="13.8">
      <c r="C57" s="313"/>
      <c r="D57" s="313"/>
      <c r="E57" s="313"/>
      <c r="F57" s="313"/>
    </row>
    <row r="58" spans="3:6" ht="13.8">
      <c r="C58" s="313"/>
      <c r="D58" s="313"/>
      <c r="E58" s="313"/>
      <c r="F58" s="313"/>
    </row>
    <row r="59" spans="3:6" ht="13.8">
      <c r="C59" s="313"/>
      <c r="D59" s="313"/>
      <c r="E59" s="313"/>
      <c r="F59" s="313"/>
    </row>
    <row r="60" spans="3:6" ht="13.8">
      <c r="C60" s="313"/>
      <c r="D60" s="313"/>
      <c r="E60" s="313"/>
      <c r="F60" s="313"/>
    </row>
    <row r="61" spans="3:6" ht="13.8">
      <c r="C61" s="313"/>
      <c r="D61" s="313"/>
      <c r="E61" s="313"/>
      <c r="F61" s="313"/>
    </row>
    <row r="62" spans="3:6" ht="13.8">
      <c r="C62" s="313"/>
      <c r="D62" s="313"/>
      <c r="E62" s="313"/>
      <c r="F62" s="313"/>
    </row>
    <row r="63" spans="3:6" ht="20.100000000000001" customHeight="1">
      <c r="C63" s="313"/>
      <c r="D63" s="313"/>
      <c r="E63" s="313"/>
      <c r="F63" s="313"/>
    </row>
    <row r="64" spans="3:6" ht="20.100000000000001" customHeight="1">
      <c r="C64" s="313"/>
      <c r="D64" s="313"/>
      <c r="E64" s="313"/>
      <c r="F64" s="313"/>
    </row>
    <row r="65" spans="3:6" ht="20.100000000000001" customHeight="1">
      <c r="C65" s="313"/>
      <c r="D65" s="313"/>
      <c r="E65" s="313"/>
      <c r="F65" s="313"/>
    </row>
  </sheetData>
  <mergeCells count="1">
    <mergeCell ref="A18:C18"/>
  </mergeCells>
  <phoneticPr fontId="78" type="noConversion"/>
  <hyperlinks>
    <hyperlink ref="D1" location="目录!A1" display="BACK"/>
  </hyperlinks>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I15"/>
  <sheetViews>
    <sheetView view="pageBreakPreview" zoomScaleNormal="100" zoomScaleSheetLayoutView="100" workbookViewId="0">
      <selection activeCell="B13" sqref="B13"/>
    </sheetView>
  </sheetViews>
  <sheetFormatPr defaultColWidth="9" defaultRowHeight="20.100000000000001" customHeight="1"/>
  <cols>
    <col min="1" max="1" width="20.3984375" style="312" customWidth="1"/>
    <col min="2" max="2" width="28.5" style="312" customWidth="1"/>
    <col min="3" max="3" width="24.59765625" style="312" customWidth="1"/>
    <col min="4" max="4" width="19.59765625" style="312" customWidth="1"/>
    <col min="5" max="5" width="14.8984375" style="312" customWidth="1"/>
    <col min="6" max="6" width="9" style="312"/>
    <col min="7" max="7" width="13" style="312" customWidth="1"/>
    <col min="8" max="8" width="12.69921875" style="312" customWidth="1"/>
    <col min="9" max="16384" width="9" style="312"/>
  </cols>
  <sheetData>
    <row r="1" spans="1:9" ht="20.100000000000001" customHeight="1">
      <c r="A1" s="48" t="s">
        <v>145</v>
      </c>
      <c r="B1" s="49">
        <f>基础信息!B6</f>
        <v>0</v>
      </c>
      <c r="D1" s="900" t="s">
        <v>146</v>
      </c>
      <c r="E1" s="483"/>
    </row>
    <row r="2" spans="1:9" ht="20.100000000000001" customHeight="1">
      <c r="A2" s="48" t="s">
        <v>147</v>
      </c>
      <c r="B2" s="49">
        <f>基础信息!B9</f>
        <v>0</v>
      </c>
    </row>
    <row r="3" spans="1:9" s="313" customFormat="1" ht="20.100000000000001" customHeight="1">
      <c r="A3" s="341" t="s">
        <v>148</v>
      </c>
      <c r="B3" s="341" t="s">
        <v>884</v>
      </c>
      <c r="C3" s="312"/>
      <c r="D3" s="312"/>
      <c r="E3" s="312"/>
      <c r="F3" s="312"/>
      <c r="G3" s="312"/>
      <c r="H3" s="312"/>
      <c r="I3" s="312"/>
    </row>
    <row r="4" spans="1:9" s="313" customFormat="1" ht="20.100000000000001" customHeight="1">
      <c r="A4" s="484" t="s">
        <v>885</v>
      </c>
      <c r="B4" s="484" t="s">
        <v>886</v>
      </c>
      <c r="C4" s="485"/>
    </row>
    <row r="5" spans="1:9" s="313" customFormat="1" ht="20.100000000000001" customHeight="1">
      <c r="A5" s="486" t="s">
        <v>887</v>
      </c>
      <c r="B5" s="486"/>
      <c r="C5" s="485"/>
    </row>
    <row r="6" spans="1:9" s="313" customFormat="1" ht="20.100000000000001" customHeight="1">
      <c r="A6" s="486" t="s">
        <v>888</v>
      </c>
      <c r="B6" s="486"/>
      <c r="C6" s="485"/>
    </row>
    <row r="7" spans="1:9" s="313" customFormat="1" ht="20.100000000000001" customHeight="1">
      <c r="A7" s="486" t="s">
        <v>889</v>
      </c>
      <c r="B7" s="486"/>
      <c r="C7" s="485"/>
    </row>
    <row r="8" spans="1:9" s="313" customFormat="1" ht="20.100000000000001" customHeight="1">
      <c r="A8" s="486" t="s">
        <v>890</v>
      </c>
      <c r="B8" s="486"/>
      <c r="C8" s="485"/>
    </row>
    <row r="9" spans="1:9" s="313" customFormat="1" ht="20.100000000000001" customHeight="1">
      <c r="A9" s="985" t="s">
        <v>2127</v>
      </c>
      <c r="B9" s="486"/>
      <c r="C9" s="485"/>
    </row>
    <row r="10" spans="1:9" s="313" customFormat="1" ht="20.100000000000001" customHeight="1">
      <c r="A10" s="985" t="s">
        <v>2128</v>
      </c>
      <c r="B10" s="486"/>
      <c r="C10" s="485"/>
    </row>
    <row r="11" spans="1:9" s="313" customFormat="1" ht="20.100000000000001" customHeight="1">
      <c r="A11" s="985" t="s">
        <v>2129</v>
      </c>
      <c r="B11" s="486"/>
      <c r="C11" s="485"/>
    </row>
    <row r="12" spans="1:9" s="313" customFormat="1" ht="20.100000000000001" customHeight="1">
      <c r="A12" s="486" t="s">
        <v>891</v>
      </c>
      <c r="B12" s="84">
        <f>SUM(B5:B11)</f>
        <v>0</v>
      </c>
      <c r="C12" s="487"/>
      <c r="D12" s="488"/>
    </row>
    <row r="13" spans="1:9" s="313" customFormat="1" ht="20.100000000000001" customHeight="1">
      <c r="A13" s="219" t="s">
        <v>623</v>
      </c>
      <c r="B13" s="220"/>
      <c r="C13" s="485"/>
    </row>
    <row r="14" spans="1:9" s="313" customFormat="1" ht="20.100000000000001" customHeight="1">
      <c r="A14" s="328"/>
      <c r="B14" s="220">
        <f>B12-B13</f>
        <v>0</v>
      </c>
      <c r="C14" s="485"/>
    </row>
    <row r="15" spans="1:9" s="406" customFormat="1" ht="20.100000000000001" customHeight="1">
      <c r="A15" s="221"/>
      <c r="B15" s="221" t="str">
        <f>IF(B14=0,"OK","NO")</f>
        <v>OK</v>
      </c>
    </row>
  </sheetData>
  <phoneticPr fontId="78" type="noConversion"/>
  <hyperlinks>
    <hyperlink ref="D1" location="目录!A1" display="BACK"/>
  </hyperlinks>
  <pageMargins left="0.78680555555555598" right="0.51180555555555596" top="0.94374999999999998" bottom="0.51180555555555596" header="0.27500000000000002" footer="0.27500000000000002"/>
  <pageSetup paperSize="9" orientation="portrait" blackAndWhite="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tabColor rgb="FFFFC000"/>
  </sheetPr>
  <dimension ref="A1:F22"/>
  <sheetViews>
    <sheetView workbookViewId="0">
      <selection activeCell="D17" sqref="D17"/>
    </sheetView>
  </sheetViews>
  <sheetFormatPr defaultRowHeight="15.6"/>
  <cols>
    <col min="1" max="1" width="26.19921875" customWidth="1"/>
    <col min="2" max="2" width="29.09765625" customWidth="1"/>
  </cols>
  <sheetData>
    <row r="1" spans="1:6">
      <c r="A1" s="48" t="s">
        <v>145</v>
      </c>
      <c r="B1" s="49">
        <f>基础信息!B6</f>
        <v>0</v>
      </c>
      <c r="C1" s="5"/>
      <c r="D1" s="900" t="s">
        <v>146</v>
      </c>
      <c r="E1" s="8"/>
      <c r="F1" s="5"/>
    </row>
    <row r="2" spans="1:6">
      <c r="A2" s="48" t="s">
        <v>147</v>
      </c>
      <c r="B2" s="49">
        <f>基础信息!B9</f>
        <v>0</v>
      </c>
      <c r="C2" s="5"/>
      <c r="D2" s="5"/>
      <c r="E2" s="5"/>
      <c r="F2" s="5"/>
    </row>
    <row r="3" spans="1:6">
      <c r="A3" s="91" t="s">
        <v>148</v>
      </c>
      <c r="B3" s="307" t="s">
        <v>2107</v>
      </c>
      <c r="C3" s="5"/>
      <c r="D3" s="5"/>
      <c r="E3" s="5"/>
      <c r="F3" s="5"/>
    </row>
    <row r="4" spans="1:6">
      <c r="A4" s="62" t="s">
        <v>2139</v>
      </c>
      <c r="B4" s="9"/>
      <c r="C4" s="9"/>
      <c r="D4" s="9"/>
      <c r="E4" s="9"/>
      <c r="F4" s="9"/>
    </row>
    <row r="5" spans="1:6">
      <c r="A5" s="1068" t="s">
        <v>877</v>
      </c>
      <c r="B5" s="1069" t="s">
        <v>773</v>
      </c>
      <c r="C5" s="1069"/>
      <c r="D5" s="1069"/>
      <c r="E5" s="9"/>
      <c r="F5" s="9"/>
    </row>
    <row r="6" spans="1:6">
      <c r="A6" s="1068"/>
      <c r="B6" s="937" t="s">
        <v>894</v>
      </c>
      <c r="C6" s="937" t="s">
        <v>895</v>
      </c>
      <c r="D6" s="937" t="s">
        <v>896</v>
      </c>
      <c r="E6" s="9"/>
      <c r="F6" s="9"/>
    </row>
    <row r="7" spans="1:6">
      <c r="A7" s="227"/>
      <c r="B7" s="133"/>
      <c r="C7" s="133"/>
      <c r="D7" s="279">
        <f>B7-C7</f>
        <v>0</v>
      </c>
      <c r="E7" s="5"/>
      <c r="F7" s="5"/>
    </row>
    <row r="8" spans="1:6">
      <c r="A8" s="227"/>
      <c r="B8" s="133"/>
      <c r="C8" s="133"/>
      <c r="D8" s="279">
        <f t="shared" ref="D8:D11" si="0">B8-C8</f>
        <v>0</v>
      </c>
      <c r="E8" s="5"/>
      <c r="F8" s="5"/>
    </row>
    <row r="9" spans="1:6">
      <c r="A9" s="227"/>
      <c r="B9" s="133"/>
      <c r="C9" s="133"/>
      <c r="D9" s="279">
        <f t="shared" si="0"/>
        <v>0</v>
      </c>
      <c r="E9" s="5"/>
      <c r="F9" s="5"/>
    </row>
    <row r="10" spans="1:6">
      <c r="A10" s="227"/>
      <c r="B10" s="133"/>
      <c r="C10" s="133"/>
      <c r="D10" s="279">
        <f t="shared" si="0"/>
        <v>0</v>
      </c>
      <c r="E10" s="5"/>
      <c r="F10" s="5"/>
    </row>
    <row r="11" spans="1:6">
      <c r="A11" s="227"/>
      <c r="B11" s="133"/>
      <c r="C11" s="133"/>
      <c r="D11" s="279">
        <f t="shared" si="0"/>
        <v>0</v>
      </c>
      <c r="E11" s="5"/>
      <c r="F11" s="5"/>
    </row>
    <row r="12" spans="1:6">
      <c r="A12" s="227" t="s">
        <v>953</v>
      </c>
      <c r="B12" s="279">
        <f>SUM(B7:B11)</f>
        <v>0</v>
      </c>
      <c r="C12" s="279">
        <f t="shared" ref="C12:D12" si="1">SUM(C7:C11)</f>
        <v>0</v>
      </c>
      <c r="D12" s="279">
        <f t="shared" si="1"/>
        <v>0</v>
      </c>
      <c r="E12" s="5"/>
      <c r="F12" s="5"/>
    </row>
    <row r="13" spans="1:6">
      <c r="A13" s="1070" t="s">
        <v>2108</v>
      </c>
      <c r="B13" s="1071"/>
      <c r="C13" s="1071"/>
      <c r="D13" s="1072"/>
      <c r="E13" s="5"/>
      <c r="F13" s="5"/>
    </row>
    <row r="14" spans="1:6">
      <c r="A14" s="227" t="s">
        <v>882</v>
      </c>
      <c r="B14" s="475">
        <f>B12-B13</f>
        <v>0</v>
      </c>
      <c r="C14" s="475">
        <f t="shared" ref="C14:D14" si="2">C12-C13</f>
        <v>0</v>
      </c>
      <c r="D14" s="475">
        <f t="shared" si="2"/>
        <v>0</v>
      </c>
      <c r="E14" s="5"/>
      <c r="F14" s="5"/>
    </row>
    <row r="15" spans="1:6">
      <c r="A15" s="219" t="s">
        <v>623</v>
      </c>
      <c r="B15" s="219"/>
      <c r="C15" s="227"/>
      <c r="D15" s="475"/>
      <c r="E15" s="5"/>
      <c r="F15" s="5"/>
    </row>
    <row r="16" spans="1:6">
      <c r="A16" s="328"/>
      <c r="B16" s="219"/>
      <c r="C16" s="227"/>
      <c r="D16" s="476">
        <f>D14-D15</f>
        <v>0</v>
      </c>
      <c r="E16" s="5"/>
      <c r="F16" s="5"/>
    </row>
    <row r="17" spans="1:6">
      <c r="A17" s="221"/>
      <c r="B17" s="221"/>
      <c r="C17" s="376"/>
      <c r="D17" s="221" t="str">
        <f>IF(D16=0,"OK","NO")</f>
        <v>OK</v>
      </c>
      <c r="E17" s="5"/>
      <c r="F17" s="5"/>
    </row>
    <row r="18" spans="1:6">
      <c r="A18" s="477"/>
      <c r="B18" s="376"/>
      <c r="C18" s="376"/>
      <c r="D18" s="376"/>
      <c r="E18" s="5"/>
      <c r="F18" s="5"/>
    </row>
    <row r="19" spans="1:6">
      <c r="A19" s="62" t="s">
        <v>2109</v>
      </c>
      <c r="B19" s="215"/>
      <c r="C19" s="215"/>
      <c r="D19" s="215"/>
      <c r="E19" s="215"/>
      <c r="F19" s="215"/>
    </row>
    <row r="20" spans="1:6">
      <c r="A20" s="972" t="s">
        <v>2110</v>
      </c>
      <c r="B20" s="941" t="s">
        <v>957</v>
      </c>
      <c r="C20" s="941" t="s">
        <v>958</v>
      </c>
      <c r="D20" s="941" t="s">
        <v>959</v>
      </c>
      <c r="E20" s="941" t="s">
        <v>960</v>
      </c>
      <c r="F20" s="215"/>
    </row>
    <row r="21" spans="1:6">
      <c r="A21" s="551"/>
      <c r="B21" s="551"/>
      <c r="C21" s="551"/>
      <c r="D21" s="551"/>
      <c r="E21" s="551"/>
      <c r="F21" s="217"/>
    </row>
    <row r="22" spans="1:6">
      <c r="A22" s="551" t="s">
        <v>961</v>
      </c>
      <c r="B22" s="551" t="s">
        <v>740</v>
      </c>
      <c r="C22" s="551" t="s">
        <v>932</v>
      </c>
      <c r="D22" s="551" t="s">
        <v>932</v>
      </c>
      <c r="E22" s="551" t="s">
        <v>932</v>
      </c>
      <c r="F22" s="217"/>
    </row>
  </sheetData>
  <mergeCells count="3">
    <mergeCell ref="A5:A6"/>
    <mergeCell ref="B5:D5"/>
    <mergeCell ref="A13:D13"/>
  </mergeCells>
  <phoneticPr fontId="78" type="noConversion"/>
  <hyperlinks>
    <hyperlink ref="D1" location="目录!A1" display="BACK"/>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K59"/>
  <sheetViews>
    <sheetView view="pageBreakPreview" zoomScale="90" zoomScaleNormal="100" zoomScaleSheetLayoutView="90" workbookViewId="0">
      <selection activeCell="D13" sqref="D13"/>
    </sheetView>
  </sheetViews>
  <sheetFormatPr defaultColWidth="9" defaultRowHeight="20.100000000000001" customHeight="1"/>
  <cols>
    <col min="1" max="1" width="22.8984375" style="5" customWidth="1"/>
    <col min="2" max="2" width="18.3984375" style="5" customWidth="1"/>
    <col min="3" max="3" width="20" style="5" customWidth="1"/>
    <col min="4" max="8" width="15.59765625" style="5" customWidth="1"/>
    <col min="9" max="9" width="12.19921875" style="5" customWidth="1"/>
    <col min="10" max="16384" width="9" style="5"/>
  </cols>
  <sheetData>
    <row r="1" spans="1:11" ht="24.9" customHeight="1">
      <c r="A1" s="48" t="s">
        <v>145</v>
      </c>
      <c r="B1" s="49">
        <f>基础信息!B6</f>
        <v>0</v>
      </c>
      <c r="D1" s="900" t="s">
        <v>146</v>
      </c>
      <c r="E1" s="8"/>
    </row>
    <row r="2" spans="1:11" ht="24.9" customHeight="1">
      <c r="A2" s="48" t="s">
        <v>147</v>
      </c>
      <c r="B2" s="49">
        <f>基础信息!B9</f>
        <v>0</v>
      </c>
    </row>
    <row r="3" spans="1:11" s="110" customFormat="1" ht="24.9" customHeight="1">
      <c r="A3" s="91" t="s">
        <v>148</v>
      </c>
      <c r="B3" s="91" t="s">
        <v>892</v>
      </c>
      <c r="C3" s="5"/>
      <c r="D3" s="5"/>
      <c r="E3" s="5"/>
      <c r="F3" s="5"/>
      <c r="G3" s="5"/>
      <c r="H3" s="5"/>
      <c r="I3" s="5"/>
    </row>
    <row r="4" spans="1:11" s="410" customFormat="1" ht="24.9" customHeight="1">
      <c r="A4" s="478" t="s">
        <v>893</v>
      </c>
      <c r="B4" s="215"/>
      <c r="C4" s="215"/>
      <c r="D4" s="215"/>
      <c r="E4" s="9"/>
      <c r="F4" s="9"/>
      <c r="G4" s="9"/>
      <c r="H4" s="215"/>
      <c r="I4" s="215"/>
      <c r="J4" s="215"/>
      <c r="K4" s="215"/>
    </row>
    <row r="5" spans="1:11" s="383" customFormat="1" ht="24.9" customHeight="1">
      <c r="A5" s="1068" t="s">
        <v>877</v>
      </c>
      <c r="B5" s="1069" t="s">
        <v>773</v>
      </c>
      <c r="C5" s="1069"/>
      <c r="D5" s="1069"/>
      <c r="E5" s="9"/>
      <c r="F5" s="9"/>
      <c r="G5" s="9"/>
      <c r="H5" s="215"/>
      <c r="I5" s="215"/>
      <c r="J5" s="215"/>
      <c r="K5" s="215"/>
    </row>
    <row r="6" spans="1:11" s="383" customFormat="1" ht="24.9" customHeight="1">
      <c r="A6" s="1068"/>
      <c r="B6" s="225" t="s">
        <v>894</v>
      </c>
      <c r="C6" s="225" t="s">
        <v>895</v>
      </c>
      <c r="D6" s="225" t="s">
        <v>896</v>
      </c>
      <c r="E6" s="9"/>
      <c r="F6" s="9"/>
      <c r="G6" s="9"/>
      <c r="H6" s="215"/>
      <c r="I6" s="215"/>
      <c r="J6" s="215"/>
      <c r="K6" s="215"/>
    </row>
    <row r="7" spans="1:11" s="383" customFormat="1" ht="20.100000000000001" customHeight="1">
      <c r="A7" s="227" t="s">
        <v>897</v>
      </c>
      <c r="B7" s="133"/>
      <c r="C7" s="133"/>
      <c r="D7" s="279">
        <f>B7-C7</f>
        <v>0</v>
      </c>
      <c r="E7" s="3"/>
      <c r="F7" s="3"/>
      <c r="G7" s="3"/>
      <c r="H7" s="217"/>
      <c r="I7" s="217"/>
      <c r="J7" s="217"/>
      <c r="K7" s="217"/>
    </row>
    <row r="8" spans="1:11" s="383" customFormat="1" ht="20.100000000000001" customHeight="1">
      <c r="A8" s="227" t="s">
        <v>898</v>
      </c>
      <c r="B8" s="133"/>
      <c r="C8" s="133"/>
      <c r="D8" s="279">
        <f t="shared" ref="D8:D11" si="0">B8-C8</f>
        <v>0</v>
      </c>
      <c r="E8" s="3"/>
      <c r="F8" s="3"/>
      <c r="G8" s="3"/>
      <c r="H8" s="217"/>
      <c r="I8" s="217"/>
      <c r="J8" s="217"/>
      <c r="K8" s="217"/>
    </row>
    <row r="9" spans="1:11" s="383" customFormat="1" ht="20.100000000000001" customHeight="1">
      <c r="A9" s="227" t="s">
        <v>899</v>
      </c>
      <c r="B9" s="133"/>
      <c r="C9" s="133"/>
      <c r="D9" s="279">
        <f t="shared" si="0"/>
        <v>0</v>
      </c>
      <c r="E9" s="3"/>
      <c r="F9" s="3"/>
      <c r="G9" s="3"/>
      <c r="H9" s="217"/>
      <c r="I9" s="217"/>
      <c r="J9" s="217"/>
      <c r="K9" s="217"/>
    </row>
    <row r="10" spans="1:11" s="383" customFormat="1" ht="20.100000000000001" customHeight="1">
      <c r="A10" s="227" t="s">
        <v>900</v>
      </c>
      <c r="B10" s="133"/>
      <c r="C10" s="133"/>
      <c r="D10" s="279">
        <f t="shared" si="0"/>
        <v>0</v>
      </c>
      <c r="E10" s="3"/>
      <c r="F10" s="3"/>
      <c r="G10" s="3"/>
      <c r="H10" s="217"/>
      <c r="I10" s="217"/>
      <c r="J10" s="217"/>
      <c r="K10" s="217"/>
    </row>
    <row r="11" spans="1:11" s="383" customFormat="1" ht="20.100000000000001" customHeight="1">
      <c r="A11" s="227" t="s">
        <v>901</v>
      </c>
      <c r="B11" s="133"/>
      <c r="C11" s="133"/>
      <c r="D11" s="279">
        <f t="shared" si="0"/>
        <v>0</v>
      </c>
      <c r="E11" s="3"/>
      <c r="F11" s="3"/>
      <c r="G11" s="3"/>
      <c r="H11" s="217"/>
      <c r="I11" s="217"/>
      <c r="J11" s="217"/>
      <c r="K11" s="217"/>
    </row>
    <row r="12" spans="1:11" s="383" customFormat="1" ht="20.100000000000001" customHeight="1">
      <c r="A12" s="227" t="s">
        <v>882</v>
      </c>
      <c r="B12" s="279">
        <f>SUM(B7:B11)</f>
        <v>0</v>
      </c>
      <c r="C12" s="279">
        <f t="shared" ref="C12:D12" si="1">SUM(C7:C11)</f>
        <v>0</v>
      </c>
      <c r="D12" s="279">
        <f t="shared" si="1"/>
        <v>0</v>
      </c>
      <c r="E12" s="3"/>
      <c r="F12" s="3"/>
      <c r="G12" s="3"/>
      <c r="H12" s="217"/>
      <c r="I12" s="217"/>
      <c r="J12" s="217"/>
      <c r="K12" s="217"/>
    </row>
    <row r="13" spans="1:11" s="383" customFormat="1" ht="20.100000000000001" customHeight="1">
      <c r="A13" s="219" t="s">
        <v>623</v>
      </c>
      <c r="B13" s="365"/>
      <c r="C13" s="133"/>
      <c r="D13" s="279"/>
      <c r="E13" s="3"/>
      <c r="F13" s="3"/>
      <c r="G13" s="3"/>
      <c r="H13" s="217"/>
      <c r="I13" s="217"/>
      <c r="J13" s="217"/>
      <c r="K13" s="217"/>
    </row>
    <row r="14" spans="1:11" s="383" customFormat="1" ht="20.100000000000001" customHeight="1">
      <c r="A14" s="328"/>
      <c r="B14" s="365"/>
      <c r="C14" s="133"/>
      <c r="D14" s="220">
        <f>D12-D13</f>
        <v>0</v>
      </c>
      <c r="E14" s="3"/>
      <c r="F14" s="3"/>
      <c r="G14" s="3"/>
      <c r="H14" s="217"/>
      <c r="I14" s="217"/>
      <c r="J14" s="217"/>
      <c r="K14" s="217"/>
    </row>
    <row r="15" spans="1:11" s="383" customFormat="1" ht="20.100000000000001" customHeight="1">
      <c r="A15" s="221"/>
      <c r="B15" s="221"/>
      <c r="C15" s="376"/>
      <c r="D15" s="221" t="str">
        <f>IF(D14=0,"OK","NO")</f>
        <v>OK</v>
      </c>
      <c r="E15" s="3"/>
      <c r="F15" s="3"/>
      <c r="G15" s="3"/>
      <c r="H15" s="217"/>
      <c r="I15" s="217"/>
      <c r="J15" s="217"/>
      <c r="K15" s="217"/>
    </row>
    <row r="16" spans="1:11" s="383" customFormat="1" ht="20.100000000000001" customHeight="1">
      <c r="A16" s="376"/>
      <c r="B16" s="376"/>
      <c r="C16" s="376"/>
      <c r="D16" s="376"/>
      <c r="E16" s="3"/>
      <c r="F16" s="3"/>
      <c r="G16" s="3"/>
      <c r="H16" s="217"/>
      <c r="I16" s="217"/>
      <c r="J16" s="217"/>
      <c r="K16" s="217"/>
    </row>
    <row r="17" spans="1:11" s="383" customFormat="1" ht="20.100000000000001" customHeight="1">
      <c r="A17" s="479" t="s">
        <v>902</v>
      </c>
      <c r="B17" s="217"/>
      <c r="C17" s="217"/>
      <c r="D17" s="217"/>
      <c r="E17" s="3"/>
      <c r="F17" s="3"/>
      <c r="G17" s="3"/>
      <c r="H17" s="217"/>
      <c r="I17" s="217"/>
      <c r="J17" s="217"/>
      <c r="K17" s="217"/>
    </row>
    <row r="18" spans="1:11" s="383" customFormat="1" ht="20.100000000000001" customHeight="1">
      <c r="A18" s="175" t="s">
        <v>903</v>
      </c>
      <c r="B18" s="175" t="s">
        <v>904</v>
      </c>
      <c r="C18" s="175" t="s">
        <v>905</v>
      </c>
      <c r="D18" s="175" t="s">
        <v>906</v>
      </c>
      <c r="E18" s="217"/>
      <c r="F18" s="217"/>
      <c r="G18" s="217"/>
      <c r="H18" s="217"/>
      <c r="I18" s="217"/>
      <c r="J18" s="217"/>
      <c r="K18" s="217"/>
    </row>
    <row r="19" spans="1:11" s="383" customFormat="1" ht="30.75" customHeight="1">
      <c r="A19" s="176" t="s">
        <v>907</v>
      </c>
      <c r="B19" s="176"/>
      <c r="C19" s="176"/>
      <c r="D19" s="176">
        <f>B19+C19</f>
        <v>0</v>
      </c>
      <c r="E19" s="217"/>
      <c r="F19" s="217"/>
      <c r="G19" s="217"/>
      <c r="H19" s="217"/>
      <c r="I19" s="217"/>
      <c r="J19" s="217"/>
      <c r="K19" s="217"/>
    </row>
    <row r="20" spans="1:11" s="383" customFormat="1" ht="20.100000000000001" customHeight="1">
      <c r="A20" s="176" t="s">
        <v>908</v>
      </c>
      <c r="B20" s="176"/>
      <c r="C20" s="176"/>
      <c r="D20" s="176">
        <f t="shared" ref="D20:D22" si="2">B20+C20</f>
        <v>0</v>
      </c>
      <c r="E20" s="217"/>
      <c r="F20" s="217"/>
      <c r="G20" s="217"/>
      <c r="H20" s="217"/>
      <c r="I20" s="217"/>
      <c r="J20" s="217"/>
      <c r="K20" s="217"/>
    </row>
    <row r="21" spans="1:11" s="383" customFormat="1" ht="29.25" customHeight="1">
      <c r="A21" s="176" t="s">
        <v>909</v>
      </c>
      <c r="B21" s="176"/>
      <c r="C21" s="176"/>
      <c r="D21" s="176">
        <f t="shared" si="2"/>
        <v>0</v>
      </c>
      <c r="E21" s="217"/>
      <c r="F21" s="217"/>
      <c r="G21" s="217"/>
      <c r="H21" s="217"/>
      <c r="I21" s="217"/>
      <c r="J21" s="217"/>
      <c r="K21" s="217"/>
    </row>
    <row r="22" spans="1:11" s="383" customFormat="1" ht="20.100000000000001" customHeight="1">
      <c r="A22" s="176" t="s">
        <v>910</v>
      </c>
      <c r="B22" s="176"/>
      <c r="C22" s="176"/>
      <c r="D22" s="176">
        <f t="shared" si="2"/>
        <v>0</v>
      </c>
      <c r="E22" s="217"/>
      <c r="F22" s="217"/>
      <c r="G22" s="217"/>
      <c r="H22" s="217"/>
      <c r="I22" s="217"/>
      <c r="J22" s="217"/>
      <c r="K22" s="217"/>
    </row>
    <row r="23" spans="1:11" s="383" customFormat="1" ht="20.100000000000001" customHeight="1">
      <c r="A23" s="219" t="s">
        <v>623</v>
      </c>
      <c r="B23" s="219"/>
      <c r="C23" s="227"/>
      <c r="D23" s="227">
        <f>'RP 006'!E44</f>
        <v>0</v>
      </c>
      <c r="E23" s="3"/>
      <c r="F23" s="3"/>
      <c r="G23" s="3"/>
      <c r="H23" s="217"/>
      <c r="I23" s="217"/>
      <c r="J23" s="217"/>
      <c r="K23" s="217"/>
    </row>
    <row r="24" spans="1:11" s="383" customFormat="1" ht="20.100000000000001" customHeight="1">
      <c r="A24" s="328"/>
      <c r="B24" s="219"/>
      <c r="C24" s="227"/>
      <c r="D24" s="219">
        <f>D20-D23</f>
        <v>0</v>
      </c>
      <c r="E24" s="3"/>
      <c r="F24" s="3"/>
      <c r="G24" s="3"/>
      <c r="H24" s="217"/>
      <c r="I24" s="217"/>
      <c r="J24" s="217"/>
      <c r="K24" s="217"/>
    </row>
    <row r="25" spans="1:11" s="383" customFormat="1" ht="20.100000000000001" customHeight="1">
      <c r="A25" s="221"/>
      <c r="B25" s="221"/>
      <c r="C25" s="376"/>
      <c r="D25" s="221" t="str">
        <f>IF(D24=0,"OK","NO")</f>
        <v>OK</v>
      </c>
      <c r="E25" s="3"/>
      <c r="F25" s="3"/>
      <c r="G25" s="3"/>
      <c r="H25" s="217"/>
      <c r="I25" s="217"/>
      <c r="J25" s="217"/>
      <c r="K25" s="217"/>
    </row>
    <row r="26" spans="1:11" s="383" customFormat="1" ht="20.100000000000001" customHeight="1">
      <c r="A26" s="281" t="s">
        <v>911</v>
      </c>
      <c r="B26" s="217"/>
      <c r="C26" s="217"/>
      <c r="D26" s="217"/>
      <c r="E26" s="217"/>
      <c r="F26" s="217"/>
      <c r="G26" s="217"/>
      <c r="H26" s="217"/>
      <c r="I26" s="217"/>
      <c r="J26" s="217"/>
      <c r="K26" s="217"/>
    </row>
    <row r="27" spans="1:11" s="383" customFormat="1" ht="20.100000000000001" customHeight="1">
      <c r="A27" s="479" t="s">
        <v>912</v>
      </c>
      <c r="B27" s="217"/>
      <c r="C27" s="217"/>
      <c r="D27" s="217"/>
      <c r="E27" s="217"/>
      <c r="F27" s="217"/>
      <c r="G27" s="217"/>
      <c r="H27" s="217"/>
      <c r="I27" s="217"/>
      <c r="J27" s="217"/>
      <c r="K27" s="217"/>
    </row>
    <row r="28" spans="1:11" s="383" customFormat="1" ht="20.100000000000001" customHeight="1">
      <c r="A28" s="1078" t="s">
        <v>913</v>
      </c>
      <c r="B28" s="1078"/>
      <c r="C28" s="1078"/>
      <c r="D28" s="1078"/>
      <c r="E28" s="217"/>
      <c r="F28" s="217"/>
      <c r="G28" s="217"/>
      <c r="H28" s="217"/>
      <c r="I28" s="217"/>
      <c r="J28" s="217"/>
      <c r="K28" s="217"/>
    </row>
    <row r="29" spans="1:11" s="383" customFormat="1" ht="20.100000000000001" customHeight="1">
      <c r="A29" s="1078" t="s">
        <v>914</v>
      </c>
      <c r="B29" s="1078"/>
      <c r="C29" s="1078"/>
      <c r="D29" s="1078"/>
      <c r="E29" s="217"/>
      <c r="F29" s="217"/>
      <c r="G29" s="217"/>
      <c r="H29" s="217"/>
      <c r="I29" s="217"/>
      <c r="J29" s="217"/>
      <c r="K29" s="217"/>
    </row>
    <row r="30" spans="1:11" s="383" customFormat="1" ht="20.100000000000001" customHeight="1">
      <c r="A30" s="1078" t="s">
        <v>915</v>
      </c>
      <c r="B30" s="1078"/>
      <c r="C30" s="1078"/>
      <c r="D30" s="1078"/>
      <c r="E30" s="217"/>
      <c r="F30" s="217"/>
      <c r="G30" s="217"/>
      <c r="H30" s="217"/>
      <c r="I30" s="217"/>
      <c r="J30" s="217"/>
      <c r="K30" s="217"/>
    </row>
    <row r="31" spans="1:11" s="383" customFormat="1" ht="20.100000000000001" customHeight="1">
      <c r="A31" s="1077" t="s">
        <v>916</v>
      </c>
      <c r="B31" s="1077"/>
      <c r="C31" s="1077"/>
      <c r="D31" s="1077"/>
      <c r="E31" s="217"/>
      <c r="F31" s="217"/>
      <c r="G31" s="217"/>
      <c r="H31" s="217"/>
      <c r="I31" s="217"/>
      <c r="J31" s="217"/>
      <c r="K31" s="217"/>
    </row>
    <row r="32" spans="1:11" s="383" customFormat="1" ht="20.100000000000001" customHeight="1">
      <c r="A32" s="1076" t="s">
        <v>917</v>
      </c>
      <c r="B32" s="1076"/>
      <c r="C32" s="1076"/>
      <c r="D32" s="1076"/>
      <c r="E32" s="217"/>
      <c r="F32" s="217"/>
      <c r="G32" s="217"/>
      <c r="H32" s="217"/>
      <c r="I32" s="217"/>
      <c r="J32" s="217"/>
      <c r="K32" s="217"/>
    </row>
    <row r="33" spans="1:11" s="383" customFormat="1" ht="20.100000000000001" customHeight="1">
      <c r="A33" s="1077" t="s">
        <v>918</v>
      </c>
      <c r="B33" s="1077"/>
      <c r="C33" s="1077"/>
      <c r="D33" s="1077"/>
      <c r="E33" s="217"/>
      <c r="F33" s="217"/>
      <c r="G33" s="217"/>
      <c r="H33" s="217"/>
      <c r="I33" s="217"/>
      <c r="J33" s="217"/>
      <c r="K33" s="217"/>
    </row>
    <row r="34" spans="1:11" s="383" customFormat="1" ht="24.9" customHeight="1">
      <c r="A34" s="1074" t="s">
        <v>919</v>
      </c>
      <c r="B34" s="1075" t="s">
        <v>920</v>
      </c>
      <c r="C34" s="1075"/>
      <c r="D34" s="1075"/>
      <c r="E34" s="1075"/>
      <c r="F34" s="1075" t="s">
        <v>921</v>
      </c>
      <c r="G34" s="1075"/>
      <c r="H34" s="1075"/>
      <c r="I34" s="1075"/>
      <c r="J34" s="1075" t="s">
        <v>922</v>
      </c>
      <c r="K34" s="1075" t="s">
        <v>923</v>
      </c>
    </row>
    <row r="35" spans="1:11" s="383" customFormat="1" ht="24.9" customHeight="1">
      <c r="A35" s="1074"/>
      <c r="B35" s="480" t="s">
        <v>924</v>
      </c>
      <c r="C35" s="480" t="s">
        <v>925</v>
      </c>
      <c r="D35" s="480" t="s">
        <v>926</v>
      </c>
      <c r="E35" s="480" t="s">
        <v>927</v>
      </c>
      <c r="F35" s="480" t="s">
        <v>924</v>
      </c>
      <c r="G35" s="480" t="s">
        <v>925</v>
      </c>
      <c r="H35" s="480" t="s">
        <v>926</v>
      </c>
      <c r="I35" s="480" t="s">
        <v>927</v>
      </c>
      <c r="J35" s="1075"/>
      <c r="K35" s="1075"/>
    </row>
    <row r="36" spans="1:11" s="383" customFormat="1" ht="20.100000000000001" customHeight="1">
      <c r="A36" s="481" t="s">
        <v>928</v>
      </c>
      <c r="B36" s="481"/>
      <c r="C36" s="481"/>
      <c r="D36" s="481"/>
      <c r="E36" s="481"/>
      <c r="F36" s="481"/>
      <c r="G36" s="481"/>
      <c r="H36" s="481"/>
      <c r="I36" s="481"/>
      <c r="J36" s="481"/>
      <c r="K36" s="481"/>
    </row>
    <row r="37" spans="1:11" s="383" customFormat="1" ht="20.100000000000001" customHeight="1">
      <c r="A37" s="481" t="s">
        <v>929</v>
      </c>
      <c r="B37" s="481"/>
      <c r="C37" s="481"/>
      <c r="D37" s="481"/>
      <c r="E37" s="481"/>
      <c r="F37" s="481"/>
      <c r="G37" s="481"/>
      <c r="H37" s="481"/>
      <c r="I37" s="481"/>
      <c r="J37" s="481"/>
      <c r="K37" s="481"/>
    </row>
    <row r="38" spans="1:11" s="383" customFormat="1" ht="20.100000000000001" customHeight="1">
      <c r="A38" s="482" t="s">
        <v>930</v>
      </c>
      <c r="B38" s="481"/>
      <c r="C38" s="481"/>
      <c r="D38" s="481"/>
      <c r="E38" s="481"/>
      <c r="F38" s="481"/>
      <c r="G38" s="481"/>
      <c r="H38" s="481"/>
      <c r="I38" s="481"/>
      <c r="J38" s="481"/>
      <c r="K38" s="481"/>
    </row>
    <row r="39" spans="1:11" s="383" customFormat="1" ht="20.100000000000001" customHeight="1">
      <c r="A39" s="481" t="s">
        <v>931</v>
      </c>
      <c r="B39" s="481"/>
      <c r="C39" s="481"/>
      <c r="D39" s="481"/>
      <c r="E39" s="481"/>
      <c r="F39" s="481"/>
      <c r="G39" s="481"/>
      <c r="H39" s="481"/>
      <c r="I39" s="481"/>
      <c r="J39" s="481" t="s">
        <v>932</v>
      </c>
      <c r="K39" s="481"/>
    </row>
    <row r="40" spans="1:11" s="383" customFormat="1" ht="32.25" customHeight="1">
      <c r="A40" s="1073" t="s">
        <v>933</v>
      </c>
      <c r="B40" s="1073"/>
      <c r="C40" s="1073"/>
      <c r="D40" s="1073"/>
      <c r="E40" s="1073"/>
      <c r="F40" s="1073"/>
      <c r="G40" s="1073"/>
      <c r="H40" s="1073"/>
      <c r="I40" s="1073"/>
      <c r="J40" s="1073"/>
      <c r="K40" s="1073"/>
    </row>
    <row r="41" spans="1:11" s="383" customFormat="1" ht="20.100000000000001" customHeight="1">
      <c r="A41" s="319"/>
      <c r="B41" s="319"/>
      <c r="C41" s="319"/>
      <c r="D41" s="319"/>
      <c r="E41" s="319"/>
      <c r="F41" s="319"/>
      <c r="G41" s="319"/>
      <c r="H41" s="319"/>
      <c r="I41" s="319"/>
      <c r="J41" s="319"/>
      <c r="K41" s="319"/>
    </row>
    <row r="42" spans="1:11" s="383" customFormat="1" ht="20.100000000000001" customHeight="1">
      <c r="A42" s="479" t="s">
        <v>934</v>
      </c>
      <c r="B42" s="217"/>
      <c r="C42" s="217"/>
      <c r="D42" s="217"/>
      <c r="E42" s="217"/>
      <c r="F42" s="217"/>
      <c r="G42" s="217"/>
      <c r="H42" s="217"/>
      <c r="I42" s="217"/>
      <c r="J42" s="217"/>
      <c r="K42" s="217"/>
    </row>
    <row r="43" spans="1:11" s="383" customFormat="1" ht="20.100000000000001" customHeight="1">
      <c r="A43" s="175" t="s">
        <v>903</v>
      </c>
      <c r="B43" s="175" t="s">
        <v>904</v>
      </c>
      <c r="C43" s="175" t="s">
        <v>905</v>
      </c>
      <c r="D43" s="175" t="s">
        <v>906</v>
      </c>
      <c r="E43" s="217"/>
      <c r="F43" s="217"/>
      <c r="G43" s="217"/>
      <c r="H43" s="217"/>
      <c r="I43" s="217"/>
      <c r="J43" s="217"/>
      <c r="K43" s="217"/>
    </row>
    <row r="44" spans="1:11" s="383" customFormat="1" ht="20.100000000000001" customHeight="1">
      <c r="A44" s="176" t="s">
        <v>935</v>
      </c>
      <c r="B44" s="176"/>
      <c r="C44" s="176"/>
      <c r="D44" s="176"/>
      <c r="E44" s="217"/>
      <c r="F44" s="217"/>
      <c r="G44" s="217"/>
      <c r="H44" s="217"/>
      <c r="I44" s="217"/>
      <c r="J44" s="217"/>
      <c r="K44" s="217"/>
    </row>
    <row r="45" spans="1:11" s="383" customFormat="1" ht="20.100000000000001" customHeight="1">
      <c r="A45" s="176" t="s">
        <v>936</v>
      </c>
      <c r="B45" s="176"/>
      <c r="C45" s="176"/>
      <c r="D45" s="176"/>
      <c r="E45" s="217"/>
      <c r="F45" s="217"/>
      <c r="G45" s="217"/>
      <c r="H45" s="217"/>
      <c r="I45" s="217"/>
      <c r="J45" s="217"/>
      <c r="K45" s="217"/>
    </row>
    <row r="46" spans="1:11" s="383" customFormat="1" ht="20.100000000000001" customHeight="1">
      <c r="A46" s="176" t="s">
        <v>937</v>
      </c>
      <c r="B46" s="176"/>
      <c r="C46" s="176"/>
      <c r="D46" s="176"/>
      <c r="E46" s="217"/>
      <c r="F46" s="217"/>
      <c r="G46" s="217"/>
      <c r="H46" s="217"/>
      <c r="I46" s="217"/>
      <c r="J46" s="217"/>
      <c r="K46" s="217"/>
    </row>
    <row r="47" spans="1:11" s="383" customFormat="1" ht="20.100000000000001" customHeight="1">
      <c r="A47" s="176" t="s">
        <v>938</v>
      </c>
      <c r="B47" s="176"/>
      <c r="C47" s="176"/>
      <c r="D47" s="176"/>
      <c r="E47" s="217"/>
      <c r="F47" s="217"/>
      <c r="G47" s="217"/>
      <c r="H47" s="217"/>
      <c r="I47" s="217"/>
      <c r="J47" s="217"/>
      <c r="K47" s="217"/>
    </row>
    <row r="48" spans="1:11" s="383" customFormat="1" ht="20.100000000000001" customHeight="1">
      <c r="A48" s="176" t="s">
        <v>939</v>
      </c>
      <c r="B48" s="176" t="s">
        <v>322</v>
      </c>
      <c r="C48" s="176"/>
      <c r="D48" s="176"/>
      <c r="E48" s="217"/>
      <c r="F48" s="217"/>
      <c r="G48" s="217"/>
      <c r="H48" s="217"/>
      <c r="I48" s="217"/>
      <c r="J48" s="217"/>
      <c r="K48" s="217"/>
    </row>
    <row r="49" spans="1:11" s="383" customFormat="1" ht="20.100000000000001" customHeight="1">
      <c r="A49" s="176" t="s">
        <v>940</v>
      </c>
      <c r="B49" s="176"/>
      <c r="C49" s="176"/>
      <c r="D49" s="176"/>
      <c r="E49" s="217"/>
      <c r="F49" s="217"/>
      <c r="G49" s="217"/>
      <c r="H49" s="217"/>
      <c r="I49" s="217"/>
      <c r="J49" s="217"/>
      <c r="K49" s="217"/>
    </row>
    <row r="50" spans="1:11" s="383" customFormat="1" ht="20.100000000000001" customHeight="1">
      <c r="A50" s="319"/>
      <c r="B50" s="319"/>
      <c r="C50" s="319"/>
      <c r="D50" s="319"/>
      <c r="E50" s="217"/>
      <c r="F50" s="217"/>
      <c r="G50" s="217"/>
      <c r="H50" s="217"/>
      <c r="I50" s="217"/>
      <c r="J50" s="217"/>
      <c r="K50" s="217"/>
    </row>
    <row r="51" spans="1:11" s="383" customFormat="1" ht="20.100000000000001" customHeight="1">
      <c r="A51" s="479" t="s">
        <v>941</v>
      </c>
      <c r="B51" s="217"/>
      <c r="C51" s="217"/>
      <c r="D51" s="217"/>
      <c r="E51" s="217"/>
      <c r="F51" s="217"/>
      <c r="G51" s="217"/>
      <c r="H51" s="217"/>
      <c r="I51" s="217"/>
      <c r="J51" s="217"/>
      <c r="K51" s="217"/>
    </row>
    <row r="52" spans="1:11" s="383" customFormat="1" ht="42.75" customHeight="1">
      <c r="A52" s="175" t="s">
        <v>942</v>
      </c>
      <c r="B52" s="175" t="s">
        <v>943</v>
      </c>
      <c r="C52" s="175" t="s">
        <v>944</v>
      </c>
      <c r="D52" s="175" t="s">
        <v>945</v>
      </c>
      <c r="E52" s="175" t="s">
        <v>946</v>
      </c>
      <c r="F52" s="175" t="s">
        <v>947</v>
      </c>
      <c r="G52" s="175" t="s">
        <v>948</v>
      </c>
      <c r="H52" s="217"/>
      <c r="I52" s="217"/>
      <c r="J52" s="217"/>
      <c r="K52" s="217"/>
    </row>
    <row r="53" spans="1:11" s="383" customFormat="1" ht="20.100000000000001" customHeight="1">
      <c r="A53" s="278" t="s">
        <v>712</v>
      </c>
      <c r="B53" s="176"/>
      <c r="C53" s="176"/>
      <c r="D53" s="176"/>
      <c r="E53" s="176"/>
      <c r="F53" s="176"/>
      <c r="G53" s="176"/>
      <c r="H53" s="217"/>
      <c r="I53" s="217"/>
      <c r="J53" s="217"/>
      <c r="K53" s="217"/>
    </row>
    <row r="54" spans="1:11" s="383" customFormat="1" ht="20.100000000000001" customHeight="1">
      <c r="A54" s="176"/>
      <c r="B54" s="176"/>
      <c r="C54" s="176"/>
      <c r="D54" s="176"/>
      <c r="E54" s="176"/>
      <c r="F54" s="176"/>
      <c r="G54" s="176"/>
      <c r="H54" s="217"/>
      <c r="I54" s="217"/>
      <c r="J54" s="217"/>
      <c r="K54" s="217"/>
    </row>
    <row r="55" spans="1:11" s="383" customFormat="1" ht="20.100000000000001" customHeight="1">
      <c r="A55" s="176" t="s">
        <v>949</v>
      </c>
      <c r="B55" s="176"/>
      <c r="C55" s="176"/>
      <c r="D55" s="176"/>
      <c r="E55" s="176"/>
      <c r="F55" s="176"/>
      <c r="G55" s="176" t="s">
        <v>932</v>
      </c>
      <c r="H55" s="217"/>
      <c r="I55" s="217"/>
      <c r="J55" s="217"/>
      <c r="K55" s="217"/>
    </row>
    <row r="56" spans="1:11" s="383" customFormat="1" ht="48.75" customHeight="1">
      <c r="A56" s="1073" t="s">
        <v>950</v>
      </c>
      <c r="B56" s="1073"/>
      <c r="C56" s="1073"/>
      <c r="D56" s="1073"/>
      <c r="E56" s="1073"/>
      <c r="F56" s="1073"/>
      <c r="G56" s="1073"/>
      <c r="H56" s="217"/>
      <c r="I56" s="217"/>
      <c r="J56" s="217"/>
      <c r="K56" s="217"/>
    </row>
    <row r="57" spans="1:11" s="383" customFormat="1" ht="20.100000000000001" customHeight="1"/>
    <row r="58" spans="1:11" s="383" customFormat="1" ht="20.100000000000001" customHeight="1"/>
    <row r="59" spans="1:11" s="383" customFormat="1" ht="20.100000000000001" customHeight="1"/>
  </sheetData>
  <mergeCells count="15">
    <mergeCell ref="A56:G56"/>
    <mergeCell ref="A5:A6"/>
    <mergeCell ref="A34:A35"/>
    <mergeCell ref="J34:J35"/>
    <mergeCell ref="K34:K35"/>
    <mergeCell ref="A32:D32"/>
    <mergeCell ref="A33:D33"/>
    <mergeCell ref="B34:E34"/>
    <mergeCell ref="F34:I34"/>
    <mergeCell ref="A40:K40"/>
    <mergeCell ref="B5:D5"/>
    <mergeCell ref="A28:D28"/>
    <mergeCell ref="A29:D29"/>
    <mergeCell ref="A30:D30"/>
    <mergeCell ref="A31:D31"/>
  </mergeCells>
  <phoneticPr fontId="78" type="noConversion"/>
  <hyperlinks>
    <hyperlink ref="D1" location="目录!A1" display="BACK"/>
  </hyperlinks>
  <pageMargins left="0.31388888888888899" right="0.31388888888888899" top="0.74791666666666701" bottom="0.31388888888888899" header="0.51180555555555596" footer="0.196527777777778"/>
  <pageSetup paperSize="9" scale="74" orientation="landscape" blackAndWhite="1" r:id="rId1"/>
  <headerFooter alignWithMargins="0"/>
  <rowBreaks count="1" manualBreakCount="1">
    <brk id="28"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rgb="FFFFC000"/>
  </sheetPr>
  <dimension ref="A1:G20"/>
  <sheetViews>
    <sheetView workbookViewId="0">
      <selection activeCell="B16" sqref="B16"/>
    </sheetView>
  </sheetViews>
  <sheetFormatPr defaultRowHeight="15.6"/>
  <cols>
    <col min="1" max="1" width="38.59765625" customWidth="1"/>
    <col min="2" max="2" width="38.69921875" customWidth="1"/>
  </cols>
  <sheetData>
    <row r="1" spans="1:7">
      <c r="A1" s="48" t="s">
        <v>145</v>
      </c>
      <c r="B1" s="49">
        <f>基础信息!B6</f>
        <v>0</v>
      </c>
      <c r="C1" s="8"/>
      <c r="D1" s="900" t="s">
        <v>146</v>
      </c>
    </row>
    <row r="2" spans="1:7">
      <c r="A2" s="48" t="s">
        <v>147</v>
      </c>
      <c r="B2" s="49">
        <f>基础信息!B9</f>
        <v>0</v>
      </c>
      <c r="C2" s="5"/>
      <c r="D2" s="5"/>
    </row>
    <row r="3" spans="1:7">
      <c r="A3" s="91" t="s">
        <v>148</v>
      </c>
      <c r="B3" s="307" t="s">
        <v>2111</v>
      </c>
      <c r="C3" s="5"/>
      <c r="D3" s="5"/>
    </row>
    <row r="4" spans="1:7">
      <c r="A4" s="478" t="s">
        <v>2112</v>
      </c>
      <c r="B4" s="215"/>
      <c r="C4" s="9"/>
      <c r="D4" s="9"/>
    </row>
    <row r="5" spans="1:7">
      <c r="A5" s="1068" t="s">
        <v>877</v>
      </c>
      <c r="B5" s="938" t="s">
        <v>773</v>
      </c>
      <c r="C5" s="9"/>
      <c r="D5" s="9"/>
    </row>
    <row r="6" spans="1:7">
      <c r="A6" s="1068"/>
      <c r="B6" s="973" t="s">
        <v>2119</v>
      </c>
      <c r="C6" s="9"/>
      <c r="D6" s="9"/>
    </row>
    <row r="7" spans="1:7">
      <c r="A7" s="227"/>
      <c r="B7" s="133"/>
      <c r="C7" s="5"/>
      <c r="D7" s="5"/>
    </row>
    <row r="8" spans="1:7">
      <c r="A8" s="227"/>
      <c r="B8" s="133"/>
      <c r="C8" s="5"/>
      <c r="D8" s="5"/>
    </row>
    <row r="9" spans="1:7">
      <c r="A9" s="227"/>
      <c r="B9" s="133"/>
      <c r="C9" s="5"/>
      <c r="D9" s="5"/>
    </row>
    <row r="10" spans="1:7">
      <c r="A10" s="227"/>
      <c r="B10" s="133"/>
      <c r="C10" s="5"/>
      <c r="D10" s="5"/>
    </row>
    <row r="11" spans="1:7">
      <c r="A11" s="227"/>
      <c r="B11" s="133"/>
      <c r="C11" s="5"/>
      <c r="D11" s="5"/>
    </row>
    <row r="12" spans="1:7">
      <c r="A12" s="490" t="s">
        <v>2113</v>
      </c>
      <c r="B12" s="279">
        <f>SUM(B7:B11)</f>
        <v>0</v>
      </c>
      <c r="C12" s="5"/>
      <c r="D12" s="5"/>
    </row>
    <row r="13" spans="1:7">
      <c r="A13" s="1070" t="s">
        <v>2108</v>
      </c>
      <c r="B13" s="1071"/>
      <c r="C13" s="5"/>
      <c r="D13" s="5"/>
    </row>
    <row r="14" spans="1:7">
      <c r="A14" s="939"/>
      <c r="B14" s="940"/>
      <c r="C14" s="5"/>
      <c r="D14" s="5"/>
    </row>
    <row r="15" spans="1:7">
      <c r="A15" s="974" t="s">
        <v>2114</v>
      </c>
      <c r="B15" s="975">
        <f>B12-B14</f>
        <v>0</v>
      </c>
      <c r="C15" s="5"/>
      <c r="D15" s="5"/>
    </row>
    <row r="16" spans="1:7">
      <c r="A16" s="219" t="s">
        <v>623</v>
      </c>
      <c r="B16" s="365"/>
      <c r="C16" s="5"/>
      <c r="D16" s="5"/>
      <c r="E16" s="5"/>
      <c r="F16" s="5"/>
      <c r="G16" s="5"/>
    </row>
    <row r="17" spans="1:4">
      <c r="A17" s="328"/>
      <c r="B17" s="365">
        <f>B15-B16</f>
        <v>0</v>
      </c>
      <c r="C17" s="5"/>
      <c r="D17" s="5"/>
    </row>
    <row r="18" spans="1:4">
      <c r="A18" s="221"/>
      <c r="B18" s="221"/>
      <c r="C18" s="5"/>
      <c r="D18" s="5"/>
    </row>
    <row r="19" spans="1:4">
      <c r="A19" s="376"/>
      <c r="B19" s="376"/>
      <c r="C19" s="5"/>
      <c r="D19" s="5"/>
    </row>
    <row r="20" spans="1:4">
      <c r="A20" s="942"/>
      <c r="B20" s="217"/>
      <c r="C20" s="217"/>
      <c r="D20" s="217"/>
    </row>
  </sheetData>
  <mergeCells count="2">
    <mergeCell ref="A5:A6"/>
    <mergeCell ref="A13:B13"/>
  </mergeCells>
  <phoneticPr fontId="78" type="noConversion"/>
  <hyperlinks>
    <hyperlink ref="D1" location="目录!A1" display="BACK"/>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K33"/>
  <sheetViews>
    <sheetView view="pageBreakPreview" topLeftCell="A13" zoomScaleNormal="100" zoomScaleSheetLayoutView="100" workbookViewId="0">
      <selection activeCell="D15" sqref="D15"/>
    </sheetView>
  </sheetViews>
  <sheetFormatPr defaultColWidth="9" defaultRowHeight="20.100000000000001" customHeight="1"/>
  <cols>
    <col min="1" max="1" width="13.8984375" style="5" customWidth="1"/>
    <col min="2" max="2" width="24.59765625" style="5" customWidth="1"/>
    <col min="3" max="4" width="19" style="5" customWidth="1"/>
    <col min="5" max="5" width="24.59765625" style="5" customWidth="1"/>
    <col min="6" max="6" width="25.5" style="5" customWidth="1"/>
    <col min="7" max="7" width="16.09765625" style="5" customWidth="1"/>
    <col min="8" max="9" width="9" style="110"/>
    <col min="10" max="16384" width="9" style="5"/>
  </cols>
  <sheetData>
    <row r="1" spans="1:11" ht="24.9" customHeight="1">
      <c r="A1" s="48" t="s">
        <v>145</v>
      </c>
      <c r="B1" s="49">
        <f>基础信息!B6</f>
        <v>0</v>
      </c>
      <c r="D1" s="900" t="s">
        <v>146</v>
      </c>
      <c r="E1" s="8"/>
    </row>
    <row r="2" spans="1:11" ht="24.9" customHeight="1">
      <c r="A2" s="48" t="s">
        <v>147</v>
      </c>
      <c r="B2" s="49">
        <f>基础信息!B9</f>
        <v>0</v>
      </c>
    </row>
    <row r="3" spans="1:11" ht="24.9" customHeight="1">
      <c r="A3" s="91" t="s">
        <v>148</v>
      </c>
      <c r="B3" s="91" t="s">
        <v>951</v>
      </c>
    </row>
    <row r="4" spans="1:11" s="419" customFormat="1" ht="20.100000000000001" customHeight="1">
      <c r="A4" s="62" t="s">
        <v>952</v>
      </c>
      <c r="B4" s="9"/>
      <c r="C4" s="9"/>
      <c r="D4" s="9"/>
      <c r="E4" s="9"/>
      <c r="F4" s="9"/>
      <c r="G4" s="1"/>
    </row>
    <row r="5" spans="1:11" s="363" customFormat="1" ht="20.100000000000001" customHeight="1">
      <c r="A5" s="1068" t="s">
        <v>877</v>
      </c>
      <c r="B5" s="1069" t="s">
        <v>773</v>
      </c>
      <c r="C5" s="1069"/>
      <c r="D5" s="1069"/>
      <c r="E5" s="9"/>
      <c r="F5" s="9"/>
      <c r="G5" s="3"/>
    </row>
    <row r="6" spans="1:11" s="363" customFormat="1" ht="20.100000000000001" customHeight="1">
      <c r="A6" s="1068"/>
      <c r="B6" s="225" t="s">
        <v>894</v>
      </c>
      <c r="C6" s="225" t="s">
        <v>895</v>
      </c>
      <c r="D6" s="225" t="s">
        <v>896</v>
      </c>
      <c r="E6" s="9"/>
      <c r="F6" s="9"/>
      <c r="G6" s="3"/>
    </row>
    <row r="7" spans="1:11" s="363" customFormat="1" ht="20.100000000000001" customHeight="1">
      <c r="A7" s="227"/>
      <c r="B7" s="133"/>
      <c r="C7" s="133"/>
      <c r="D7" s="279">
        <f>B7-C7</f>
        <v>0</v>
      </c>
      <c r="E7" s="5"/>
      <c r="F7" s="5"/>
      <c r="G7" s="5"/>
    </row>
    <row r="8" spans="1:11" s="363" customFormat="1" ht="20.100000000000001" customHeight="1">
      <c r="A8" s="227"/>
      <c r="B8" s="133"/>
      <c r="C8" s="133"/>
      <c r="D8" s="279">
        <f t="shared" ref="D8:D11" si="0">B8-C8</f>
        <v>0</v>
      </c>
      <c r="E8" s="5"/>
      <c r="F8" s="5"/>
      <c r="G8" s="5"/>
    </row>
    <row r="9" spans="1:11" s="363" customFormat="1" ht="20.100000000000001" customHeight="1">
      <c r="A9" s="227"/>
      <c r="B9" s="133"/>
      <c r="C9" s="133"/>
      <c r="D9" s="279">
        <f t="shared" si="0"/>
        <v>0</v>
      </c>
      <c r="E9" s="5"/>
      <c r="F9" s="5"/>
      <c r="G9" s="5"/>
    </row>
    <row r="10" spans="1:11" s="363" customFormat="1" ht="20.100000000000001" customHeight="1">
      <c r="A10" s="227"/>
      <c r="B10" s="133"/>
      <c r="C10" s="133"/>
      <c r="D10" s="279">
        <f t="shared" si="0"/>
        <v>0</v>
      </c>
      <c r="E10" s="5"/>
      <c r="F10" s="5"/>
      <c r="G10" s="5"/>
    </row>
    <row r="11" spans="1:11" s="363" customFormat="1" ht="20.100000000000001" customHeight="1">
      <c r="A11" s="227"/>
      <c r="B11" s="133"/>
      <c r="C11" s="133"/>
      <c r="D11" s="279">
        <f t="shared" si="0"/>
        <v>0</v>
      </c>
      <c r="E11" s="5"/>
      <c r="F11" s="5"/>
      <c r="G11" s="5"/>
    </row>
    <row r="12" spans="1:11" s="363" customFormat="1" ht="20.100000000000001" customHeight="1">
      <c r="A12" s="227" t="s">
        <v>953</v>
      </c>
      <c r="B12" s="279">
        <f>SUM(B7:B11)</f>
        <v>0</v>
      </c>
      <c r="C12" s="279">
        <f t="shared" ref="C12:D12" si="1">SUM(C7:C11)</f>
        <v>0</v>
      </c>
      <c r="D12" s="279">
        <f t="shared" si="1"/>
        <v>0</v>
      </c>
      <c r="E12" s="5"/>
      <c r="F12" s="5"/>
      <c r="G12" s="5"/>
    </row>
    <row r="13" spans="1:11" s="363" customFormat="1" ht="20.100000000000001" customHeight="1">
      <c r="A13" s="1070" t="s">
        <v>954</v>
      </c>
      <c r="B13" s="1071"/>
      <c r="C13" s="1071"/>
      <c r="D13" s="1072"/>
      <c r="E13" s="5"/>
      <c r="F13" s="5"/>
      <c r="G13" s="5"/>
    </row>
    <row r="14" spans="1:11" s="363" customFormat="1" ht="20.100000000000001" customHeight="1">
      <c r="A14" s="227" t="s">
        <v>882</v>
      </c>
      <c r="B14" s="475">
        <f>B12-B13</f>
        <v>0</v>
      </c>
      <c r="C14" s="475">
        <f t="shared" ref="C14:D14" si="2">C12-C13</f>
        <v>0</v>
      </c>
      <c r="D14" s="475">
        <f t="shared" si="2"/>
        <v>0</v>
      </c>
      <c r="E14" s="5"/>
      <c r="F14" s="5"/>
      <c r="G14" s="5"/>
    </row>
    <row r="15" spans="1:11" s="383" customFormat="1" ht="20.100000000000001" customHeight="1">
      <c r="A15" s="219" t="s">
        <v>623</v>
      </c>
      <c r="B15" s="219"/>
      <c r="C15" s="227"/>
      <c r="D15" s="475"/>
      <c r="E15" s="5"/>
      <c r="F15" s="5"/>
      <c r="G15" s="5"/>
      <c r="H15" s="387"/>
      <c r="I15" s="387"/>
      <c r="J15" s="387"/>
      <c r="K15" s="387"/>
    </row>
    <row r="16" spans="1:11" s="383" customFormat="1" ht="20.100000000000001" customHeight="1">
      <c r="A16" s="328"/>
      <c r="B16" s="219"/>
      <c r="C16" s="227"/>
      <c r="D16" s="476">
        <f>D14-D15</f>
        <v>0</v>
      </c>
      <c r="E16" s="5"/>
      <c r="F16" s="5"/>
      <c r="G16" s="5"/>
      <c r="H16" s="387"/>
      <c r="I16" s="387"/>
      <c r="J16" s="387"/>
      <c r="K16" s="387"/>
    </row>
    <row r="17" spans="1:11" s="383" customFormat="1" ht="20.100000000000001" customHeight="1">
      <c r="A17" s="221"/>
      <c r="B17" s="221"/>
      <c r="C17" s="376"/>
      <c r="D17" s="221" t="str">
        <f>IF(D16=0,"OK","NO")</f>
        <v>OK</v>
      </c>
      <c r="E17" s="5"/>
      <c r="F17" s="5"/>
      <c r="G17" s="5"/>
      <c r="H17" s="387"/>
      <c r="I17" s="387"/>
      <c r="J17" s="387"/>
      <c r="K17" s="387"/>
    </row>
    <row r="18" spans="1:11" s="363" customFormat="1" ht="20.100000000000001" customHeight="1">
      <c r="A18" s="477"/>
      <c r="B18" s="376"/>
      <c r="C18" s="376"/>
      <c r="D18" s="376"/>
      <c r="E18" s="5"/>
      <c r="F18" s="5"/>
      <c r="G18" s="5"/>
    </row>
    <row r="19" spans="1:11" s="419" customFormat="1" ht="20.100000000000001" customHeight="1">
      <c r="A19" s="62" t="s">
        <v>955</v>
      </c>
      <c r="B19" s="215"/>
      <c r="C19" s="215"/>
      <c r="D19" s="215"/>
      <c r="E19" s="215"/>
      <c r="F19" s="215"/>
      <c r="G19" s="273"/>
    </row>
    <row r="20" spans="1:11" s="363" customFormat="1" ht="20.100000000000001" customHeight="1">
      <c r="A20" s="175" t="s">
        <v>956</v>
      </c>
      <c r="B20" s="175" t="s">
        <v>957</v>
      </c>
      <c r="C20" s="175" t="s">
        <v>958</v>
      </c>
      <c r="D20" s="175" t="s">
        <v>959</v>
      </c>
      <c r="E20" s="175" t="s">
        <v>960</v>
      </c>
      <c r="F20" s="215"/>
      <c r="G20" s="217"/>
    </row>
    <row r="21" spans="1:11" s="363" customFormat="1" ht="20.100000000000001" customHeight="1">
      <c r="A21" s="176"/>
      <c r="B21" s="176"/>
      <c r="C21" s="176"/>
      <c r="D21" s="176"/>
      <c r="E21" s="176"/>
      <c r="F21" s="217"/>
      <c r="G21" s="387"/>
    </row>
    <row r="22" spans="1:11" s="363" customFormat="1" ht="20.100000000000001" customHeight="1">
      <c r="A22" s="176" t="s">
        <v>961</v>
      </c>
      <c r="B22" s="176" t="s">
        <v>740</v>
      </c>
      <c r="C22" s="176" t="s">
        <v>932</v>
      </c>
      <c r="D22" s="176" t="s">
        <v>932</v>
      </c>
      <c r="E22" s="176" t="s">
        <v>932</v>
      </c>
      <c r="F22" s="217"/>
      <c r="G22" s="387"/>
    </row>
    <row r="23" spans="1:11" s="363" customFormat="1" ht="20.100000000000001" customHeight="1">
      <c r="A23" s="234" t="s">
        <v>962</v>
      </c>
      <c r="B23" s="217"/>
      <c r="C23" s="217"/>
      <c r="D23" s="217"/>
      <c r="E23" s="217"/>
      <c r="F23" s="217"/>
      <c r="G23" s="387"/>
    </row>
    <row r="24" spans="1:11" s="363" customFormat="1" ht="20.100000000000001" customHeight="1">
      <c r="A24" s="22" t="s">
        <v>963</v>
      </c>
      <c r="B24" s="217"/>
      <c r="C24" s="217"/>
      <c r="D24" s="217"/>
      <c r="E24" s="217"/>
      <c r="F24" s="217"/>
      <c r="G24" s="387"/>
    </row>
    <row r="25" spans="1:11" s="363" customFormat="1" ht="20.100000000000001" customHeight="1">
      <c r="A25" s="234" t="s">
        <v>964</v>
      </c>
      <c r="B25" s="217"/>
      <c r="C25" s="217"/>
      <c r="D25" s="217"/>
      <c r="E25" s="217"/>
      <c r="F25" s="217"/>
      <c r="G25" s="387"/>
    </row>
    <row r="26" spans="1:11" s="363" customFormat="1" ht="20.100000000000001" customHeight="1">
      <c r="A26" s="236" t="s">
        <v>965</v>
      </c>
      <c r="B26" s="217"/>
      <c r="C26" s="217"/>
      <c r="D26" s="217"/>
      <c r="E26" s="217"/>
      <c r="F26" s="217"/>
      <c r="G26" s="387"/>
    </row>
    <row r="27" spans="1:11" s="363" customFormat="1" ht="14.4">
      <c r="A27" s="383"/>
      <c r="B27" s="383"/>
      <c r="C27" s="383"/>
      <c r="D27" s="383"/>
      <c r="E27" s="383"/>
      <c r="F27" s="383"/>
      <c r="G27" s="383"/>
    </row>
    <row r="28" spans="1:11" s="363" customFormat="1" ht="14.4">
      <c r="A28" s="383"/>
      <c r="B28" s="383"/>
      <c r="C28" s="383"/>
      <c r="D28" s="383"/>
      <c r="E28" s="383"/>
      <c r="F28" s="383"/>
      <c r="G28" s="383"/>
    </row>
    <row r="29" spans="1:11" s="363" customFormat="1" ht="14.4">
      <c r="A29" s="383"/>
      <c r="B29" s="383"/>
      <c r="C29" s="383"/>
      <c r="D29" s="383"/>
      <c r="E29" s="383"/>
      <c r="F29" s="383"/>
      <c r="G29" s="383"/>
    </row>
    <row r="30" spans="1:11" s="363" customFormat="1" ht="14.4">
      <c r="A30" s="383"/>
      <c r="B30" s="383"/>
      <c r="C30" s="383"/>
      <c r="D30" s="383"/>
      <c r="E30" s="383"/>
      <c r="F30" s="383"/>
      <c r="G30" s="383"/>
    </row>
    <row r="31" spans="1:11" s="363" customFormat="1" ht="14.4">
      <c r="A31" s="383"/>
      <c r="B31" s="383"/>
      <c r="C31" s="383"/>
      <c r="D31" s="383"/>
      <c r="E31" s="383"/>
      <c r="F31" s="383"/>
      <c r="G31" s="383"/>
    </row>
    <row r="32" spans="1:11" s="363" customFormat="1" ht="13.8"/>
    <row r="33" spans="7:9" ht="20.100000000000001" customHeight="1">
      <c r="G33" s="110"/>
      <c r="I33" s="5"/>
    </row>
  </sheetData>
  <mergeCells count="3">
    <mergeCell ref="B5:D5"/>
    <mergeCell ref="A13:D13"/>
    <mergeCell ref="A5:A6"/>
  </mergeCells>
  <phoneticPr fontId="78" type="noConversion"/>
  <hyperlinks>
    <hyperlink ref="D1" location="目录!A1" display="BACK"/>
  </hyperlinks>
  <pageMargins left="0.27500000000000002" right="0.27500000000000002" top="0.51180555555555596" bottom="0.51180555555555596" header="0.27500000000000002" footer="0.27500000000000002"/>
  <pageSetup paperSize="9" scale="90" orientation="landscape" blackAndWhite="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E63"/>
  <sheetViews>
    <sheetView view="pageBreakPreview" zoomScaleNormal="100" zoomScaleSheetLayoutView="100" workbookViewId="0">
      <selection activeCell="D18" sqref="D18"/>
    </sheetView>
  </sheetViews>
  <sheetFormatPr defaultColWidth="9" defaultRowHeight="20.100000000000001" customHeight="1"/>
  <cols>
    <col min="1" max="1" width="28" style="471" customWidth="1"/>
    <col min="2" max="2" width="28.8984375" style="471" customWidth="1"/>
    <col min="3" max="3" width="26.59765625" style="471" customWidth="1"/>
    <col min="4" max="4" width="28" style="471" customWidth="1"/>
    <col min="5" max="5" width="12.59765625" style="471" customWidth="1"/>
    <col min="6" max="16384" width="9" style="471"/>
  </cols>
  <sheetData>
    <row r="1" spans="1:5" ht="20.100000000000001" customHeight="1">
      <c r="A1" s="48" t="s">
        <v>145</v>
      </c>
      <c r="B1" s="49">
        <f>基础信息!B6</f>
        <v>0</v>
      </c>
      <c r="C1" s="314"/>
      <c r="D1" s="900" t="s">
        <v>146</v>
      </c>
      <c r="E1" s="314"/>
    </row>
    <row r="2" spans="1:5" ht="20.100000000000001" customHeight="1">
      <c r="A2" s="48" t="s">
        <v>147</v>
      </c>
      <c r="B2" s="49">
        <f>基础信息!B9</f>
        <v>0</v>
      </c>
      <c r="C2" s="314"/>
      <c r="D2" s="314"/>
      <c r="E2" s="314"/>
    </row>
    <row r="3" spans="1:5" s="469" customFormat="1" ht="20.100000000000001" customHeight="1">
      <c r="A3" s="341" t="s">
        <v>148</v>
      </c>
      <c r="B3" s="341" t="s">
        <v>966</v>
      </c>
      <c r="C3" s="314"/>
      <c r="D3" s="314"/>
      <c r="E3" s="472"/>
    </row>
    <row r="4" spans="1:5" s="419" customFormat="1" ht="20.100000000000001" customHeight="1">
      <c r="A4" s="215" t="s">
        <v>967</v>
      </c>
      <c r="B4" s="215"/>
      <c r="C4" s="215"/>
      <c r="D4" s="215"/>
      <c r="E4" s="215"/>
    </row>
    <row r="5" spans="1:5" s="470" customFormat="1" ht="20.100000000000001" customHeight="1">
      <c r="A5" s="1079" t="s">
        <v>968</v>
      </c>
      <c r="B5" s="1079" t="s">
        <v>969</v>
      </c>
      <c r="C5" s="1079"/>
      <c r="D5" s="1079"/>
      <c r="E5" s="1079" t="s">
        <v>970</v>
      </c>
    </row>
    <row r="6" spans="1:5" s="470" customFormat="1" ht="20.100000000000001" customHeight="1">
      <c r="A6" s="1079"/>
      <c r="B6" s="175" t="s">
        <v>971</v>
      </c>
      <c r="C6" s="175" t="s">
        <v>972</v>
      </c>
      <c r="D6" s="175" t="s">
        <v>973</v>
      </c>
      <c r="E6" s="1079"/>
    </row>
    <row r="7" spans="1:5" s="363" customFormat="1" ht="20.100000000000001" customHeight="1">
      <c r="A7" s="176" t="s">
        <v>974</v>
      </c>
      <c r="B7" s="216"/>
      <c r="C7" s="216"/>
      <c r="D7" s="14">
        <f>B7-C7</f>
        <v>0</v>
      </c>
      <c r="E7" s="216"/>
    </row>
    <row r="8" spans="1:5" s="363" customFormat="1" ht="20.100000000000001" customHeight="1">
      <c r="A8" s="176" t="s">
        <v>975</v>
      </c>
      <c r="B8" s="216"/>
      <c r="C8" s="216"/>
      <c r="D8" s="14">
        <f t="shared" ref="D8:D16" si="0">B8-C8</f>
        <v>0</v>
      </c>
      <c r="E8" s="216"/>
    </row>
    <row r="9" spans="1:5" s="363" customFormat="1" ht="20.100000000000001" customHeight="1">
      <c r="A9" s="176" t="s">
        <v>976</v>
      </c>
      <c r="B9" s="216"/>
      <c r="C9" s="216"/>
      <c r="D9" s="14">
        <f t="shared" si="0"/>
        <v>0</v>
      </c>
      <c r="E9" s="216"/>
    </row>
    <row r="10" spans="1:5" s="363" customFormat="1" ht="20.100000000000001" customHeight="1">
      <c r="A10" s="176" t="s">
        <v>977</v>
      </c>
      <c r="B10" s="216"/>
      <c r="C10" s="216"/>
      <c r="D10" s="14">
        <f t="shared" si="0"/>
        <v>0</v>
      </c>
      <c r="E10" s="216"/>
    </row>
    <row r="11" spans="1:5" s="363" customFormat="1" ht="20.100000000000001" customHeight="1">
      <c r="A11" s="176" t="s">
        <v>978</v>
      </c>
      <c r="B11" s="216"/>
      <c r="C11" s="216"/>
      <c r="D11" s="14">
        <f t="shared" si="0"/>
        <v>0</v>
      </c>
      <c r="E11" s="216"/>
    </row>
    <row r="12" spans="1:5" s="363" customFormat="1" ht="20.100000000000001" customHeight="1">
      <c r="A12" s="176" t="s">
        <v>977</v>
      </c>
      <c r="B12" s="216"/>
      <c r="C12" s="216"/>
      <c r="D12" s="14">
        <f t="shared" si="0"/>
        <v>0</v>
      </c>
      <c r="E12" s="216"/>
    </row>
    <row r="13" spans="1:5" s="363" customFormat="1" ht="20.100000000000001" customHeight="1">
      <c r="A13" s="176" t="s">
        <v>881</v>
      </c>
      <c r="B13" s="216"/>
      <c r="C13" s="216"/>
      <c r="D13" s="14">
        <f t="shared" si="0"/>
        <v>0</v>
      </c>
      <c r="E13" s="216"/>
    </row>
    <row r="14" spans="1:5" s="363" customFormat="1" ht="20.100000000000001" customHeight="1">
      <c r="A14" s="278" t="s">
        <v>712</v>
      </c>
      <c r="B14" s="216"/>
      <c r="C14" s="216"/>
      <c r="D14" s="14">
        <f t="shared" si="0"/>
        <v>0</v>
      </c>
      <c r="E14" s="216"/>
    </row>
    <row r="15" spans="1:5" s="363" customFormat="1" ht="20.100000000000001" customHeight="1">
      <c r="A15" s="176" t="s">
        <v>979</v>
      </c>
      <c r="B15" s="216"/>
      <c r="C15" s="216"/>
      <c r="D15" s="14">
        <f t="shared" si="0"/>
        <v>0</v>
      </c>
      <c r="E15" s="216"/>
    </row>
    <row r="16" spans="1:5" s="363" customFormat="1" ht="20.100000000000001" customHeight="1">
      <c r="A16" s="176" t="s">
        <v>980</v>
      </c>
      <c r="B16" s="216"/>
      <c r="C16" s="216"/>
      <c r="D16" s="14">
        <f t="shared" si="0"/>
        <v>0</v>
      </c>
      <c r="E16" s="216"/>
    </row>
    <row r="17" spans="1:5" s="363" customFormat="1" ht="20.100000000000001" customHeight="1">
      <c r="A17" s="176" t="s">
        <v>961</v>
      </c>
      <c r="B17" s="218">
        <f>B15-B16</f>
        <v>0</v>
      </c>
      <c r="C17" s="218">
        <f t="shared" ref="C17:D17" si="1">C15-C16</f>
        <v>0</v>
      </c>
      <c r="D17" s="14">
        <f t="shared" si="1"/>
        <v>0</v>
      </c>
      <c r="E17" s="216"/>
    </row>
    <row r="18" spans="1:5" s="363" customFormat="1" ht="20.100000000000001" customHeight="1">
      <c r="A18" s="219" t="s">
        <v>623</v>
      </c>
      <c r="B18" s="365"/>
      <c r="C18" s="133"/>
      <c r="D18" s="14"/>
      <c r="E18" s="216"/>
    </row>
    <row r="19" spans="1:5" s="363" customFormat="1" ht="20.100000000000001" customHeight="1">
      <c r="A19" s="328"/>
      <c r="B19" s="365"/>
      <c r="C19" s="133"/>
      <c r="D19" s="84">
        <f>D17-D18</f>
        <v>0</v>
      </c>
      <c r="E19" s="216"/>
    </row>
    <row r="20" spans="1:5" s="363" customFormat="1" ht="20.100000000000001" customHeight="1">
      <c r="A20" s="221"/>
      <c r="B20" s="221"/>
      <c r="C20" s="376"/>
      <c r="D20" s="221" t="str">
        <f>IF(D19=0,"OK","NO")</f>
        <v>OK</v>
      </c>
      <c r="E20" s="319"/>
    </row>
    <row r="21" spans="1:5" s="363" customFormat="1" ht="20.100000000000001" customHeight="1">
      <c r="A21" s="319"/>
      <c r="B21" s="319"/>
      <c r="C21" s="319"/>
      <c r="D21" s="319"/>
      <c r="E21" s="319"/>
    </row>
    <row r="22" spans="1:5" s="363" customFormat="1" ht="20.100000000000001" customHeight="1">
      <c r="A22" s="217" t="s">
        <v>981</v>
      </c>
      <c r="B22" s="217"/>
      <c r="C22" s="217"/>
      <c r="D22" s="217"/>
      <c r="E22" s="217"/>
    </row>
    <row r="23" spans="1:5" s="419" customFormat="1" ht="20.100000000000001" customHeight="1">
      <c r="A23" s="9" t="s">
        <v>982</v>
      </c>
      <c r="B23" s="215"/>
      <c r="C23" s="273"/>
      <c r="D23" s="273"/>
      <c r="E23" s="273"/>
    </row>
    <row r="24" spans="1:5" s="363" customFormat="1" ht="20.100000000000001" customHeight="1">
      <c r="A24" s="175" t="s">
        <v>983</v>
      </c>
      <c r="B24" s="175" t="s">
        <v>969</v>
      </c>
      <c r="C24" s="217"/>
      <c r="D24" s="217"/>
      <c r="E24" s="217"/>
    </row>
    <row r="25" spans="1:5" s="363" customFormat="1" ht="20.100000000000001" customHeight="1">
      <c r="A25" s="176" t="s">
        <v>984</v>
      </c>
      <c r="B25" s="176"/>
      <c r="C25" s="217"/>
      <c r="D25" s="217"/>
      <c r="E25" s="217"/>
    </row>
    <row r="26" spans="1:5" s="363" customFormat="1" ht="20.100000000000001" customHeight="1">
      <c r="A26" s="176" t="s">
        <v>985</v>
      </c>
      <c r="B26" s="176"/>
      <c r="C26" s="217"/>
      <c r="D26" s="217"/>
      <c r="E26" s="217"/>
    </row>
    <row r="27" spans="1:5" s="363" customFormat="1" ht="20.100000000000001" customHeight="1">
      <c r="A27" s="176" t="s">
        <v>986</v>
      </c>
      <c r="B27" s="176"/>
      <c r="C27" s="217"/>
      <c r="D27" s="217"/>
      <c r="E27" s="217"/>
    </row>
    <row r="28" spans="1:5" s="363" customFormat="1" ht="20.100000000000001" customHeight="1">
      <c r="A28" s="176" t="s">
        <v>987</v>
      </c>
      <c r="B28" s="227"/>
      <c r="C28" s="217"/>
      <c r="D28" s="217"/>
      <c r="E28" s="217"/>
    </row>
    <row r="29" spans="1:5" s="363" customFormat="1" ht="20.100000000000001" customHeight="1">
      <c r="A29" s="176" t="s">
        <v>961</v>
      </c>
      <c r="B29" s="176">
        <f>SUM(B25:B28)</f>
        <v>0</v>
      </c>
      <c r="C29" s="217"/>
      <c r="D29" s="217"/>
      <c r="E29" s="217"/>
    </row>
    <row r="30" spans="1:5" s="363" customFormat="1" ht="20.100000000000001" customHeight="1">
      <c r="A30" s="1080" t="s">
        <v>988</v>
      </c>
      <c r="B30" s="1080"/>
      <c r="C30" s="1080"/>
      <c r="D30" s="217"/>
      <c r="E30" s="217"/>
    </row>
    <row r="31" spans="1:5" s="363" customFormat="1" ht="20.100000000000001" customHeight="1">
      <c r="A31" s="217"/>
      <c r="B31" s="217"/>
      <c r="C31" s="217"/>
      <c r="D31" s="217"/>
      <c r="E31" s="217"/>
    </row>
    <row r="32" spans="1:5" s="363" customFormat="1" ht="20.100000000000001" customHeight="1">
      <c r="A32" s="217"/>
      <c r="B32" s="217"/>
      <c r="C32" s="217"/>
      <c r="D32" s="217"/>
      <c r="E32" s="217"/>
    </row>
    <row r="33" spans="1:5" s="363" customFormat="1" ht="20.100000000000001" customHeight="1">
      <c r="A33" s="121" t="s">
        <v>989</v>
      </c>
      <c r="B33" s="217"/>
      <c r="C33" s="217"/>
      <c r="D33" s="217"/>
      <c r="E33" s="217"/>
    </row>
    <row r="34" spans="1:5" s="363" customFormat="1" ht="20.100000000000001" customHeight="1">
      <c r="A34" s="234" t="s">
        <v>990</v>
      </c>
      <c r="B34" s="281"/>
      <c r="C34" s="281"/>
      <c r="D34" s="217"/>
      <c r="E34" s="217"/>
    </row>
    <row r="35" spans="1:5" s="363" customFormat="1" ht="20.100000000000001" customHeight="1">
      <c r="A35" s="175" t="s">
        <v>968</v>
      </c>
      <c r="B35" s="175" t="s">
        <v>991</v>
      </c>
      <c r="C35" s="175" t="s">
        <v>992</v>
      </c>
      <c r="D35" s="175" t="s">
        <v>993</v>
      </c>
      <c r="E35" s="217"/>
    </row>
    <row r="36" spans="1:5" s="363" customFormat="1" ht="20.100000000000001" customHeight="1">
      <c r="A36" s="176"/>
      <c r="B36" s="176"/>
      <c r="C36" s="176"/>
      <c r="D36" s="176"/>
      <c r="E36" s="217"/>
    </row>
    <row r="37" spans="1:5" s="363" customFormat="1" ht="20.100000000000001" customHeight="1">
      <c r="A37" s="176"/>
      <c r="B37" s="278"/>
      <c r="C37" s="278"/>
      <c r="D37" s="278"/>
      <c r="E37" s="217"/>
    </row>
    <row r="38" spans="1:5" s="363" customFormat="1" ht="20.100000000000001" customHeight="1">
      <c r="A38" s="278"/>
      <c r="B38" s="278"/>
      <c r="C38" s="278"/>
      <c r="D38" s="278"/>
      <c r="E38" s="217"/>
    </row>
    <row r="39" spans="1:5" s="363" customFormat="1" ht="20.100000000000001" customHeight="1">
      <c r="A39" s="176" t="s">
        <v>961</v>
      </c>
      <c r="B39" s="176"/>
      <c r="C39" s="473">
        <f>SUM(C36:C38)</f>
        <v>0</v>
      </c>
      <c r="D39" s="473">
        <f>SUM(D36:D38)</f>
        <v>0</v>
      </c>
      <c r="E39" s="217"/>
    </row>
    <row r="40" spans="1:5" s="363" customFormat="1" ht="20.100000000000001" customHeight="1">
      <c r="A40" s="217" t="s">
        <v>994</v>
      </c>
      <c r="B40" s="217"/>
      <c r="C40" s="217"/>
      <c r="D40" s="217"/>
      <c r="E40" s="217"/>
    </row>
    <row r="41" spans="1:5" s="363" customFormat="1" ht="20.100000000000001" customHeight="1">
      <c r="A41" s="217"/>
      <c r="B41" s="217"/>
      <c r="C41" s="217"/>
      <c r="D41" s="217"/>
      <c r="E41" s="217"/>
    </row>
    <row r="42" spans="1:5" s="363" customFormat="1" ht="20.100000000000001" customHeight="1">
      <c r="A42" s="217"/>
      <c r="B42" s="217"/>
      <c r="C42" s="217"/>
      <c r="D42" s="217"/>
      <c r="E42" s="217"/>
    </row>
    <row r="43" spans="1:5" s="363" customFormat="1" ht="20.100000000000001" customHeight="1">
      <c r="A43" s="1081" t="s">
        <v>995</v>
      </c>
      <c r="B43" s="1081"/>
      <c r="C43" s="1081"/>
      <c r="D43" s="1081"/>
      <c r="E43" s="217"/>
    </row>
    <row r="44" spans="1:5" s="363" customFormat="1" ht="20.100000000000001" customHeight="1">
      <c r="A44" s="1077" t="s">
        <v>996</v>
      </c>
      <c r="B44" s="1077"/>
      <c r="C44" s="1077"/>
      <c r="D44" s="1077"/>
      <c r="E44" s="217"/>
    </row>
    <row r="45" spans="1:5" s="363" customFormat="1" ht="20.100000000000001" customHeight="1">
      <c r="A45" s="175" t="s">
        <v>968</v>
      </c>
      <c r="B45" s="175" t="s">
        <v>969</v>
      </c>
      <c r="C45" s="217"/>
      <c r="D45" s="217"/>
      <c r="E45" s="217"/>
    </row>
    <row r="46" spans="1:5" s="363" customFormat="1" ht="20.100000000000001" customHeight="1">
      <c r="A46" s="176" t="s">
        <v>997</v>
      </c>
      <c r="B46" s="216"/>
      <c r="C46" s="217"/>
      <c r="D46" s="217"/>
      <c r="E46" s="217"/>
    </row>
    <row r="47" spans="1:5" s="363" customFormat="1" ht="20.100000000000001" customHeight="1">
      <c r="A47" s="176"/>
      <c r="B47" s="216"/>
      <c r="C47" s="217"/>
      <c r="D47" s="217"/>
      <c r="E47" s="217"/>
    </row>
    <row r="48" spans="1:5" s="363" customFormat="1" ht="20.100000000000001" customHeight="1">
      <c r="A48" s="176"/>
      <c r="B48" s="216"/>
      <c r="C48" s="217"/>
      <c r="D48" s="217"/>
      <c r="E48" s="217"/>
    </row>
    <row r="49" spans="1:5" s="363" customFormat="1" ht="20.100000000000001" customHeight="1">
      <c r="A49" s="176"/>
      <c r="B49" s="216"/>
      <c r="C49" s="217"/>
      <c r="D49" s="217"/>
      <c r="E49" s="217"/>
    </row>
    <row r="50" spans="1:5" s="363" customFormat="1" ht="20.100000000000001" customHeight="1">
      <c r="A50" s="176"/>
      <c r="B50" s="216"/>
      <c r="C50" s="217"/>
      <c r="D50" s="217"/>
      <c r="E50" s="217"/>
    </row>
    <row r="51" spans="1:5" s="363" customFormat="1" ht="20.100000000000001" customHeight="1">
      <c r="A51" s="176" t="s">
        <v>998</v>
      </c>
      <c r="B51" s="218">
        <f>SUM(B47:B50)</f>
        <v>0</v>
      </c>
      <c r="C51" s="217"/>
      <c r="D51" s="217"/>
      <c r="E51" s="217"/>
    </row>
    <row r="52" spans="1:5" s="363" customFormat="1" ht="20.100000000000001" customHeight="1">
      <c r="A52" s="176" t="s">
        <v>999</v>
      </c>
      <c r="B52" s="474"/>
      <c r="C52" s="217"/>
      <c r="D52" s="217"/>
      <c r="E52" s="217"/>
    </row>
    <row r="53" spans="1:5" s="363" customFormat="1" ht="20.100000000000001" customHeight="1">
      <c r="A53" s="176"/>
      <c r="B53" s="474"/>
      <c r="C53" s="217"/>
      <c r="D53" s="217"/>
      <c r="E53" s="217"/>
    </row>
    <row r="54" spans="1:5" s="363" customFormat="1" ht="20.100000000000001" customHeight="1">
      <c r="A54" s="176"/>
      <c r="B54" s="474"/>
      <c r="C54" s="217"/>
      <c r="D54" s="217"/>
      <c r="E54" s="217"/>
    </row>
    <row r="55" spans="1:5" s="363" customFormat="1" ht="20.100000000000001" customHeight="1">
      <c r="A55" s="176"/>
      <c r="B55" s="474"/>
      <c r="C55" s="217"/>
      <c r="D55" s="217"/>
      <c r="E55" s="217"/>
    </row>
    <row r="56" spans="1:5" s="363" customFormat="1" ht="20.100000000000001" customHeight="1">
      <c r="A56" s="176"/>
      <c r="B56" s="474"/>
      <c r="C56" s="217"/>
      <c r="D56" s="217"/>
      <c r="E56" s="217"/>
    </row>
    <row r="57" spans="1:5" s="363" customFormat="1" ht="20.100000000000001" customHeight="1">
      <c r="A57" s="278"/>
      <c r="B57" s="474"/>
      <c r="C57" s="217"/>
      <c r="D57" s="217"/>
      <c r="E57" s="217"/>
    </row>
    <row r="58" spans="1:5" s="363" customFormat="1" ht="20.100000000000001" customHeight="1">
      <c r="A58" s="176" t="s">
        <v>1000</v>
      </c>
      <c r="B58" s="218">
        <f>SUM(B53:B57)</f>
        <v>0</v>
      </c>
      <c r="C58" s="217"/>
      <c r="D58" s="217"/>
      <c r="E58" s="217"/>
    </row>
    <row r="59" spans="1:5" s="363" customFormat="1" ht="20.100000000000001" customHeight="1">
      <c r="A59" s="217" t="s">
        <v>994</v>
      </c>
      <c r="B59" s="217"/>
      <c r="C59" s="217"/>
      <c r="D59" s="217"/>
      <c r="E59" s="217"/>
    </row>
    <row r="60" spans="1:5" s="363" customFormat="1" ht="20.100000000000001" customHeight="1">
      <c r="A60" s="1077" t="s">
        <v>1001</v>
      </c>
      <c r="B60" s="1077"/>
      <c r="C60" s="1077"/>
      <c r="D60" s="1077"/>
      <c r="E60" s="217"/>
    </row>
    <row r="61" spans="1:5" s="383" customFormat="1" ht="14.4">
      <c r="A61" s="363"/>
      <c r="B61" s="363"/>
      <c r="C61" s="363"/>
      <c r="D61" s="363"/>
      <c r="E61" s="363"/>
    </row>
    <row r="62" spans="1:5" s="383" customFormat="1" ht="20.100000000000001" customHeight="1">
      <c r="A62" s="363"/>
      <c r="B62" s="363"/>
      <c r="C62" s="363"/>
      <c r="D62" s="363"/>
      <c r="E62" s="363"/>
    </row>
    <row r="63" spans="1:5" ht="20.100000000000001" customHeight="1">
      <c r="A63" s="201"/>
      <c r="B63" s="201"/>
      <c r="C63" s="201"/>
      <c r="D63" s="201"/>
      <c r="E63" s="201"/>
    </row>
  </sheetData>
  <mergeCells count="7">
    <mergeCell ref="A60:D60"/>
    <mergeCell ref="A5:A6"/>
    <mergeCell ref="E5:E6"/>
    <mergeCell ref="B5:D5"/>
    <mergeCell ref="A30:C30"/>
    <mergeCell ref="A43:D43"/>
    <mergeCell ref="A44:D44"/>
  </mergeCells>
  <phoneticPr fontId="78" type="noConversion"/>
  <hyperlinks>
    <hyperlink ref="D1" location="目录!A1" display="BACK"/>
  </hyperlinks>
  <pageMargins left="0.74791666666666701" right="0.74791666666666701" top="0.98402777777777795" bottom="0.98402777777777795" header="0.51180555555555596" footer="0.51180555555555596"/>
  <pageSetup paperSize="9" scale="59" orientation="portrait" blackAndWhite="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I52"/>
  <sheetViews>
    <sheetView view="pageBreakPreview" zoomScaleNormal="100" zoomScaleSheetLayoutView="100" workbookViewId="0">
      <selection activeCell="E10" sqref="E10"/>
    </sheetView>
  </sheetViews>
  <sheetFormatPr defaultColWidth="9" defaultRowHeight="20.100000000000001" customHeight="1"/>
  <cols>
    <col min="1" max="1" width="34.59765625" style="324" customWidth="1"/>
    <col min="2" max="2" width="33.19921875" style="324" customWidth="1"/>
    <col min="3" max="4" width="20.59765625" style="324" customWidth="1"/>
    <col min="5" max="5" width="22.69921875" style="324" customWidth="1"/>
    <col min="6" max="16384" width="9" style="324"/>
  </cols>
  <sheetData>
    <row r="1" spans="1:9" ht="20.100000000000001" customHeight="1">
      <c r="A1" s="48" t="s">
        <v>145</v>
      </c>
      <c r="B1" s="49">
        <f>基础信息!B6</f>
        <v>0</v>
      </c>
      <c r="C1" s="465"/>
      <c r="D1" s="314"/>
      <c r="E1" s="900" t="s">
        <v>146</v>
      </c>
      <c r="F1" s="325"/>
    </row>
    <row r="2" spans="1:9" ht="20.100000000000001" customHeight="1">
      <c r="A2" s="48" t="s">
        <v>147</v>
      </c>
      <c r="B2" s="49">
        <f>基础信息!B9</f>
        <v>0</v>
      </c>
      <c r="C2" s="465"/>
      <c r="D2" s="314"/>
      <c r="E2" s="314"/>
      <c r="F2" s="325"/>
    </row>
    <row r="3" spans="1:9" s="321" customFormat="1" ht="20.100000000000001" customHeight="1">
      <c r="A3" s="341" t="s">
        <v>148</v>
      </c>
      <c r="B3" s="341" t="s">
        <v>1002</v>
      </c>
      <c r="C3" s="466"/>
      <c r="D3" s="370"/>
      <c r="E3" s="370"/>
      <c r="F3" s="325"/>
      <c r="G3" s="324"/>
      <c r="H3" s="324"/>
      <c r="I3" s="324"/>
    </row>
    <row r="4" spans="1:9" s="96" customFormat="1" ht="20.100000000000001" customHeight="1">
      <c r="A4" s="136" t="s">
        <v>1003</v>
      </c>
      <c r="B4" s="467"/>
      <c r="C4" s="136"/>
      <c r="D4" s="136"/>
      <c r="E4" s="136"/>
    </row>
    <row r="5" spans="1:9" s="94" customFormat="1" ht="20.100000000000001" customHeight="1">
      <c r="A5" s="10" t="s">
        <v>729</v>
      </c>
      <c r="B5" s="10" t="s">
        <v>1004</v>
      </c>
      <c r="C5" s="10" t="s">
        <v>1005</v>
      </c>
      <c r="D5" s="10" t="s">
        <v>1006</v>
      </c>
      <c r="E5" s="10" t="s">
        <v>737</v>
      </c>
      <c r="F5" s="96"/>
    </row>
    <row r="6" spans="1:9" s="96" customFormat="1" ht="20.100000000000001" customHeight="1">
      <c r="A6" s="26" t="s">
        <v>55</v>
      </c>
      <c r="B6" s="85"/>
      <c r="C6" s="85"/>
      <c r="D6" s="85"/>
      <c r="E6" s="84">
        <f>B6+C6-D6</f>
        <v>0</v>
      </c>
      <c r="G6" s="21"/>
      <c r="H6" s="21"/>
      <c r="I6" s="21"/>
    </row>
    <row r="7" spans="1:9" s="96" customFormat="1" ht="20.100000000000001" customHeight="1">
      <c r="A7" s="26"/>
      <c r="B7" s="85"/>
      <c r="C7" s="85"/>
      <c r="D7" s="85"/>
      <c r="E7" s="84">
        <f t="shared" ref="E7:E8" si="0">B7+C7-D7</f>
        <v>0</v>
      </c>
      <c r="G7" s="21"/>
      <c r="H7" s="21"/>
      <c r="I7" s="21"/>
    </row>
    <row r="8" spans="1:9" s="21" customFormat="1" ht="28.5" customHeight="1">
      <c r="A8" s="168" t="s">
        <v>1007</v>
      </c>
      <c r="B8" s="85"/>
      <c r="C8" s="85"/>
      <c r="D8" s="85"/>
      <c r="E8" s="84">
        <f t="shared" si="0"/>
        <v>0</v>
      </c>
      <c r="F8" s="96"/>
    </row>
    <row r="9" spans="1:9" s="310" customFormat="1" ht="20.100000000000001" customHeight="1">
      <c r="A9" s="26" t="s">
        <v>632</v>
      </c>
      <c r="B9" s="84">
        <f>SUM(B6:B8)</f>
        <v>0</v>
      </c>
      <c r="C9" s="84">
        <f t="shared" ref="C9:E9" si="1">SUM(C6:C8)</f>
        <v>0</v>
      </c>
      <c r="D9" s="84">
        <f t="shared" si="1"/>
        <v>0</v>
      </c>
      <c r="E9" s="84">
        <f t="shared" si="1"/>
        <v>0</v>
      </c>
      <c r="F9" s="328"/>
    </row>
    <row r="10" spans="1:9" s="347" customFormat="1" ht="20.100000000000001" customHeight="1">
      <c r="A10" s="112" t="s">
        <v>623</v>
      </c>
      <c r="B10" s="365"/>
      <c r="C10" s="133"/>
      <c r="D10" s="133"/>
      <c r="E10" s="279"/>
    </row>
    <row r="11" spans="1:9" s="347" customFormat="1" ht="20.100000000000001" customHeight="1">
      <c r="A11" s="328"/>
      <c r="B11" s="365"/>
      <c r="C11" s="133"/>
      <c r="D11" s="365"/>
      <c r="E11" s="220">
        <f>E9-E10</f>
        <v>0</v>
      </c>
    </row>
    <row r="12" spans="1:9" s="347" customFormat="1" ht="20.100000000000001" customHeight="1">
      <c r="A12" s="305"/>
      <c r="B12" s="305"/>
      <c r="C12" s="227"/>
      <c r="D12" s="305"/>
      <c r="E12" s="305" t="str">
        <f>IF(E11=0,"OK","NO")</f>
        <v>OK</v>
      </c>
    </row>
    <row r="13" spans="1:9" ht="20.100000000000001" customHeight="1">
      <c r="A13" s="468" t="s">
        <v>1008</v>
      </c>
      <c r="B13" s="310"/>
      <c r="C13" s="328"/>
      <c r="D13" s="328"/>
      <c r="E13" s="328"/>
      <c r="F13" s="321"/>
    </row>
    <row r="14" spans="1:9" ht="20.100000000000001" customHeight="1">
      <c r="C14" s="321"/>
      <c r="D14" s="321"/>
      <c r="E14" s="321"/>
      <c r="F14" s="321"/>
    </row>
    <row r="15" spans="1:9" ht="20.100000000000001" customHeight="1">
      <c r="C15" s="321"/>
      <c r="D15" s="321"/>
      <c r="E15" s="321"/>
      <c r="F15" s="321"/>
    </row>
    <row r="16" spans="1:9" ht="20.100000000000001" customHeight="1">
      <c r="C16" s="321"/>
      <c r="D16" s="321"/>
      <c r="E16" s="321"/>
      <c r="F16" s="321"/>
    </row>
    <row r="17" spans="3:6" ht="20.100000000000001" customHeight="1">
      <c r="C17" s="321"/>
      <c r="D17" s="321"/>
      <c r="E17" s="321"/>
      <c r="F17" s="321"/>
    </row>
    <row r="18" spans="3:6" ht="20.100000000000001" customHeight="1">
      <c r="C18" s="321"/>
      <c r="D18" s="321"/>
      <c r="E18" s="321"/>
      <c r="F18" s="321"/>
    </row>
    <row r="19" spans="3:6" ht="20.100000000000001" customHeight="1">
      <c r="C19" s="321"/>
      <c r="D19" s="321"/>
      <c r="E19" s="321"/>
      <c r="F19" s="321"/>
    </row>
    <row r="20" spans="3:6" ht="13.8">
      <c r="C20" s="321"/>
      <c r="D20" s="321"/>
      <c r="E20" s="321"/>
      <c r="F20" s="321"/>
    </row>
    <row r="21" spans="3:6" ht="13.8">
      <c r="C21" s="321"/>
      <c r="D21" s="321"/>
      <c r="E21" s="321"/>
      <c r="F21" s="321"/>
    </row>
    <row r="22" spans="3:6" ht="13.8">
      <c r="C22" s="321"/>
      <c r="D22" s="321"/>
      <c r="E22" s="321"/>
      <c r="F22" s="321"/>
    </row>
    <row r="23" spans="3:6" ht="13.8">
      <c r="C23" s="321"/>
      <c r="D23" s="321"/>
      <c r="E23" s="321"/>
      <c r="F23" s="321"/>
    </row>
    <row r="24" spans="3:6" ht="13.8">
      <c r="C24" s="321"/>
      <c r="D24" s="321"/>
      <c r="E24" s="321"/>
      <c r="F24" s="321"/>
    </row>
    <row r="25" spans="3:6" ht="13.8">
      <c r="C25" s="321"/>
      <c r="D25" s="321"/>
      <c r="E25" s="321"/>
      <c r="F25" s="321"/>
    </row>
    <row r="26" spans="3:6" ht="13.8">
      <c r="C26" s="321"/>
      <c r="D26" s="321"/>
      <c r="E26" s="321"/>
      <c r="F26" s="321"/>
    </row>
    <row r="27" spans="3:6" ht="13.8">
      <c r="C27" s="321"/>
      <c r="D27" s="321"/>
      <c r="E27" s="321"/>
      <c r="F27" s="321"/>
    </row>
    <row r="28" spans="3:6" ht="13.8">
      <c r="C28" s="321"/>
      <c r="D28" s="321"/>
      <c r="E28" s="321"/>
      <c r="F28" s="321"/>
    </row>
    <row r="29" spans="3:6" ht="13.8">
      <c r="C29" s="321"/>
      <c r="D29" s="321"/>
      <c r="E29" s="321"/>
      <c r="F29" s="321"/>
    </row>
    <row r="30" spans="3:6" ht="13.8">
      <c r="C30" s="321"/>
      <c r="D30" s="321"/>
      <c r="E30" s="321"/>
      <c r="F30" s="321"/>
    </row>
    <row r="31" spans="3:6" ht="13.8">
      <c r="C31" s="321"/>
      <c r="D31" s="321"/>
      <c r="E31" s="321"/>
      <c r="F31" s="321"/>
    </row>
    <row r="32" spans="3:6" ht="13.8">
      <c r="C32" s="321"/>
      <c r="D32" s="321"/>
      <c r="E32" s="321"/>
      <c r="F32" s="321"/>
    </row>
    <row r="33" spans="3:6" ht="13.8">
      <c r="C33" s="321"/>
      <c r="D33" s="321"/>
      <c r="E33" s="321"/>
      <c r="F33" s="321"/>
    </row>
    <row r="34" spans="3:6" ht="13.8">
      <c r="C34" s="321"/>
      <c r="D34" s="321"/>
      <c r="E34" s="321"/>
      <c r="F34" s="321"/>
    </row>
    <row r="35" spans="3:6" ht="13.8">
      <c r="C35" s="321"/>
      <c r="D35" s="321"/>
      <c r="E35" s="321"/>
      <c r="F35" s="321"/>
    </row>
    <row r="36" spans="3:6" ht="13.8">
      <c r="C36" s="321"/>
      <c r="D36" s="321"/>
      <c r="E36" s="321"/>
      <c r="F36" s="321"/>
    </row>
    <row r="37" spans="3:6" ht="13.8">
      <c r="C37" s="321"/>
      <c r="D37" s="321"/>
      <c r="E37" s="321"/>
      <c r="F37" s="321"/>
    </row>
    <row r="38" spans="3:6" ht="13.8">
      <c r="C38" s="321"/>
      <c r="D38" s="321"/>
      <c r="E38" s="321"/>
      <c r="F38" s="321"/>
    </row>
    <row r="39" spans="3:6" ht="13.8">
      <c r="C39" s="321"/>
      <c r="D39" s="321"/>
      <c r="E39" s="321"/>
      <c r="F39" s="321"/>
    </row>
    <row r="40" spans="3:6" ht="13.8">
      <c r="C40" s="321"/>
      <c r="D40" s="321"/>
      <c r="E40" s="321"/>
      <c r="F40" s="321"/>
    </row>
    <row r="41" spans="3:6" ht="13.8">
      <c r="C41" s="321"/>
      <c r="D41" s="321"/>
      <c r="E41" s="321"/>
      <c r="F41" s="321"/>
    </row>
    <row r="42" spans="3:6" ht="13.8">
      <c r="C42" s="321"/>
      <c r="D42" s="321"/>
      <c r="E42" s="321"/>
      <c r="F42" s="321"/>
    </row>
    <row r="43" spans="3:6" ht="13.8">
      <c r="C43" s="321"/>
      <c r="D43" s="321"/>
      <c r="E43" s="321"/>
      <c r="F43" s="321"/>
    </row>
    <row r="44" spans="3:6" ht="13.8">
      <c r="C44" s="321"/>
      <c r="D44" s="321"/>
      <c r="E44" s="321"/>
      <c r="F44" s="321"/>
    </row>
    <row r="45" spans="3:6" ht="13.8">
      <c r="C45" s="321"/>
      <c r="D45" s="321"/>
      <c r="E45" s="321"/>
      <c r="F45" s="321"/>
    </row>
    <row r="46" spans="3:6" ht="13.8">
      <c r="C46" s="321"/>
      <c r="D46" s="321"/>
      <c r="E46" s="321"/>
      <c r="F46" s="321"/>
    </row>
    <row r="47" spans="3:6" ht="13.8">
      <c r="C47" s="321"/>
      <c r="D47" s="321"/>
      <c r="E47" s="321"/>
      <c r="F47" s="321"/>
    </row>
    <row r="48" spans="3:6" ht="13.8">
      <c r="C48" s="321"/>
      <c r="D48" s="321"/>
      <c r="E48" s="321"/>
      <c r="F48" s="321"/>
    </row>
    <row r="49" spans="3:6" ht="13.8">
      <c r="C49" s="321"/>
      <c r="D49" s="321"/>
      <c r="E49" s="321"/>
      <c r="F49" s="321"/>
    </row>
    <row r="50" spans="3:6" ht="13.8">
      <c r="C50" s="321"/>
      <c r="D50" s="321"/>
      <c r="E50" s="321"/>
      <c r="F50" s="321"/>
    </row>
    <row r="51" spans="3:6" ht="13.8">
      <c r="C51" s="321"/>
      <c r="D51" s="321"/>
      <c r="E51" s="321"/>
      <c r="F51" s="321"/>
    </row>
    <row r="52" spans="3:6" ht="13.8">
      <c r="C52" s="321"/>
      <c r="D52" s="321"/>
      <c r="E52" s="321"/>
      <c r="F52" s="321"/>
    </row>
  </sheetData>
  <phoneticPr fontId="78" type="noConversion"/>
  <hyperlinks>
    <hyperlink ref="E1" location="目录!A1" display="BACK"/>
  </hyperlinks>
  <pageMargins left="0.70763888888888904" right="0.70763888888888904" top="0.74791666666666701" bottom="0.74791666666666701" header="0.31388888888888899" footer="0.31388888888888899"/>
  <pageSetup paperSize="9" scale="49" orientation="portrait" blackAndWhite="1" horizontalDpi="1200" verticalDpi="12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M138"/>
  <sheetViews>
    <sheetView view="pageBreakPreview" topLeftCell="A16" zoomScaleNormal="100" zoomScaleSheetLayoutView="100" workbookViewId="0">
      <selection activeCell="K1" sqref="K1"/>
    </sheetView>
  </sheetViews>
  <sheetFormatPr defaultColWidth="9" defaultRowHeight="20.100000000000001" customHeight="1"/>
  <cols>
    <col min="1" max="1" width="30.5" style="5" customWidth="1"/>
    <col min="2" max="2" width="18.59765625" style="5" customWidth="1"/>
    <col min="3" max="4" width="11" style="5" customWidth="1"/>
    <col min="5" max="5" width="11.8984375" style="5" customWidth="1"/>
    <col min="6" max="6" width="16.3984375" style="5" customWidth="1"/>
    <col min="7" max="7" width="19.8984375" style="5" customWidth="1"/>
    <col min="8" max="9" width="8.19921875" style="5" customWidth="1"/>
    <col min="10" max="12" width="8.19921875" style="110" customWidth="1"/>
    <col min="13" max="16384" width="9" style="110"/>
  </cols>
  <sheetData>
    <row r="1" spans="1:12" ht="20.100000000000001" customHeight="1">
      <c r="A1" s="48" t="s">
        <v>145</v>
      </c>
      <c r="B1" s="49">
        <f>基础信息!B6</f>
        <v>0</v>
      </c>
      <c r="C1" s="16"/>
      <c r="D1" s="16"/>
      <c r="E1" s="19"/>
      <c r="F1" s="16"/>
      <c r="G1" s="16"/>
      <c r="H1" s="16"/>
      <c r="I1" s="16"/>
      <c r="J1" s="122"/>
      <c r="K1" s="900" t="s">
        <v>146</v>
      </c>
      <c r="L1" s="122"/>
    </row>
    <row r="2" spans="1:12" ht="20.100000000000001" customHeight="1">
      <c r="A2" s="48" t="s">
        <v>147</v>
      </c>
      <c r="B2" s="49">
        <f>基础信息!B9</f>
        <v>0</v>
      </c>
      <c r="C2" s="16"/>
      <c r="D2" s="16"/>
      <c r="E2" s="16"/>
      <c r="F2" s="16"/>
      <c r="G2" s="16"/>
      <c r="H2" s="16"/>
      <c r="I2" s="16"/>
      <c r="J2" s="122"/>
      <c r="K2" s="122"/>
      <c r="L2" s="122"/>
    </row>
    <row r="3" spans="1:12" ht="20.100000000000001" customHeight="1">
      <c r="A3" s="449" t="s">
        <v>148</v>
      </c>
      <c r="B3" s="449" t="s">
        <v>1009</v>
      </c>
      <c r="C3" s="16"/>
      <c r="D3" s="16"/>
      <c r="E3" s="16"/>
      <c r="F3" s="16"/>
      <c r="G3" s="16"/>
      <c r="H3" s="16"/>
      <c r="I3" s="16"/>
      <c r="J3" s="122"/>
      <c r="K3" s="122"/>
      <c r="L3" s="122"/>
    </row>
    <row r="4" spans="1:12" s="1" customFormat="1" ht="20.100000000000001" customHeight="1">
      <c r="A4" s="1059" t="s">
        <v>1010</v>
      </c>
      <c r="B4" s="1059" t="s">
        <v>1011</v>
      </c>
      <c r="C4" s="1059" t="s">
        <v>1012</v>
      </c>
      <c r="D4" s="1059"/>
      <c r="E4" s="1059"/>
      <c r="F4" s="1059"/>
      <c r="G4" s="1059"/>
      <c r="H4" s="1059"/>
      <c r="I4" s="1059"/>
      <c r="J4" s="1059"/>
      <c r="K4" s="1059" t="s">
        <v>810</v>
      </c>
      <c r="L4" s="1059" t="s">
        <v>1013</v>
      </c>
    </row>
    <row r="5" spans="1:12" s="1" customFormat="1" ht="42" customHeight="1">
      <c r="A5" s="1059"/>
      <c r="B5" s="1059"/>
      <c r="C5" s="10" t="s">
        <v>1014</v>
      </c>
      <c r="D5" s="10" t="s">
        <v>1015</v>
      </c>
      <c r="E5" s="10" t="s">
        <v>1016</v>
      </c>
      <c r="F5" s="10" t="s">
        <v>1017</v>
      </c>
      <c r="G5" s="225" t="s">
        <v>1018</v>
      </c>
      <c r="H5" s="225" t="s">
        <v>1019</v>
      </c>
      <c r="I5" s="10" t="s">
        <v>1020</v>
      </c>
      <c r="J5" s="10" t="s">
        <v>1021</v>
      </c>
      <c r="K5" s="1059"/>
      <c r="L5" s="1059"/>
    </row>
    <row r="6" spans="1:12" s="1" customFormat="1" ht="20.100000000000001" customHeight="1">
      <c r="A6" s="26" t="s">
        <v>1022</v>
      </c>
      <c r="B6" s="26"/>
      <c r="C6" s="26"/>
      <c r="D6" s="26"/>
      <c r="E6" s="26"/>
      <c r="F6" s="26"/>
      <c r="G6" s="26"/>
      <c r="H6" s="26"/>
      <c r="I6" s="26"/>
      <c r="J6" s="26"/>
      <c r="K6" s="26"/>
      <c r="L6" s="26"/>
    </row>
    <row r="7" spans="1:12" s="1" customFormat="1" ht="20.100000000000001" customHeight="1">
      <c r="A7" s="26" t="s">
        <v>1023</v>
      </c>
      <c r="B7" s="26"/>
      <c r="C7" s="26"/>
      <c r="D7" s="26"/>
      <c r="E7" s="26"/>
      <c r="F7" s="26"/>
      <c r="G7" s="26"/>
      <c r="H7" s="26"/>
      <c r="I7" s="26"/>
      <c r="J7" s="26"/>
      <c r="K7" s="26"/>
      <c r="L7" s="26"/>
    </row>
    <row r="8" spans="1:12" s="1" customFormat="1" ht="20.100000000000001" customHeight="1">
      <c r="A8" s="26"/>
      <c r="B8" s="26"/>
      <c r="C8" s="26"/>
      <c r="D8" s="26"/>
      <c r="E8" s="26"/>
      <c r="F8" s="26"/>
      <c r="G8" s="26"/>
      <c r="H8" s="26"/>
      <c r="I8" s="26"/>
      <c r="J8" s="26"/>
      <c r="K8" s="26"/>
      <c r="L8" s="26"/>
    </row>
    <row r="9" spans="1:12" s="1" customFormat="1" ht="20.100000000000001" customHeight="1">
      <c r="A9" s="26" t="s">
        <v>1024</v>
      </c>
      <c r="B9" s="26"/>
      <c r="C9" s="26"/>
      <c r="D9" s="26"/>
      <c r="E9" s="26"/>
      <c r="F9" s="26"/>
      <c r="G9" s="26"/>
      <c r="H9" s="26"/>
      <c r="I9" s="26"/>
      <c r="J9" s="26"/>
      <c r="K9" s="26"/>
      <c r="L9" s="26"/>
    </row>
    <row r="10" spans="1:12" s="1" customFormat="1" ht="20.100000000000001" customHeight="1">
      <c r="A10" s="26" t="s">
        <v>1025</v>
      </c>
      <c r="B10" s="26"/>
      <c r="C10" s="26"/>
      <c r="D10" s="26"/>
      <c r="E10" s="26"/>
      <c r="F10" s="26"/>
      <c r="G10" s="26"/>
      <c r="H10" s="26"/>
      <c r="I10" s="26"/>
      <c r="J10" s="26"/>
      <c r="K10" s="26"/>
      <c r="L10" s="26"/>
    </row>
    <row r="11" spans="1:12" s="1" customFormat="1" ht="20.100000000000001" customHeight="1">
      <c r="A11" s="26" t="s">
        <v>1023</v>
      </c>
      <c r="B11" s="26"/>
      <c r="C11" s="26"/>
      <c r="D11" s="26"/>
      <c r="E11" s="26"/>
      <c r="F11" s="26"/>
      <c r="G11" s="26"/>
      <c r="H11" s="26"/>
      <c r="I11" s="26"/>
      <c r="J11" s="26"/>
      <c r="K11" s="26"/>
      <c r="L11" s="26"/>
    </row>
    <row r="12" spans="1:12" s="1" customFormat="1" ht="20.100000000000001" customHeight="1">
      <c r="A12" s="26"/>
      <c r="B12" s="26"/>
      <c r="C12" s="26"/>
      <c r="D12" s="26"/>
      <c r="E12" s="26"/>
      <c r="F12" s="26"/>
      <c r="G12" s="26"/>
      <c r="H12" s="26"/>
      <c r="I12" s="26"/>
      <c r="J12" s="26"/>
      <c r="K12" s="26"/>
      <c r="L12" s="26"/>
    </row>
    <row r="13" spans="1:12" s="1" customFormat="1" ht="20.100000000000001" customHeight="1">
      <c r="A13" s="26"/>
      <c r="B13" s="26"/>
      <c r="C13" s="26"/>
      <c r="D13" s="26"/>
      <c r="E13" s="26"/>
      <c r="F13" s="26"/>
      <c r="G13" s="26"/>
      <c r="H13" s="26"/>
      <c r="I13" s="26"/>
      <c r="J13" s="26"/>
      <c r="K13" s="26"/>
      <c r="L13" s="26"/>
    </row>
    <row r="14" spans="1:12" s="1" customFormat="1" ht="20.100000000000001" customHeight="1">
      <c r="A14" s="26"/>
      <c r="B14" s="26"/>
      <c r="C14" s="26"/>
      <c r="D14" s="26"/>
      <c r="E14" s="26"/>
      <c r="F14" s="26"/>
      <c r="G14" s="26"/>
      <c r="H14" s="26"/>
      <c r="I14" s="26"/>
      <c r="J14" s="26"/>
      <c r="K14" s="26"/>
      <c r="L14" s="26"/>
    </row>
    <row r="15" spans="1:12" s="1" customFormat="1" ht="20.100000000000001" customHeight="1">
      <c r="A15" s="26"/>
      <c r="B15" s="26"/>
      <c r="C15" s="26"/>
      <c r="D15" s="26"/>
      <c r="E15" s="26"/>
      <c r="F15" s="26"/>
      <c r="G15" s="26"/>
      <c r="H15" s="26"/>
      <c r="I15" s="26"/>
      <c r="J15" s="26"/>
      <c r="K15" s="26"/>
      <c r="L15" s="26"/>
    </row>
    <row r="16" spans="1:12" s="1" customFormat="1" ht="20.100000000000001" customHeight="1">
      <c r="A16" s="26" t="s">
        <v>1024</v>
      </c>
      <c r="B16" s="26"/>
      <c r="C16" s="26"/>
      <c r="D16" s="26"/>
      <c r="E16" s="26"/>
      <c r="F16" s="26"/>
      <c r="G16" s="26"/>
      <c r="H16" s="26"/>
      <c r="I16" s="26"/>
      <c r="J16" s="26"/>
      <c r="K16" s="26"/>
      <c r="L16" s="26"/>
    </row>
    <row r="17" spans="1:12" s="1" customFormat="1" ht="20.100000000000001" customHeight="1">
      <c r="A17" s="26" t="s">
        <v>632</v>
      </c>
      <c r="B17" s="26"/>
      <c r="C17" s="26"/>
      <c r="D17" s="26"/>
      <c r="E17" s="26"/>
      <c r="F17" s="26"/>
      <c r="G17" s="26"/>
      <c r="H17" s="26"/>
      <c r="I17" s="26"/>
      <c r="J17" s="26"/>
      <c r="K17" s="26"/>
      <c r="L17" s="26"/>
    </row>
    <row r="18" spans="1:12" s="1" customFormat="1" ht="20.100000000000001" customHeight="1">
      <c r="A18" s="219" t="s">
        <v>623</v>
      </c>
      <c r="B18" s="219"/>
      <c r="C18" s="227"/>
      <c r="D18" s="227"/>
      <c r="E18" s="21"/>
      <c r="F18" s="21"/>
      <c r="G18" s="21"/>
      <c r="H18" s="21"/>
      <c r="I18" s="96"/>
      <c r="J18" s="96"/>
      <c r="K18" s="279">
        <f>'RP 006'!E49</f>
        <v>0</v>
      </c>
      <c r="L18" s="95">
        <f>'RP 006'!E50</f>
        <v>0</v>
      </c>
    </row>
    <row r="19" spans="1:12" s="1" customFormat="1" ht="20.100000000000001" customHeight="1">
      <c r="A19" s="328"/>
      <c r="B19" s="219"/>
      <c r="C19" s="227"/>
      <c r="D19" s="219"/>
      <c r="E19" s="21"/>
      <c r="F19" s="21"/>
      <c r="G19" s="21"/>
      <c r="H19" s="21"/>
      <c r="I19" s="96"/>
      <c r="J19" s="96"/>
      <c r="K19" s="220"/>
      <c r="L19" s="220"/>
    </row>
    <row r="20" spans="1:12" s="1" customFormat="1" ht="20.100000000000001" customHeight="1">
      <c r="A20" s="221"/>
      <c r="B20" s="221"/>
      <c r="C20" s="376"/>
      <c r="D20" s="221"/>
      <c r="E20" s="3"/>
      <c r="F20" s="3"/>
      <c r="G20" s="3"/>
      <c r="H20" s="3"/>
      <c r="I20" s="3"/>
      <c r="K20" s="221" t="str">
        <f>IF(K19=0,"OK","NO")</f>
        <v>OK</v>
      </c>
      <c r="L20" s="221" t="str">
        <f>IF(L19=0,"OK","NO")</f>
        <v>OK</v>
      </c>
    </row>
    <row r="21" spans="1:12" s="1" customFormat="1" ht="20.100000000000001" customHeight="1">
      <c r="A21" s="3"/>
      <c r="B21" s="3"/>
      <c r="C21" s="3"/>
      <c r="D21" s="3"/>
      <c r="E21" s="3"/>
      <c r="F21" s="3"/>
      <c r="G21" s="3"/>
      <c r="H21" s="3"/>
      <c r="I21" s="3"/>
    </row>
    <row r="22" spans="1:12" s="1" customFormat="1" ht="20.100000000000001" customHeight="1">
      <c r="A22" s="1083" t="s">
        <v>1026</v>
      </c>
      <c r="B22" s="1083"/>
      <c r="C22" s="9"/>
      <c r="D22" s="9"/>
      <c r="E22" s="9"/>
      <c r="F22" s="9"/>
      <c r="G22" s="9"/>
      <c r="H22" s="9"/>
      <c r="I22" s="9"/>
      <c r="J22" s="9"/>
      <c r="K22" s="9"/>
      <c r="L22" s="9"/>
    </row>
    <row r="23" spans="1:12" s="1" customFormat="1" ht="20.100000000000001" customHeight="1">
      <c r="A23" s="1059" t="s">
        <v>1027</v>
      </c>
      <c r="B23" s="1059" t="s">
        <v>1028</v>
      </c>
      <c r="C23" s="1059" t="s">
        <v>1029</v>
      </c>
      <c r="D23" s="1059" t="s">
        <v>1030</v>
      </c>
      <c r="E23" s="1059" t="s">
        <v>1031</v>
      </c>
      <c r="F23" s="1059"/>
      <c r="G23" s="1059" t="s">
        <v>1032</v>
      </c>
      <c r="H23" s="9"/>
      <c r="I23" s="9"/>
      <c r="J23" s="9"/>
      <c r="K23" s="9"/>
      <c r="L23" s="9"/>
    </row>
    <row r="24" spans="1:12" s="1" customFormat="1" ht="20.100000000000001" customHeight="1">
      <c r="A24" s="1059"/>
      <c r="B24" s="1059"/>
      <c r="C24" s="1059"/>
      <c r="D24" s="1059"/>
      <c r="E24" s="10" t="s">
        <v>1033</v>
      </c>
      <c r="F24" s="10" t="s">
        <v>1034</v>
      </c>
      <c r="G24" s="1059"/>
      <c r="H24" s="9"/>
      <c r="I24" s="9"/>
      <c r="J24" s="9"/>
      <c r="K24" s="9"/>
      <c r="L24" s="9"/>
    </row>
    <row r="25" spans="1:12" s="1" customFormat="1" ht="20.100000000000001" customHeight="1">
      <c r="A25" s="88" t="s">
        <v>1035</v>
      </c>
      <c r="B25" s="282"/>
      <c r="C25" s="282"/>
      <c r="D25" s="282"/>
      <c r="E25" s="282"/>
      <c r="F25" s="282"/>
      <c r="G25" s="282"/>
      <c r="H25" s="3"/>
      <c r="I25" s="3"/>
    </row>
    <row r="26" spans="1:12" s="1" customFormat="1" ht="20.100000000000001" customHeight="1">
      <c r="A26" s="282"/>
      <c r="B26" s="282"/>
      <c r="C26" s="282"/>
      <c r="D26" s="282"/>
      <c r="E26" s="282"/>
      <c r="F26" s="282"/>
      <c r="G26" s="282"/>
      <c r="H26" s="3"/>
      <c r="I26" s="3"/>
    </row>
    <row r="27" spans="1:12" s="1" customFormat="1" ht="20.100000000000001" customHeight="1">
      <c r="A27" s="282"/>
      <c r="B27" s="282"/>
      <c r="C27" s="282"/>
      <c r="D27" s="282"/>
      <c r="E27" s="282"/>
      <c r="F27" s="282"/>
      <c r="G27" s="282"/>
      <c r="H27" s="3"/>
      <c r="I27" s="3"/>
    </row>
    <row r="28" spans="1:12" s="1" customFormat="1" ht="20.100000000000001" customHeight="1">
      <c r="A28" s="282"/>
      <c r="B28" s="282"/>
      <c r="C28" s="282"/>
      <c r="D28" s="282"/>
      <c r="E28" s="282"/>
      <c r="F28" s="282"/>
      <c r="G28" s="282"/>
      <c r="H28" s="3"/>
      <c r="I28" s="3"/>
    </row>
    <row r="29" spans="1:12" s="1" customFormat="1" ht="20.100000000000001" customHeight="1">
      <c r="A29" s="282" t="s">
        <v>1036</v>
      </c>
      <c r="B29" s="282"/>
      <c r="C29" s="282"/>
      <c r="D29" s="282"/>
      <c r="E29" s="282"/>
      <c r="F29" s="282"/>
      <c r="G29" s="282"/>
      <c r="H29" s="3"/>
      <c r="I29" s="3"/>
    </row>
    <row r="30" spans="1:12" s="1" customFormat="1" ht="20.100000000000001" customHeight="1">
      <c r="A30" s="282"/>
      <c r="B30" s="282"/>
      <c r="C30" s="282"/>
      <c r="D30" s="282"/>
      <c r="E30" s="282"/>
      <c r="F30" s="282"/>
      <c r="G30" s="282"/>
      <c r="H30" s="3"/>
      <c r="I30" s="3"/>
    </row>
    <row r="31" spans="1:12" s="1" customFormat="1" ht="20.100000000000001" customHeight="1">
      <c r="A31" s="462" t="s">
        <v>712</v>
      </c>
      <c r="B31" s="282"/>
      <c r="C31" s="282"/>
      <c r="D31" s="282"/>
      <c r="E31" s="282"/>
      <c r="F31" s="282"/>
      <c r="G31" s="282"/>
      <c r="H31" s="3"/>
      <c r="I31" s="3"/>
    </row>
    <row r="32" spans="1:12" s="1" customFormat="1" ht="20.100000000000001" customHeight="1">
      <c r="A32" s="88"/>
      <c r="B32" s="88"/>
      <c r="C32" s="88"/>
      <c r="D32" s="88"/>
      <c r="E32" s="88"/>
      <c r="F32" s="88"/>
      <c r="G32" s="88"/>
      <c r="H32" s="3"/>
      <c r="I32" s="3"/>
    </row>
    <row r="33" spans="1:12" s="1" customFormat="1" ht="20.100000000000001" customHeight="1">
      <c r="A33" s="201" t="s">
        <v>651</v>
      </c>
      <c r="B33" s="3"/>
      <c r="C33" s="3"/>
      <c r="D33" s="3"/>
      <c r="E33" s="3"/>
      <c r="F33" s="3"/>
      <c r="G33" s="3"/>
      <c r="H33" s="3"/>
      <c r="I33" s="3"/>
    </row>
    <row r="34" spans="1:12" s="1" customFormat="1" ht="20.100000000000001" customHeight="1">
      <c r="A34" s="80" t="s">
        <v>1037</v>
      </c>
      <c r="B34" s="201"/>
      <c r="C34" s="201"/>
      <c r="D34" s="201"/>
      <c r="E34" s="201"/>
      <c r="F34" s="201"/>
      <c r="G34" s="201"/>
      <c r="H34" s="3"/>
      <c r="I34" s="3"/>
    </row>
    <row r="35" spans="1:12" s="1" customFormat="1" ht="20.100000000000001" customHeight="1">
      <c r="A35" s="80" t="s">
        <v>1038</v>
      </c>
      <c r="B35" s="201"/>
      <c r="C35" s="201"/>
      <c r="D35" s="201"/>
      <c r="E35" s="201"/>
      <c r="F35" s="201"/>
      <c r="G35" s="201"/>
      <c r="H35" s="3"/>
      <c r="I35" s="3"/>
    </row>
    <row r="36" spans="1:12" s="1" customFormat="1" ht="20.100000000000001" customHeight="1">
      <c r="A36" s="80" t="s">
        <v>1039</v>
      </c>
      <c r="B36" s="201"/>
      <c r="C36" s="201"/>
      <c r="D36" s="201"/>
      <c r="E36" s="201"/>
      <c r="F36" s="201"/>
      <c r="G36" s="201"/>
      <c r="H36" s="3"/>
      <c r="I36" s="3"/>
    </row>
    <row r="37" spans="1:12" s="1" customFormat="1" ht="20.100000000000001" customHeight="1">
      <c r="A37" s="80" t="s">
        <v>1040</v>
      </c>
      <c r="B37" s="201"/>
      <c r="C37" s="201"/>
      <c r="D37" s="201"/>
      <c r="E37" s="201"/>
      <c r="F37" s="201"/>
      <c r="G37" s="201"/>
      <c r="H37" s="3"/>
      <c r="I37" s="3"/>
    </row>
    <row r="38" spans="1:12" s="1" customFormat="1" ht="20.100000000000001" customHeight="1">
      <c r="A38" s="80" t="s">
        <v>1041</v>
      </c>
      <c r="B38" s="3"/>
      <c r="C38" s="3"/>
      <c r="D38" s="3"/>
      <c r="E38" s="3"/>
      <c r="F38" s="3"/>
      <c r="G38" s="3"/>
      <c r="H38" s="3"/>
      <c r="I38" s="3"/>
    </row>
    <row r="39" spans="1:12" s="1" customFormat="1" ht="20.100000000000001" customHeight="1">
      <c r="A39" s="80" t="s">
        <v>1042</v>
      </c>
      <c r="B39" s="3"/>
      <c r="C39" s="3"/>
      <c r="D39" s="3"/>
      <c r="E39" s="3"/>
      <c r="F39" s="3"/>
      <c r="G39" s="3"/>
      <c r="H39" s="3"/>
      <c r="I39" s="3"/>
    </row>
    <row r="40" spans="1:12" s="1" customFormat="1" ht="20.100000000000001" customHeight="1">
      <c r="A40" s="1059" t="s">
        <v>1043</v>
      </c>
      <c r="B40" s="1082" t="s">
        <v>1044</v>
      </c>
      <c r="C40" s="1082"/>
      <c r="D40" s="1082" t="s">
        <v>1045</v>
      </c>
      <c r="E40" s="1082"/>
      <c r="F40" s="1082" t="s">
        <v>1046</v>
      </c>
      <c r="G40" s="1082"/>
      <c r="H40" s="9"/>
      <c r="I40" s="9"/>
      <c r="J40" s="9"/>
      <c r="K40" s="9"/>
      <c r="L40" s="9"/>
    </row>
    <row r="41" spans="1:12" s="1" customFormat="1" ht="20.100000000000001" customHeight="1">
      <c r="A41" s="1059"/>
      <c r="B41" s="10" t="s">
        <v>737</v>
      </c>
      <c r="C41" s="10" t="s">
        <v>1004</v>
      </c>
      <c r="D41" s="10" t="s">
        <v>737</v>
      </c>
      <c r="E41" s="10" t="s">
        <v>1004</v>
      </c>
      <c r="F41" s="10" t="s">
        <v>737</v>
      </c>
      <c r="G41" s="10" t="s">
        <v>1004</v>
      </c>
      <c r="H41" s="9"/>
      <c r="I41" s="9"/>
      <c r="J41" s="9"/>
      <c r="K41" s="9"/>
      <c r="L41" s="9"/>
    </row>
    <row r="42" spans="1:12" s="1" customFormat="1" ht="20.100000000000001" customHeight="1">
      <c r="A42" s="88" t="s">
        <v>1047</v>
      </c>
      <c r="B42" s="88"/>
      <c r="C42" s="88"/>
      <c r="D42" s="88"/>
      <c r="E42" s="88"/>
      <c r="F42" s="88"/>
      <c r="G42" s="88"/>
      <c r="H42" s="3"/>
      <c r="I42" s="3"/>
    </row>
    <row r="43" spans="1:12" s="1" customFormat="1" ht="20.100000000000001" customHeight="1">
      <c r="A43" s="88" t="s">
        <v>1048</v>
      </c>
      <c r="B43" s="88"/>
      <c r="C43" s="88"/>
      <c r="D43" s="88"/>
      <c r="E43" s="88"/>
      <c r="F43" s="88"/>
      <c r="G43" s="88"/>
      <c r="H43" s="3"/>
      <c r="I43" s="3"/>
    </row>
    <row r="44" spans="1:12" s="1" customFormat="1" ht="20.100000000000001" customHeight="1">
      <c r="A44" s="88" t="s">
        <v>379</v>
      </c>
      <c r="B44" s="88"/>
      <c r="C44" s="88"/>
      <c r="D44" s="88"/>
      <c r="E44" s="88"/>
      <c r="F44" s="88"/>
      <c r="G44" s="88"/>
      <c r="H44" s="3"/>
      <c r="I44" s="3"/>
    </row>
    <row r="45" spans="1:12" s="1" customFormat="1" ht="20.100000000000001" customHeight="1">
      <c r="A45" s="88" t="s">
        <v>1049</v>
      </c>
      <c r="B45" s="88"/>
      <c r="C45" s="88"/>
      <c r="D45" s="88"/>
      <c r="E45" s="88"/>
      <c r="F45" s="88"/>
      <c r="G45" s="88"/>
      <c r="H45" s="3"/>
      <c r="I45" s="3"/>
    </row>
    <row r="46" spans="1:12" s="1" customFormat="1" ht="20.100000000000001" customHeight="1">
      <c r="A46" s="88" t="s">
        <v>1050</v>
      </c>
      <c r="B46" s="88"/>
      <c r="C46" s="88"/>
      <c r="D46" s="88"/>
      <c r="E46" s="88"/>
      <c r="F46" s="88"/>
      <c r="G46" s="88"/>
      <c r="H46" s="3"/>
      <c r="I46" s="3"/>
    </row>
    <row r="47" spans="1:12" s="1" customFormat="1" ht="20.100000000000001" customHeight="1">
      <c r="A47" s="88" t="s">
        <v>1051</v>
      </c>
      <c r="B47" s="88"/>
      <c r="C47" s="88"/>
      <c r="D47" s="88"/>
      <c r="E47" s="88"/>
      <c r="F47" s="88"/>
      <c r="G47" s="88"/>
      <c r="H47" s="3"/>
      <c r="I47" s="3"/>
    </row>
    <row r="48" spans="1:12" s="1" customFormat="1" ht="20.100000000000001" customHeight="1">
      <c r="A48" s="88" t="s">
        <v>409</v>
      </c>
      <c r="B48" s="88"/>
      <c r="C48" s="88"/>
      <c r="D48" s="88"/>
      <c r="E48" s="88"/>
      <c r="F48" s="88"/>
      <c r="G48" s="88"/>
      <c r="H48" s="3"/>
      <c r="I48" s="3"/>
    </row>
    <row r="49" spans="1:12" s="1" customFormat="1" ht="20.100000000000001" customHeight="1">
      <c r="A49" s="88" t="s">
        <v>1052</v>
      </c>
      <c r="B49" s="88"/>
      <c r="C49" s="88"/>
      <c r="D49" s="88"/>
      <c r="E49" s="88"/>
      <c r="F49" s="88"/>
      <c r="G49" s="88"/>
      <c r="H49" s="3"/>
      <c r="I49" s="3"/>
    </row>
    <row r="50" spans="1:12" s="1" customFormat="1" ht="20.100000000000001" customHeight="1">
      <c r="A50" s="88" t="s">
        <v>1053</v>
      </c>
      <c r="B50" s="88"/>
      <c r="C50" s="88"/>
      <c r="D50" s="88"/>
      <c r="E50" s="88"/>
      <c r="F50" s="88"/>
      <c r="G50" s="88"/>
      <c r="H50" s="3"/>
      <c r="I50" s="3"/>
    </row>
    <row r="51" spans="1:12" s="1" customFormat="1" ht="20.100000000000001" customHeight="1">
      <c r="A51" s="88" t="s">
        <v>1054</v>
      </c>
      <c r="B51" s="88"/>
      <c r="C51" s="88"/>
      <c r="D51" s="88"/>
      <c r="E51" s="88"/>
      <c r="F51" s="88"/>
      <c r="G51" s="88"/>
      <c r="H51" s="3"/>
      <c r="I51" s="3"/>
    </row>
    <row r="52" spans="1:12" s="1" customFormat="1" ht="20.100000000000001" customHeight="1">
      <c r="A52" s="88" t="s">
        <v>1055</v>
      </c>
      <c r="B52" s="88"/>
      <c r="C52" s="88"/>
      <c r="D52" s="88"/>
      <c r="E52" s="88"/>
      <c r="F52" s="88"/>
      <c r="G52" s="88"/>
      <c r="H52" s="3"/>
      <c r="I52" s="3"/>
    </row>
    <row r="53" spans="1:12" s="1" customFormat="1" ht="20.100000000000001" customHeight="1">
      <c r="A53" s="88" t="s">
        <v>1056</v>
      </c>
      <c r="B53" s="88"/>
      <c r="C53" s="88"/>
      <c r="D53" s="88"/>
      <c r="E53" s="88"/>
      <c r="F53" s="88"/>
      <c r="G53" s="88"/>
      <c r="H53" s="3"/>
      <c r="I53" s="3"/>
    </row>
    <row r="54" spans="1:12" s="1" customFormat="1" ht="20.100000000000001" customHeight="1">
      <c r="A54" s="88" t="s">
        <v>1057</v>
      </c>
      <c r="B54" s="88"/>
      <c r="C54" s="88"/>
      <c r="D54" s="88"/>
      <c r="E54" s="88"/>
      <c r="F54" s="88"/>
      <c r="G54" s="88"/>
      <c r="H54" s="3"/>
      <c r="I54" s="3"/>
    </row>
    <row r="55" spans="1:12" s="1" customFormat="1" ht="20.100000000000001" customHeight="1">
      <c r="A55" s="88" t="s">
        <v>1058</v>
      </c>
      <c r="B55" s="88"/>
      <c r="C55" s="88"/>
      <c r="D55" s="88"/>
      <c r="E55" s="88"/>
      <c r="F55" s="88"/>
      <c r="G55" s="88"/>
      <c r="H55" s="3"/>
      <c r="I55" s="3"/>
    </row>
    <row r="56" spans="1:12" s="1" customFormat="1" ht="20.100000000000001" customHeight="1">
      <c r="A56" s="88" t="s">
        <v>1059</v>
      </c>
      <c r="B56" s="88"/>
      <c r="C56" s="88"/>
      <c r="D56" s="88"/>
      <c r="E56" s="88"/>
      <c r="F56" s="88"/>
      <c r="G56" s="88"/>
      <c r="H56" s="3"/>
      <c r="I56" s="3"/>
    </row>
    <row r="57" spans="1:12" s="1" customFormat="1" ht="20.100000000000001" customHeight="1">
      <c r="A57" s="88" t="s">
        <v>1060</v>
      </c>
      <c r="B57" s="88"/>
      <c r="C57" s="88"/>
      <c r="D57" s="88"/>
      <c r="E57" s="88"/>
      <c r="F57" s="88"/>
      <c r="G57" s="88"/>
      <c r="H57" s="3"/>
      <c r="I57" s="3"/>
    </row>
    <row r="58" spans="1:12" s="1" customFormat="1" ht="20.100000000000001" customHeight="1">
      <c r="A58" s="26" t="s">
        <v>1061</v>
      </c>
      <c r="B58" s="88"/>
      <c r="C58" s="88"/>
      <c r="D58" s="88"/>
      <c r="E58" s="88"/>
      <c r="F58" s="88"/>
      <c r="G58" s="88"/>
      <c r="H58" s="3"/>
      <c r="I58" s="3"/>
    </row>
    <row r="59" spans="1:12" s="1" customFormat="1" ht="20.100000000000001" customHeight="1">
      <c r="A59" s="26" t="s">
        <v>1062</v>
      </c>
      <c r="B59" s="88"/>
      <c r="C59" s="88"/>
      <c r="D59" s="88"/>
      <c r="E59" s="88"/>
      <c r="F59" s="88"/>
      <c r="G59" s="88"/>
      <c r="H59" s="3"/>
      <c r="I59" s="3"/>
    </row>
    <row r="60" spans="1:12" s="1" customFormat="1" ht="20.100000000000001" customHeight="1">
      <c r="A60" s="3"/>
      <c r="B60" s="3"/>
      <c r="C60" s="3"/>
      <c r="D60" s="3"/>
      <c r="E60" s="3"/>
      <c r="F60" s="3"/>
      <c r="G60" s="3"/>
      <c r="H60" s="3"/>
      <c r="I60" s="3"/>
    </row>
    <row r="61" spans="1:12" s="1" customFormat="1" ht="20.100000000000001" customHeight="1">
      <c r="A61" s="1059" t="s">
        <v>729</v>
      </c>
      <c r="B61" s="1082" t="s">
        <v>1044</v>
      </c>
      <c r="C61" s="1082"/>
      <c r="D61" s="1082" t="s">
        <v>1045</v>
      </c>
      <c r="E61" s="1082"/>
      <c r="F61" s="1082" t="s">
        <v>1046</v>
      </c>
      <c r="G61" s="1082"/>
      <c r="H61" s="9"/>
      <c r="I61" s="9"/>
      <c r="J61" s="9"/>
      <c r="K61" s="9"/>
      <c r="L61" s="9"/>
    </row>
    <row r="62" spans="1:12" s="1" customFormat="1" ht="20.100000000000001" customHeight="1">
      <c r="A62" s="1059"/>
      <c r="B62" s="10" t="s">
        <v>1063</v>
      </c>
      <c r="C62" s="10" t="s">
        <v>1064</v>
      </c>
      <c r="D62" s="10" t="s">
        <v>1063</v>
      </c>
      <c r="E62" s="10" t="s">
        <v>1064</v>
      </c>
      <c r="F62" s="10" t="s">
        <v>1063</v>
      </c>
      <c r="G62" s="10" t="s">
        <v>1064</v>
      </c>
      <c r="H62" s="9"/>
      <c r="I62" s="9"/>
      <c r="J62" s="9"/>
      <c r="K62" s="9"/>
      <c r="L62" s="9"/>
    </row>
    <row r="63" spans="1:12" s="1" customFormat="1" ht="20.100000000000001" customHeight="1">
      <c r="A63" s="26" t="s">
        <v>413</v>
      </c>
      <c r="B63" s="88"/>
      <c r="C63" s="88"/>
      <c r="D63" s="88"/>
      <c r="E63" s="88"/>
      <c r="F63" s="88"/>
      <c r="G63" s="88"/>
      <c r="H63" s="3"/>
      <c r="I63" s="3"/>
    </row>
    <row r="64" spans="1:12" s="1" customFormat="1" ht="20.100000000000001" customHeight="1">
      <c r="A64" s="26" t="s">
        <v>98</v>
      </c>
      <c r="B64" s="88"/>
      <c r="C64" s="88"/>
      <c r="D64" s="88"/>
      <c r="E64" s="88"/>
      <c r="F64" s="88"/>
      <c r="G64" s="88"/>
      <c r="H64" s="3"/>
      <c r="I64" s="3"/>
    </row>
    <row r="65" spans="1:12" s="1" customFormat="1" ht="20.100000000000001" customHeight="1">
      <c r="A65" s="26" t="s">
        <v>105</v>
      </c>
      <c r="B65" s="88"/>
      <c r="C65" s="88"/>
      <c r="D65" s="88"/>
      <c r="E65" s="88"/>
      <c r="F65" s="88"/>
      <c r="G65" s="88"/>
      <c r="H65" s="3"/>
      <c r="I65" s="3"/>
    </row>
    <row r="66" spans="1:12" s="1" customFormat="1" ht="20.100000000000001" customHeight="1">
      <c r="A66" s="26" t="s">
        <v>1065</v>
      </c>
      <c r="B66" s="88"/>
      <c r="C66" s="88"/>
      <c r="D66" s="88"/>
      <c r="E66" s="88"/>
      <c r="F66" s="88"/>
      <c r="G66" s="88"/>
      <c r="H66" s="3"/>
      <c r="I66" s="3"/>
    </row>
    <row r="67" spans="1:12" s="1" customFormat="1" ht="20.100000000000001" customHeight="1">
      <c r="A67" s="26" t="s">
        <v>1066</v>
      </c>
      <c r="B67" s="88"/>
      <c r="C67" s="88"/>
      <c r="D67" s="88"/>
      <c r="E67" s="88"/>
      <c r="F67" s="88"/>
      <c r="G67" s="88"/>
      <c r="H67" s="3"/>
      <c r="I67" s="3"/>
    </row>
    <row r="68" spans="1:12" s="1" customFormat="1" ht="20.100000000000001" customHeight="1">
      <c r="A68" s="26" t="s">
        <v>212</v>
      </c>
      <c r="B68" s="88"/>
      <c r="C68" s="88"/>
      <c r="D68" s="88"/>
      <c r="E68" s="88"/>
      <c r="F68" s="88"/>
      <c r="G68" s="88"/>
      <c r="H68" s="3"/>
      <c r="I68" s="3"/>
    </row>
    <row r="69" spans="1:12" s="1" customFormat="1" ht="20.100000000000001" customHeight="1">
      <c r="A69" s="26" t="s">
        <v>1067</v>
      </c>
      <c r="B69" s="88"/>
      <c r="C69" s="88"/>
      <c r="D69" s="88"/>
      <c r="E69" s="88"/>
      <c r="F69" s="88"/>
      <c r="G69" s="88"/>
      <c r="H69" s="3"/>
      <c r="I69" s="3"/>
    </row>
    <row r="70" spans="1:12" s="1" customFormat="1" ht="20.100000000000001" customHeight="1">
      <c r="A70" s="26" t="s">
        <v>1068</v>
      </c>
      <c r="B70" s="88"/>
      <c r="C70" s="88"/>
      <c r="D70" s="88"/>
      <c r="E70" s="88"/>
      <c r="F70" s="88"/>
      <c r="G70" s="88"/>
      <c r="H70" s="3"/>
      <c r="I70" s="3"/>
    </row>
    <row r="71" spans="1:12" s="1" customFormat="1" ht="20.100000000000001" customHeight="1">
      <c r="A71" s="3"/>
      <c r="B71" s="3"/>
      <c r="C71" s="3"/>
      <c r="D71" s="3"/>
      <c r="E71" s="3"/>
      <c r="F71" s="3"/>
      <c r="G71" s="3"/>
      <c r="H71" s="3"/>
      <c r="I71" s="3"/>
    </row>
    <row r="72" spans="1:12" s="1" customFormat="1" ht="20.100000000000001" customHeight="1">
      <c r="A72" s="173" t="s">
        <v>1069</v>
      </c>
      <c r="B72" s="3"/>
      <c r="C72" s="3"/>
      <c r="D72" s="3"/>
      <c r="E72" s="3"/>
      <c r="F72" s="3"/>
      <c r="G72" s="3"/>
      <c r="H72" s="3"/>
      <c r="I72" s="3"/>
    </row>
    <row r="73" spans="1:12" s="1" customFormat="1" ht="20.100000000000001" customHeight="1">
      <c r="A73" s="173" t="s">
        <v>1070</v>
      </c>
      <c r="B73" s="3"/>
      <c r="C73" s="3"/>
      <c r="D73" s="3"/>
      <c r="E73" s="3"/>
      <c r="F73" s="3"/>
      <c r="G73" s="3"/>
      <c r="H73" s="3"/>
      <c r="I73" s="3"/>
    </row>
    <row r="74" spans="1:12" s="1" customFormat="1" ht="20.100000000000001" customHeight="1">
      <c r="A74" s="173" t="s">
        <v>1071</v>
      </c>
      <c r="B74" s="3"/>
      <c r="C74" s="3"/>
      <c r="D74" s="3"/>
      <c r="E74" s="3"/>
      <c r="F74" s="3"/>
      <c r="G74" s="3"/>
      <c r="H74" s="3"/>
      <c r="I74" s="3"/>
    </row>
    <row r="75" spans="1:12" s="1" customFormat="1" ht="20.100000000000001" customHeight="1">
      <c r="A75" s="173" t="s">
        <v>1072</v>
      </c>
      <c r="B75" s="3"/>
      <c r="C75" s="3"/>
      <c r="D75" s="3"/>
      <c r="E75" s="3"/>
      <c r="F75" s="3"/>
      <c r="G75" s="3"/>
      <c r="H75" s="3"/>
      <c r="I75" s="3"/>
    </row>
    <row r="76" spans="1:12" s="1" customFormat="1" ht="20.100000000000001" customHeight="1">
      <c r="A76" s="173" t="s">
        <v>1073</v>
      </c>
      <c r="B76" s="3"/>
      <c r="C76" s="3"/>
      <c r="D76" s="3"/>
      <c r="E76" s="3"/>
      <c r="F76" s="3"/>
      <c r="G76" s="3"/>
      <c r="H76" s="3"/>
      <c r="I76" s="3"/>
    </row>
    <row r="77" spans="1:12" s="1" customFormat="1" ht="20.100000000000001" customHeight="1">
      <c r="A77" s="173" t="s">
        <v>1074</v>
      </c>
      <c r="B77" s="3"/>
      <c r="C77" s="3"/>
      <c r="D77" s="3"/>
      <c r="E77" s="3"/>
      <c r="F77" s="3"/>
      <c r="G77" s="3"/>
      <c r="H77" s="3"/>
      <c r="I77" s="3"/>
    </row>
    <row r="78" spans="1:12" s="1" customFormat="1" ht="20.100000000000001" customHeight="1">
      <c r="A78" s="1059" t="s">
        <v>1043</v>
      </c>
      <c r="B78" s="1082" t="s">
        <v>1044</v>
      </c>
      <c r="C78" s="1082"/>
      <c r="D78" s="1082" t="s">
        <v>1045</v>
      </c>
      <c r="E78" s="1082"/>
      <c r="F78" s="1082" t="s">
        <v>1046</v>
      </c>
      <c r="G78" s="1082"/>
      <c r="H78" s="9"/>
      <c r="I78" s="9"/>
      <c r="J78" s="9"/>
      <c r="K78" s="9"/>
      <c r="L78" s="9"/>
    </row>
    <row r="79" spans="1:12" s="1" customFormat="1" ht="20.100000000000001" customHeight="1">
      <c r="A79" s="1059"/>
      <c r="B79" s="10" t="s">
        <v>737</v>
      </c>
      <c r="C79" s="10" t="s">
        <v>1004</v>
      </c>
      <c r="D79" s="10" t="s">
        <v>737</v>
      </c>
      <c r="E79" s="10" t="s">
        <v>1004</v>
      </c>
      <c r="F79" s="10" t="s">
        <v>737</v>
      </c>
      <c r="G79" s="10" t="s">
        <v>1004</v>
      </c>
      <c r="H79" s="9"/>
      <c r="I79" s="9"/>
      <c r="J79" s="9"/>
      <c r="K79" s="9"/>
      <c r="L79" s="9"/>
    </row>
    <row r="80" spans="1:12" s="1" customFormat="1" ht="20.100000000000001" customHeight="1">
      <c r="A80" s="88" t="s">
        <v>1047</v>
      </c>
      <c r="B80" s="88"/>
      <c r="C80" s="88"/>
      <c r="D80" s="88"/>
      <c r="E80" s="88"/>
      <c r="F80" s="88"/>
      <c r="G80" s="88"/>
      <c r="H80" s="3"/>
      <c r="I80" s="3"/>
    </row>
    <row r="81" spans="1:9" s="1" customFormat="1" ht="20.100000000000001" customHeight="1">
      <c r="A81" s="88" t="s">
        <v>379</v>
      </c>
      <c r="B81" s="88"/>
      <c r="C81" s="88"/>
      <c r="D81" s="88"/>
      <c r="E81" s="88"/>
      <c r="F81" s="88"/>
      <c r="G81" s="88"/>
      <c r="H81" s="3"/>
      <c r="I81" s="3"/>
    </row>
    <row r="82" spans="1:9" s="1" customFormat="1" ht="20.100000000000001" customHeight="1">
      <c r="A82" s="88" t="s">
        <v>1049</v>
      </c>
      <c r="B82" s="88"/>
      <c r="C82" s="88"/>
      <c r="D82" s="88"/>
      <c r="E82" s="88"/>
      <c r="F82" s="88"/>
      <c r="G82" s="88"/>
      <c r="H82" s="3"/>
      <c r="I82" s="3"/>
    </row>
    <row r="83" spans="1:9" s="1" customFormat="1" ht="20.100000000000001" customHeight="1">
      <c r="A83" s="88" t="s">
        <v>1050</v>
      </c>
      <c r="B83" s="88"/>
      <c r="C83" s="88"/>
      <c r="D83" s="88"/>
      <c r="E83" s="88"/>
      <c r="F83" s="88"/>
      <c r="G83" s="88"/>
      <c r="H83" s="3"/>
      <c r="I83" s="3"/>
    </row>
    <row r="84" spans="1:9" s="1" customFormat="1" ht="20.100000000000001" customHeight="1">
      <c r="A84" s="88" t="s">
        <v>1051</v>
      </c>
      <c r="B84" s="88"/>
      <c r="C84" s="88"/>
      <c r="D84" s="88"/>
      <c r="E84" s="88"/>
      <c r="F84" s="88"/>
      <c r="G84" s="88"/>
      <c r="H84" s="3"/>
      <c r="I84" s="3"/>
    </row>
    <row r="85" spans="1:9" s="1" customFormat="1" ht="20.100000000000001" customHeight="1">
      <c r="A85" s="88" t="s">
        <v>409</v>
      </c>
      <c r="B85" s="88"/>
      <c r="C85" s="88"/>
      <c r="D85" s="88"/>
      <c r="E85" s="88"/>
      <c r="F85" s="88"/>
      <c r="G85" s="88"/>
      <c r="H85" s="3"/>
      <c r="I85" s="3"/>
    </row>
    <row r="86" spans="1:9" s="1" customFormat="1" ht="20.100000000000001" customHeight="1">
      <c r="A86" s="88" t="s">
        <v>1052</v>
      </c>
      <c r="B86" s="88"/>
      <c r="C86" s="88"/>
      <c r="D86" s="88"/>
      <c r="E86" s="88"/>
      <c r="F86" s="88"/>
      <c r="G86" s="88"/>
      <c r="H86" s="3"/>
      <c r="I86" s="3"/>
    </row>
    <row r="87" spans="1:9" s="1" customFormat="1" ht="20.100000000000001" customHeight="1">
      <c r="A87" s="88" t="s">
        <v>1053</v>
      </c>
      <c r="B87" s="88"/>
      <c r="C87" s="88"/>
      <c r="D87" s="88"/>
      <c r="E87" s="88"/>
      <c r="F87" s="88"/>
      <c r="G87" s="88"/>
      <c r="H87" s="3"/>
      <c r="I87" s="3"/>
    </row>
    <row r="88" spans="1:9" s="1" customFormat="1" ht="20.100000000000001" customHeight="1">
      <c r="A88" s="88" t="s">
        <v>1054</v>
      </c>
      <c r="B88" s="88"/>
      <c r="C88" s="88"/>
      <c r="D88" s="88"/>
      <c r="E88" s="88"/>
      <c r="F88" s="88"/>
      <c r="G88" s="88"/>
      <c r="H88" s="3"/>
      <c r="I88" s="3"/>
    </row>
    <row r="89" spans="1:9" s="1" customFormat="1" ht="20.100000000000001" customHeight="1">
      <c r="A89" s="88" t="s">
        <v>1055</v>
      </c>
      <c r="B89" s="88"/>
      <c r="C89" s="88"/>
      <c r="D89" s="88"/>
      <c r="E89" s="88"/>
      <c r="F89" s="88"/>
      <c r="G89" s="88"/>
      <c r="H89" s="3"/>
      <c r="I89" s="3"/>
    </row>
    <row r="90" spans="1:9" s="1" customFormat="1" ht="20.100000000000001" customHeight="1">
      <c r="A90" s="88" t="s">
        <v>1056</v>
      </c>
      <c r="B90" s="88"/>
      <c r="C90" s="88"/>
      <c r="D90" s="88"/>
      <c r="E90" s="88"/>
      <c r="F90" s="88"/>
      <c r="G90" s="88"/>
      <c r="H90" s="3"/>
      <c r="I90" s="3"/>
    </row>
    <row r="91" spans="1:9" s="1" customFormat="1" ht="20.100000000000001" customHeight="1">
      <c r="A91" s="88" t="s">
        <v>1057</v>
      </c>
      <c r="B91" s="88"/>
      <c r="C91" s="88"/>
      <c r="D91" s="88"/>
      <c r="E91" s="88"/>
      <c r="F91" s="88"/>
      <c r="G91" s="88"/>
      <c r="H91" s="3"/>
      <c r="I91" s="3"/>
    </row>
    <row r="92" spans="1:9" s="1" customFormat="1" ht="20.100000000000001" customHeight="1">
      <c r="A92" s="88" t="s">
        <v>1058</v>
      </c>
      <c r="B92" s="88"/>
      <c r="C92" s="88"/>
      <c r="D92" s="88"/>
      <c r="E92" s="88"/>
      <c r="F92" s="88"/>
      <c r="G92" s="88"/>
      <c r="H92" s="3"/>
      <c r="I92" s="3"/>
    </row>
    <row r="93" spans="1:9" s="1" customFormat="1" ht="20.100000000000001" customHeight="1">
      <c r="A93" s="88" t="s">
        <v>1059</v>
      </c>
      <c r="B93" s="88"/>
      <c r="C93" s="88"/>
      <c r="D93" s="88"/>
      <c r="E93" s="88"/>
      <c r="F93" s="88"/>
      <c r="G93" s="88"/>
      <c r="H93" s="3"/>
      <c r="I93" s="3"/>
    </row>
    <row r="94" spans="1:9" s="1" customFormat="1" ht="20.100000000000001" customHeight="1">
      <c r="A94" s="88" t="s">
        <v>1060</v>
      </c>
      <c r="B94" s="88"/>
      <c r="C94" s="88"/>
      <c r="D94" s="88"/>
      <c r="E94" s="88"/>
      <c r="F94" s="88"/>
      <c r="G94" s="88"/>
      <c r="H94" s="3"/>
      <c r="I94" s="3"/>
    </row>
    <row r="95" spans="1:9" s="1" customFormat="1" ht="20.100000000000001" customHeight="1">
      <c r="A95" s="88" t="s">
        <v>1075</v>
      </c>
      <c r="B95" s="88"/>
      <c r="C95" s="88"/>
      <c r="D95" s="88"/>
      <c r="E95" s="88"/>
      <c r="F95" s="88"/>
      <c r="G95" s="88"/>
      <c r="H95" s="3"/>
      <c r="I95" s="3"/>
    </row>
    <row r="96" spans="1:9" s="1" customFormat="1" ht="20.100000000000001" customHeight="1">
      <c r="A96" s="88" t="s">
        <v>1062</v>
      </c>
      <c r="B96" s="88"/>
      <c r="C96" s="88"/>
      <c r="D96" s="88"/>
      <c r="E96" s="88"/>
      <c r="F96" s="88"/>
      <c r="G96" s="88"/>
      <c r="H96" s="3"/>
      <c r="I96" s="3"/>
    </row>
    <row r="97" spans="1:13" s="1" customFormat="1" ht="20.100000000000001" customHeight="1">
      <c r="A97" s="3"/>
      <c r="B97" s="3"/>
      <c r="C97" s="3"/>
      <c r="D97" s="3"/>
      <c r="E97" s="3"/>
      <c r="F97" s="3"/>
      <c r="G97" s="3"/>
      <c r="H97" s="3"/>
      <c r="I97" s="3"/>
    </row>
    <row r="98" spans="1:13" s="1" customFormat="1" ht="20.100000000000001" customHeight="1">
      <c r="A98" s="1059" t="s">
        <v>729</v>
      </c>
      <c r="B98" s="1082" t="s">
        <v>1044</v>
      </c>
      <c r="C98" s="1082"/>
      <c r="D98" s="1082" t="s">
        <v>1045</v>
      </c>
      <c r="E98" s="1082"/>
      <c r="F98" s="1082" t="s">
        <v>1046</v>
      </c>
      <c r="G98" s="1082"/>
      <c r="H98" s="9"/>
      <c r="I98" s="9"/>
      <c r="J98" s="9"/>
      <c r="K98" s="9"/>
      <c r="L98" s="9"/>
      <c r="M98" s="17"/>
    </row>
    <row r="99" spans="1:13" s="1" customFormat="1" ht="20.100000000000001" customHeight="1">
      <c r="A99" s="1059"/>
      <c r="B99" s="10" t="s">
        <v>1063</v>
      </c>
      <c r="C99" s="10" t="s">
        <v>1064</v>
      </c>
      <c r="D99" s="10" t="s">
        <v>1063</v>
      </c>
      <c r="E99" s="10" t="s">
        <v>1064</v>
      </c>
      <c r="F99" s="10" t="s">
        <v>1063</v>
      </c>
      <c r="G99" s="10" t="s">
        <v>1064</v>
      </c>
      <c r="H99" s="9"/>
      <c r="I99" s="9"/>
      <c r="J99" s="9"/>
      <c r="K99" s="9"/>
      <c r="L99" s="9"/>
      <c r="M99" s="17"/>
    </row>
    <row r="100" spans="1:13" s="1" customFormat="1" ht="20.100000000000001" customHeight="1">
      <c r="A100" s="26" t="s">
        <v>413</v>
      </c>
      <c r="B100" s="88"/>
      <c r="C100" s="88"/>
      <c r="D100" s="88"/>
      <c r="E100" s="88"/>
      <c r="F100" s="88"/>
      <c r="G100" s="88"/>
      <c r="H100" s="3"/>
      <c r="I100" s="3"/>
    </row>
    <row r="101" spans="1:13" s="1" customFormat="1" ht="20.100000000000001" customHeight="1">
      <c r="A101" s="26" t="s">
        <v>1065</v>
      </c>
      <c r="B101" s="88"/>
      <c r="C101" s="88"/>
      <c r="D101" s="88"/>
      <c r="E101" s="88"/>
      <c r="F101" s="88"/>
      <c r="G101" s="88"/>
      <c r="H101" s="3"/>
      <c r="I101" s="3"/>
    </row>
    <row r="102" spans="1:13" s="1" customFormat="1" ht="20.100000000000001" customHeight="1">
      <c r="A102" s="26" t="s">
        <v>1066</v>
      </c>
      <c r="B102" s="88"/>
      <c r="C102" s="88"/>
      <c r="D102" s="88"/>
      <c r="E102" s="88"/>
      <c r="F102" s="88"/>
      <c r="G102" s="88"/>
      <c r="H102" s="3"/>
      <c r="I102" s="3"/>
    </row>
    <row r="103" spans="1:13" s="1" customFormat="1" ht="20.100000000000001" customHeight="1">
      <c r="A103" s="26" t="s">
        <v>212</v>
      </c>
      <c r="B103" s="88"/>
      <c r="C103" s="88"/>
      <c r="D103" s="88"/>
      <c r="E103" s="88"/>
      <c r="F103" s="88"/>
      <c r="G103" s="88"/>
      <c r="H103" s="3"/>
      <c r="I103" s="3"/>
    </row>
    <row r="104" spans="1:13" s="1" customFormat="1" ht="20.100000000000001" customHeight="1">
      <c r="A104" s="26" t="s">
        <v>1067</v>
      </c>
      <c r="B104" s="88"/>
      <c r="C104" s="88"/>
      <c r="D104" s="88"/>
      <c r="E104" s="88"/>
      <c r="F104" s="88"/>
      <c r="G104" s="88"/>
      <c r="H104" s="3"/>
      <c r="I104" s="3"/>
    </row>
    <row r="105" spans="1:13" s="1" customFormat="1" ht="20.100000000000001" customHeight="1">
      <c r="A105" s="26" t="s">
        <v>1076</v>
      </c>
      <c r="B105" s="88"/>
      <c r="C105" s="88"/>
      <c r="D105" s="88"/>
      <c r="E105" s="88"/>
      <c r="F105" s="88"/>
      <c r="G105" s="88"/>
      <c r="H105" s="3"/>
      <c r="I105" s="3"/>
    </row>
    <row r="106" spans="1:13" s="1" customFormat="1" ht="20.100000000000001" customHeight="1">
      <c r="A106" s="173" t="s">
        <v>1069</v>
      </c>
      <c r="B106" s="3"/>
      <c r="C106" s="3"/>
      <c r="D106" s="3"/>
      <c r="E106" s="3"/>
      <c r="F106" s="3"/>
      <c r="G106" s="3"/>
      <c r="H106" s="3"/>
      <c r="I106" s="3"/>
    </row>
    <row r="107" spans="1:13" s="1" customFormat="1" ht="20.100000000000001" customHeight="1">
      <c r="A107" s="173" t="s">
        <v>1077</v>
      </c>
      <c r="B107" s="3"/>
      <c r="C107" s="3"/>
      <c r="D107" s="3"/>
      <c r="E107" s="3"/>
      <c r="F107" s="3"/>
      <c r="G107" s="3"/>
      <c r="H107" s="3"/>
      <c r="I107" s="3"/>
    </row>
    <row r="108" spans="1:13" s="1" customFormat="1" ht="20.100000000000001" customHeight="1">
      <c r="A108" s="173" t="s">
        <v>1078</v>
      </c>
      <c r="B108" s="3"/>
      <c r="C108" s="3"/>
      <c r="D108" s="3"/>
      <c r="E108" s="3"/>
      <c r="F108" s="3"/>
      <c r="G108" s="3"/>
      <c r="H108" s="3"/>
      <c r="I108" s="3"/>
    </row>
    <row r="109" spans="1:13" s="1" customFormat="1" ht="20.100000000000001" customHeight="1">
      <c r="A109" s="20" t="s">
        <v>729</v>
      </c>
      <c r="B109" s="20" t="s">
        <v>1079</v>
      </c>
      <c r="C109" s="20" t="s">
        <v>1063</v>
      </c>
      <c r="D109" s="20" t="s">
        <v>1080</v>
      </c>
      <c r="E109" s="20" t="s">
        <v>1064</v>
      </c>
      <c r="F109" s="9"/>
      <c r="G109" s="9"/>
      <c r="H109" s="9"/>
      <c r="I109" s="9"/>
      <c r="J109" s="9"/>
      <c r="K109" s="9"/>
      <c r="L109" s="9"/>
      <c r="M109" s="17"/>
    </row>
    <row r="110" spans="1:13" s="1" customFormat="1" ht="20.100000000000001" customHeight="1">
      <c r="A110" s="21" t="s">
        <v>1081</v>
      </c>
      <c r="B110" s="21"/>
      <c r="C110" s="21"/>
      <c r="D110" s="21"/>
      <c r="E110" s="21"/>
      <c r="F110" s="3"/>
      <c r="G110" s="3"/>
      <c r="H110" s="3"/>
      <c r="I110" s="3"/>
    </row>
    <row r="111" spans="1:13" s="1" customFormat="1" ht="20.100000000000001" customHeight="1">
      <c r="A111" s="21" t="s">
        <v>1082</v>
      </c>
      <c r="B111" s="21"/>
      <c r="C111" s="21"/>
      <c r="D111" s="21"/>
      <c r="E111" s="21"/>
      <c r="F111" s="3"/>
      <c r="G111" s="3"/>
      <c r="H111" s="3"/>
      <c r="I111" s="3"/>
    </row>
    <row r="112" spans="1:13" s="1" customFormat="1" ht="20.100000000000001" customHeight="1">
      <c r="A112" s="21" t="s">
        <v>1083</v>
      </c>
      <c r="B112" s="21"/>
      <c r="C112" s="21"/>
      <c r="D112" s="21"/>
      <c r="E112" s="21"/>
      <c r="F112" s="3"/>
      <c r="G112" s="3"/>
      <c r="H112" s="3"/>
      <c r="I112" s="3"/>
    </row>
    <row r="113" spans="1:12" s="1" customFormat="1" ht="20.100000000000001" customHeight="1">
      <c r="A113" s="21" t="s">
        <v>1065</v>
      </c>
      <c r="B113" s="21"/>
      <c r="C113" s="21"/>
      <c r="D113" s="21"/>
      <c r="E113" s="21"/>
      <c r="F113" s="3"/>
      <c r="G113" s="3"/>
      <c r="H113" s="3"/>
      <c r="I113" s="3"/>
    </row>
    <row r="114" spans="1:12" s="1" customFormat="1" ht="20.100000000000001" customHeight="1">
      <c r="A114" s="21" t="s">
        <v>212</v>
      </c>
      <c r="B114" s="21"/>
      <c r="C114" s="21"/>
      <c r="D114" s="21"/>
      <c r="E114" s="21"/>
      <c r="F114" s="3"/>
      <c r="G114" s="3"/>
      <c r="H114" s="3"/>
      <c r="I114" s="3"/>
    </row>
    <row r="115" spans="1:12" s="1" customFormat="1" ht="20.100000000000001" customHeight="1">
      <c r="A115" s="21" t="s">
        <v>1067</v>
      </c>
      <c r="B115" s="21"/>
      <c r="C115" s="21"/>
      <c r="D115" s="21"/>
      <c r="E115" s="21"/>
      <c r="F115" s="3"/>
      <c r="G115" s="3"/>
      <c r="H115" s="3"/>
      <c r="I115" s="3"/>
    </row>
    <row r="116" spans="1:12" s="1" customFormat="1" ht="20.100000000000001" customHeight="1">
      <c r="A116" s="21" t="s">
        <v>1084</v>
      </c>
      <c r="B116" s="21"/>
      <c r="C116" s="21"/>
      <c r="D116" s="21"/>
      <c r="E116" s="21"/>
      <c r="F116" s="3"/>
      <c r="G116" s="3"/>
      <c r="H116" s="3"/>
      <c r="I116" s="3"/>
    </row>
    <row r="117" spans="1:12" s="1" customFormat="1" ht="20.100000000000001" customHeight="1">
      <c r="A117" s="21" t="s">
        <v>1082</v>
      </c>
      <c r="B117" s="21"/>
      <c r="C117" s="21"/>
      <c r="D117" s="21"/>
      <c r="E117" s="21"/>
      <c r="F117" s="3"/>
      <c r="G117" s="3"/>
      <c r="H117" s="3"/>
      <c r="I117" s="3"/>
    </row>
    <row r="118" spans="1:12" s="1" customFormat="1" ht="20.100000000000001" customHeight="1">
      <c r="A118" s="21" t="s">
        <v>1083</v>
      </c>
      <c r="B118" s="21"/>
      <c r="C118" s="21"/>
      <c r="D118" s="21"/>
      <c r="E118" s="21"/>
      <c r="F118" s="3"/>
      <c r="G118" s="3"/>
      <c r="H118" s="3"/>
      <c r="I118" s="3"/>
    </row>
    <row r="119" spans="1:12" s="1" customFormat="1" ht="20.100000000000001" customHeight="1">
      <c r="A119" s="21" t="s">
        <v>1065</v>
      </c>
      <c r="B119" s="21"/>
      <c r="C119" s="21"/>
      <c r="D119" s="21"/>
      <c r="E119" s="21"/>
      <c r="F119" s="3"/>
      <c r="G119" s="3"/>
      <c r="H119" s="3"/>
      <c r="I119" s="3"/>
    </row>
    <row r="120" spans="1:12" s="1" customFormat="1" ht="20.100000000000001" customHeight="1">
      <c r="A120" s="21" t="s">
        <v>212</v>
      </c>
      <c r="B120" s="21"/>
      <c r="C120" s="21"/>
      <c r="D120" s="21"/>
      <c r="E120" s="21"/>
      <c r="F120" s="3"/>
      <c r="G120" s="3"/>
      <c r="H120" s="3"/>
      <c r="I120" s="3"/>
    </row>
    <row r="121" spans="1:12" s="1" customFormat="1" ht="20.100000000000001" customHeight="1">
      <c r="A121" s="21" t="s">
        <v>1067</v>
      </c>
      <c r="B121" s="21"/>
      <c r="C121" s="21"/>
      <c r="D121" s="21"/>
      <c r="E121" s="21"/>
      <c r="F121" s="3"/>
      <c r="G121" s="3"/>
      <c r="H121" s="3"/>
      <c r="I121" s="3"/>
    </row>
    <row r="122" spans="1:12" s="1" customFormat="1" ht="20.100000000000001" customHeight="1">
      <c r="A122" s="3"/>
      <c r="B122" s="3"/>
      <c r="C122" s="3"/>
      <c r="D122" s="3"/>
      <c r="E122" s="3"/>
      <c r="F122" s="3"/>
      <c r="G122" s="3"/>
      <c r="H122" s="3"/>
      <c r="I122" s="3"/>
    </row>
    <row r="123" spans="1:12" s="1" customFormat="1" ht="20.100000000000001" customHeight="1">
      <c r="A123" s="62" t="s">
        <v>1085</v>
      </c>
      <c r="B123" s="9"/>
      <c r="C123" s="9"/>
      <c r="D123" s="9"/>
      <c r="E123" s="9"/>
      <c r="F123" s="9"/>
      <c r="G123" s="9"/>
      <c r="H123" s="9"/>
      <c r="I123" s="9"/>
      <c r="J123" s="9"/>
      <c r="K123" s="9"/>
      <c r="L123" s="9"/>
    </row>
    <row r="124" spans="1:12" s="1" customFormat="1" ht="20.100000000000001" customHeight="1">
      <c r="A124" s="1059" t="s">
        <v>1086</v>
      </c>
      <c r="B124" s="1059" t="s">
        <v>1028</v>
      </c>
      <c r="C124" s="1059" t="s">
        <v>1029</v>
      </c>
      <c r="D124" s="1059" t="s">
        <v>1030</v>
      </c>
      <c r="E124" s="1059" t="s">
        <v>1087</v>
      </c>
      <c r="F124" s="1059"/>
      <c r="G124" s="9"/>
      <c r="H124" s="9"/>
      <c r="I124" s="9"/>
      <c r="J124" s="9"/>
      <c r="K124" s="9"/>
      <c r="L124" s="9"/>
    </row>
    <row r="125" spans="1:12" s="1" customFormat="1" ht="20.100000000000001" customHeight="1">
      <c r="A125" s="1059"/>
      <c r="B125" s="1059"/>
      <c r="C125" s="1059"/>
      <c r="D125" s="1059"/>
      <c r="E125" s="10" t="s">
        <v>1033</v>
      </c>
      <c r="F125" s="10" t="s">
        <v>1034</v>
      </c>
      <c r="G125" s="9"/>
      <c r="H125" s="9"/>
      <c r="I125" s="9"/>
      <c r="J125" s="9"/>
      <c r="K125" s="9"/>
      <c r="L125" s="9"/>
    </row>
    <row r="126" spans="1:12" s="1" customFormat="1" ht="20.100000000000001" customHeight="1">
      <c r="A126" s="227"/>
      <c r="B126" s="227"/>
      <c r="C126" s="227"/>
      <c r="D126" s="227"/>
      <c r="E126" s="227"/>
      <c r="F126" s="227"/>
      <c r="G126" s="3"/>
      <c r="H126" s="3"/>
      <c r="I126" s="3"/>
    </row>
    <row r="127" spans="1:12" s="1" customFormat="1" ht="20.100000000000001" customHeight="1">
      <c r="A127" s="227"/>
      <c r="B127" s="227"/>
      <c r="C127" s="227"/>
      <c r="D127" s="227"/>
      <c r="E127" s="227"/>
      <c r="F127" s="227"/>
      <c r="G127" s="3"/>
      <c r="H127" s="3"/>
      <c r="I127" s="3"/>
    </row>
    <row r="128" spans="1:12" s="1" customFormat="1" ht="20.100000000000001" customHeight="1">
      <c r="A128" s="227"/>
      <c r="B128" s="227"/>
      <c r="C128" s="227"/>
      <c r="D128" s="227"/>
      <c r="E128" s="227"/>
      <c r="F128" s="227"/>
      <c r="G128" s="3"/>
      <c r="H128" s="3"/>
      <c r="I128" s="3"/>
    </row>
    <row r="129" spans="1:9" s="1" customFormat="1" ht="20.100000000000001" customHeight="1">
      <c r="A129" s="227"/>
      <c r="B129" s="227"/>
      <c r="C129" s="227"/>
      <c r="D129" s="227"/>
      <c r="E129" s="227"/>
      <c r="F129" s="227"/>
      <c r="G129" s="3"/>
      <c r="H129" s="3"/>
      <c r="I129" s="3"/>
    </row>
    <row r="130" spans="1:9" s="1" customFormat="1" ht="20.100000000000001" customHeight="1">
      <c r="A130" s="227"/>
      <c r="B130" s="227"/>
      <c r="C130" s="227"/>
      <c r="D130" s="227"/>
      <c r="E130" s="227"/>
      <c r="F130" s="227"/>
      <c r="G130" s="3"/>
      <c r="H130" s="3"/>
      <c r="I130" s="3"/>
    </row>
    <row r="131" spans="1:9" s="1" customFormat="1" ht="20.100000000000001" customHeight="1">
      <c r="A131" s="227"/>
      <c r="B131" s="227"/>
      <c r="C131" s="227"/>
      <c r="D131" s="227"/>
      <c r="E131" s="227"/>
      <c r="F131" s="227"/>
      <c r="G131" s="3"/>
      <c r="H131" s="3"/>
      <c r="I131" s="3"/>
    </row>
    <row r="132" spans="1:9" s="1" customFormat="1" ht="20.100000000000001" customHeight="1">
      <c r="A132" s="278" t="s">
        <v>712</v>
      </c>
      <c r="B132" s="227"/>
      <c r="C132" s="227"/>
      <c r="D132" s="227"/>
      <c r="E132" s="227"/>
      <c r="F132" s="227"/>
      <c r="G132" s="3"/>
      <c r="H132" s="3"/>
      <c r="I132" s="3"/>
    </row>
    <row r="133" spans="1:9" s="1" customFormat="1" ht="20.100000000000001" customHeight="1">
      <c r="A133" s="26"/>
      <c r="B133" s="26"/>
      <c r="C133" s="26"/>
      <c r="D133" s="26"/>
      <c r="E133" s="26"/>
      <c r="F133" s="26"/>
      <c r="G133" s="3"/>
      <c r="H133" s="3"/>
      <c r="I133" s="3"/>
    </row>
    <row r="134" spans="1:9" s="1" customFormat="1" ht="20.100000000000001" customHeight="1">
      <c r="A134" s="463" t="s">
        <v>1088</v>
      </c>
      <c r="B134" s="3"/>
      <c r="C134" s="3"/>
      <c r="D134" s="3"/>
      <c r="E134" s="3"/>
      <c r="F134" s="3"/>
      <c r="G134" s="3"/>
      <c r="H134" s="3"/>
      <c r="I134" s="3"/>
    </row>
    <row r="135" spans="1:9" s="1" customFormat="1" ht="20.100000000000001" customHeight="1">
      <c r="A135" s="464" t="s">
        <v>1089</v>
      </c>
      <c r="B135" s="3"/>
      <c r="C135" s="3"/>
      <c r="D135" s="3"/>
      <c r="E135" s="3"/>
      <c r="F135" s="3"/>
      <c r="G135" s="3"/>
      <c r="H135" s="3"/>
      <c r="I135" s="3"/>
    </row>
    <row r="136" spans="1:9" s="1" customFormat="1" ht="20.100000000000001" customHeight="1">
      <c r="A136" s="464" t="s">
        <v>1090</v>
      </c>
      <c r="B136" s="3"/>
      <c r="C136" s="3"/>
      <c r="D136" s="3"/>
      <c r="E136" s="3"/>
      <c r="F136" s="3"/>
      <c r="G136" s="3"/>
      <c r="H136" s="3"/>
      <c r="I136" s="3"/>
    </row>
    <row r="137" spans="1:9" s="1" customFormat="1" ht="20.100000000000001" customHeight="1">
      <c r="A137" s="3"/>
      <c r="B137" s="3"/>
      <c r="C137" s="3"/>
      <c r="D137" s="3"/>
      <c r="E137" s="3"/>
      <c r="F137" s="3"/>
      <c r="G137" s="3"/>
      <c r="H137" s="3"/>
      <c r="I137" s="3"/>
    </row>
    <row r="138" spans="1:9" s="1" customFormat="1" ht="20.100000000000001" customHeight="1">
      <c r="A138" s="3"/>
      <c r="B138" s="3"/>
      <c r="C138" s="3"/>
      <c r="D138" s="3"/>
      <c r="E138" s="3"/>
      <c r="F138" s="3"/>
      <c r="G138" s="3"/>
      <c r="H138" s="3"/>
      <c r="I138" s="3"/>
    </row>
  </sheetData>
  <mergeCells count="33">
    <mergeCell ref="A98:A99"/>
    <mergeCell ref="A124:A125"/>
    <mergeCell ref="B23:B24"/>
    <mergeCell ref="B124:B125"/>
    <mergeCell ref="B61:C61"/>
    <mergeCell ref="B78:C78"/>
    <mergeCell ref="B40:C40"/>
    <mergeCell ref="A23:A24"/>
    <mergeCell ref="A40:A41"/>
    <mergeCell ref="A61:A62"/>
    <mergeCell ref="D23:D24"/>
    <mergeCell ref="D124:D125"/>
    <mergeCell ref="G23:G24"/>
    <mergeCell ref="E124:F124"/>
    <mergeCell ref="C124:C125"/>
    <mergeCell ref="E23:F23"/>
    <mergeCell ref="D40:E40"/>
    <mergeCell ref="A4:A5"/>
    <mergeCell ref="A78:A79"/>
    <mergeCell ref="K4:K5"/>
    <mergeCell ref="L4:L5"/>
    <mergeCell ref="B98:C98"/>
    <mergeCell ref="D98:E98"/>
    <mergeCell ref="F98:G98"/>
    <mergeCell ref="C23:C24"/>
    <mergeCell ref="D61:E61"/>
    <mergeCell ref="F61:G61"/>
    <mergeCell ref="D78:E78"/>
    <mergeCell ref="F78:G78"/>
    <mergeCell ref="B4:B5"/>
    <mergeCell ref="C4:J4"/>
    <mergeCell ref="A22:B22"/>
    <mergeCell ref="F40:G40"/>
  </mergeCells>
  <phoneticPr fontId="78" type="noConversion"/>
  <hyperlinks>
    <hyperlink ref="K1" location="目录!A1" display="BACK"/>
  </hyperlinks>
  <pageMargins left="0.27500000000000002" right="0.27500000000000002" top="0.51180555555555596" bottom="0.51180555555555596" header="0.27500000000000002" footer="0.27500000000000002"/>
  <pageSetup paperSize="9" scale="78" orientation="landscape" blackAndWhite="1" r:id="rId1"/>
  <headerFooter alignWithMargins="0"/>
  <rowBreaks count="1" manualBreakCount="1">
    <brk id="122" max="11"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rgb="FFFFC000"/>
  </sheetPr>
  <dimension ref="A1:D13"/>
  <sheetViews>
    <sheetView workbookViewId="0">
      <selection activeCell="A10" sqref="A10:XFD13"/>
    </sheetView>
  </sheetViews>
  <sheetFormatPr defaultRowHeight="15.6"/>
  <cols>
    <col min="1" max="1" width="29.69921875" customWidth="1"/>
    <col min="2" max="2" width="48.69921875" customWidth="1"/>
  </cols>
  <sheetData>
    <row r="1" spans="1:4">
      <c r="A1" s="48" t="s">
        <v>145</v>
      </c>
      <c r="B1" s="49">
        <f>基础信息!B6</f>
        <v>0</v>
      </c>
      <c r="D1" s="900" t="s">
        <v>146</v>
      </c>
    </row>
    <row r="2" spans="1:4">
      <c r="A2" s="48" t="s">
        <v>147</v>
      </c>
      <c r="B2" s="49">
        <f>基础信息!B9</f>
        <v>0</v>
      </c>
    </row>
    <row r="3" spans="1:4">
      <c r="A3" s="449" t="s">
        <v>148</v>
      </c>
      <c r="B3" s="976" t="s">
        <v>2115</v>
      </c>
    </row>
    <row r="10" spans="1:4">
      <c r="A10" s="1008" t="s">
        <v>632</v>
      </c>
      <c r="B10" s="524">
        <f>SUM(B4:B9)</f>
        <v>0</v>
      </c>
    </row>
    <row r="11" spans="1:4">
      <c r="A11" s="1007" t="s">
        <v>650</v>
      </c>
      <c r="B11" s="524"/>
    </row>
    <row r="12" spans="1:4">
      <c r="A12" s="1007"/>
      <c r="B12" s="524">
        <f>B10-B11</f>
        <v>0</v>
      </c>
    </row>
    <row r="13" spans="1:4">
      <c r="B13" s="221" t="str">
        <f>IF(B12=0,"OK","NO")</f>
        <v>OK</v>
      </c>
    </row>
  </sheetData>
  <phoneticPr fontId="78" type="noConversion"/>
  <hyperlinks>
    <hyperlink ref="D1" location="目录!A1" display="BACK"/>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rgb="FFFFC000"/>
  </sheetPr>
  <dimension ref="A1:E13"/>
  <sheetViews>
    <sheetView workbookViewId="0">
      <selection activeCell="B11" sqref="B11"/>
    </sheetView>
  </sheetViews>
  <sheetFormatPr defaultRowHeight="15.6"/>
  <cols>
    <col min="1" max="1" width="34.59765625" customWidth="1"/>
    <col min="2" max="2" width="30.09765625" customWidth="1"/>
  </cols>
  <sheetData>
    <row r="1" spans="1:5">
      <c r="A1" s="48" t="s">
        <v>145</v>
      </c>
      <c r="B1" s="49">
        <f>基础信息!B6</f>
        <v>0</v>
      </c>
      <c r="E1" s="900" t="s">
        <v>146</v>
      </c>
    </row>
    <row r="2" spans="1:5">
      <c r="A2" s="48" t="s">
        <v>147</v>
      </c>
      <c r="B2" s="49">
        <f>基础信息!B9</f>
        <v>0</v>
      </c>
    </row>
    <row r="3" spans="1:5">
      <c r="A3" s="449" t="s">
        <v>148</v>
      </c>
      <c r="B3" s="976" t="s">
        <v>2066</v>
      </c>
    </row>
    <row r="10" spans="1:5">
      <c r="A10" s="1008" t="s">
        <v>632</v>
      </c>
      <c r="B10" s="524">
        <f>SUM(B4:B9)</f>
        <v>0</v>
      </c>
    </row>
    <row r="11" spans="1:5">
      <c r="A11" s="1007" t="s">
        <v>650</v>
      </c>
      <c r="B11" s="524"/>
    </row>
    <row r="12" spans="1:5">
      <c r="A12" s="1007"/>
      <c r="B12" s="524">
        <f>B10-B11</f>
        <v>0</v>
      </c>
    </row>
    <row r="13" spans="1:5">
      <c r="B13" s="221" t="str">
        <f>IF(B12=0,"OK","NO")</f>
        <v>OK</v>
      </c>
    </row>
  </sheetData>
  <phoneticPr fontId="78" type="noConversion"/>
  <hyperlinks>
    <hyperlink ref="E1" location="目录!A1" display="BACK"/>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L76"/>
  <sheetViews>
    <sheetView view="pageBreakPreview" zoomScaleNormal="100" zoomScaleSheetLayoutView="100" workbookViewId="0">
      <selection activeCell="E6" sqref="E6"/>
    </sheetView>
  </sheetViews>
  <sheetFormatPr defaultColWidth="9" defaultRowHeight="20.100000000000001" customHeight="1"/>
  <cols>
    <col min="1" max="1" width="27.59765625" style="5" customWidth="1"/>
    <col min="2" max="2" width="15.59765625" style="5" customWidth="1"/>
    <col min="3" max="3" width="20.5" style="5" customWidth="1"/>
    <col min="4" max="13" width="15.59765625" style="5" customWidth="1"/>
    <col min="14" max="16384" width="9" style="5"/>
  </cols>
  <sheetData>
    <row r="1" spans="1:12" s="250" customFormat="1" ht="24.9" customHeight="1">
      <c r="A1" s="48" t="s">
        <v>145</v>
      </c>
      <c r="B1" s="49">
        <f>基础信息!B6</f>
        <v>0</v>
      </c>
      <c r="C1" s="16"/>
      <c r="D1" s="16"/>
      <c r="E1" s="19"/>
      <c r="G1" s="900" t="s">
        <v>146</v>
      </c>
    </row>
    <row r="2" spans="1:12" s="250" customFormat="1" ht="24.9" customHeight="1">
      <c r="A2" s="48" t="s">
        <v>147</v>
      </c>
      <c r="B2" s="49">
        <f>基础信息!B9</f>
        <v>0</v>
      </c>
      <c r="C2" s="16"/>
      <c r="D2" s="16"/>
      <c r="E2" s="16"/>
    </row>
    <row r="3" spans="1:12" s="251" customFormat="1" ht="24.9" customHeight="1">
      <c r="A3" s="449" t="s">
        <v>148</v>
      </c>
      <c r="B3" s="449" t="s">
        <v>1091</v>
      </c>
      <c r="C3" s="16"/>
      <c r="D3" s="16"/>
      <c r="E3" s="16"/>
      <c r="F3" s="250"/>
      <c r="G3" s="250"/>
      <c r="H3" s="250"/>
      <c r="I3" s="250"/>
    </row>
    <row r="4" spans="1:12" s="441" customFormat="1" ht="20.100000000000001" customHeight="1">
      <c r="A4" s="450" t="s">
        <v>1092</v>
      </c>
      <c r="B4" s="451"/>
      <c r="C4" s="451"/>
      <c r="D4" s="451"/>
      <c r="E4" s="451"/>
      <c r="H4" s="9"/>
    </row>
    <row r="5" spans="1:12" s="448" customFormat="1" ht="20.100000000000001" customHeight="1">
      <c r="A5" s="452" t="s">
        <v>968</v>
      </c>
      <c r="B5" s="423" t="s">
        <v>1093</v>
      </c>
      <c r="C5" s="423" t="s">
        <v>1094</v>
      </c>
      <c r="D5" s="423" t="s">
        <v>1095</v>
      </c>
      <c r="E5" s="423" t="s">
        <v>906</v>
      </c>
      <c r="F5" s="453"/>
      <c r="G5" s="453"/>
      <c r="H5" s="17"/>
      <c r="I5" s="453"/>
      <c r="J5" s="453"/>
      <c r="K5" s="453"/>
      <c r="L5" s="453"/>
    </row>
    <row r="6" spans="1:12" s="440" customFormat="1" ht="20.100000000000001" customHeight="1">
      <c r="A6" s="454" t="s">
        <v>1096</v>
      </c>
      <c r="B6" s="416"/>
      <c r="C6" s="416"/>
      <c r="D6" s="416"/>
      <c r="E6" s="416"/>
      <c r="H6" s="3"/>
    </row>
    <row r="7" spans="1:12" s="440" customFormat="1" ht="20.100000000000001" customHeight="1">
      <c r="A7" s="454" t="s">
        <v>1097</v>
      </c>
      <c r="B7" s="416"/>
      <c r="C7" s="416"/>
      <c r="D7" s="416"/>
      <c r="E7" s="426">
        <f t="shared" ref="E7" si="0">SUM(B7:D7)</f>
        <v>0</v>
      </c>
      <c r="H7" s="3"/>
    </row>
    <row r="8" spans="1:12" s="440" customFormat="1" ht="20.100000000000001" customHeight="1">
      <c r="A8" s="454" t="s">
        <v>1098</v>
      </c>
      <c r="B8" s="426">
        <f>SUM(B9:B12)</f>
        <v>0</v>
      </c>
      <c r="C8" s="426">
        <f t="shared" ref="C8:E8" si="1">SUM(C9:C12)</f>
        <v>0</v>
      </c>
      <c r="D8" s="426">
        <f t="shared" si="1"/>
        <v>0</v>
      </c>
      <c r="E8" s="426">
        <f t="shared" si="1"/>
        <v>0</v>
      </c>
      <c r="H8" s="3"/>
    </row>
    <row r="9" spans="1:12" s="440" customFormat="1" ht="20.100000000000001" customHeight="1">
      <c r="A9" s="454" t="s">
        <v>1099</v>
      </c>
      <c r="B9" s="416"/>
      <c r="C9" s="416"/>
      <c r="D9" s="416"/>
      <c r="E9" s="416"/>
      <c r="H9" s="3"/>
    </row>
    <row r="10" spans="1:12" s="440" customFormat="1" ht="20.100000000000001" customHeight="1">
      <c r="A10" s="454" t="s">
        <v>1100</v>
      </c>
      <c r="B10" s="416"/>
      <c r="C10" s="416"/>
      <c r="D10" s="416"/>
      <c r="E10" s="416"/>
      <c r="H10" s="3"/>
    </row>
    <row r="11" spans="1:12" s="440" customFormat="1" ht="20.100000000000001" customHeight="1">
      <c r="A11" s="454" t="s">
        <v>1101</v>
      </c>
      <c r="B11" s="416"/>
      <c r="C11" s="416"/>
      <c r="D11" s="416"/>
      <c r="E11" s="416"/>
      <c r="H11" s="3"/>
    </row>
    <row r="12" spans="1:12" s="440" customFormat="1" ht="20.100000000000001" customHeight="1">
      <c r="A12" s="455" t="s">
        <v>712</v>
      </c>
      <c r="B12" s="416"/>
      <c r="C12" s="416"/>
      <c r="D12" s="416"/>
      <c r="E12" s="416"/>
      <c r="H12" s="3"/>
    </row>
    <row r="13" spans="1:12" s="440" customFormat="1" ht="20.100000000000001" customHeight="1">
      <c r="A13" s="454" t="s">
        <v>1102</v>
      </c>
      <c r="B13" s="426">
        <f>SUM(B14:B16)</f>
        <v>0</v>
      </c>
      <c r="C13" s="426">
        <f t="shared" ref="C13:E13" si="2">SUM(C14:C16)</f>
        <v>0</v>
      </c>
      <c r="D13" s="426">
        <f t="shared" si="2"/>
        <v>0</v>
      </c>
      <c r="E13" s="426">
        <f t="shared" si="2"/>
        <v>0</v>
      </c>
    </row>
    <row r="14" spans="1:12" s="440" customFormat="1" ht="20.100000000000001" customHeight="1">
      <c r="A14" s="454" t="s">
        <v>1103</v>
      </c>
      <c r="B14" s="416"/>
      <c r="C14" s="416"/>
      <c r="D14" s="416"/>
      <c r="E14" s="416"/>
    </row>
    <row r="15" spans="1:12" s="440" customFormat="1" ht="20.100000000000001" customHeight="1">
      <c r="A15" s="454" t="s">
        <v>1104</v>
      </c>
      <c r="B15" s="416"/>
      <c r="C15" s="416"/>
      <c r="D15" s="416"/>
      <c r="E15" s="416"/>
    </row>
    <row r="16" spans="1:12" s="440" customFormat="1" ht="20.100000000000001" customHeight="1">
      <c r="A16" s="455" t="s">
        <v>712</v>
      </c>
      <c r="B16" s="416"/>
      <c r="C16" s="416"/>
      <c r="D16" s="416"/>
      <c r="E16" s="416"/>
    </row>
    <row r="17" spans="1:5" s="440" customFormat="1" ht="20.100000000000001" customHeight="1">
      <c r="A17" s="454" t="s">
        <v>1105</v>
      </c>
      <c r="B17" s="426">
        <f>B7+B8-B13</f>
        <v>0</v>
      </c>
      <c r="C17" s="426">
        <f t="shared" ref="C17:E17" si="3">C7+C8-C13</f>
        <v>0</v>
      </c>
      <c r="D17" s="426">
        <f t="shared" si="3"/>
        <v>0</v>
      </c>
      <c r="E17" s="426">
        <f t="shared" si="3"/>
        <v>0</v>
      </c>
    </row>
    <row r="18" spans="1:5" s="440" customFormat="1" ht="20.100000000000001" customHeight="1">
      <c r="A18" s="456" t="s">
        <v>1106</v>
      </c>
      <c r="B18" s="416"/>
      <c r="C18" s="416"/>
      <c r="D18" s="416"/>
      <c r="E18" s="416"/>
    </row>
    <row r="19" spans="1:5" s="440" customFormat="1" ht="20.100000000000001" customHeight="1">
      <c r="A19" s="454" t="s">
        <v>1097</v>
      </c>
      <c r="B19" s="416"/>
      <c r="C19" s="416"/>
      <c r="D19" s="416"/>
      <c r="E19" s="416"/>
    </row>
    <row r="20" spans="1:5" s="440" customFormat="1" ht="20.100000000000001" customHeight="1">
      <c r="A20" s="454" t="s">
        <v>1098</v>
      </c>
      <c r="B20" s="426">
        <f>SUM(B21:B24)</f>
        <v>0</v>
      </c>
      <c r="C20" s="426">
        <f t="shared" ref="C20:E20" si="4">SUM(C21:C24)</f>
        <v>0</v>
      </c>
      <c r="D20" s="426">
        <f t="shared" si="4"/>
        <v>0</v>
      </c>
      <c r="E20" s="426">
        <f t="shared" si="4"/>
        <v>0</v>
      </c>
    </row>
    <row r="21" spans="1:5" s="440" customFormat="1" ht="20.100000000000001" customHeight="1">
      <c r="A21" s="454" t="s">
        <v>1107</v>
      </c>
      <c r="B21" s="416"/>
      <c r="C21" s="416"/>
      <c r="D21" s="416"/>
      <c r="E21" s="416"/>
    </row>
    <row r="22" spans="1:5" s="440" customFormat="1" ht="20.100000000000001" customHeight="1">
      <c r="A22" s="454" t="s">
        <v>1108</v>
      </c>
      <c r="B22" s="416"/>
      <c r="C22" s="416"/>
      <c r="D22" s="416"/>
      <c r="E22" s="416"/>
    </row>
    <row r="23" spans="1:5" s="440" customFormat="1" ht="20.100000000000001" customHeight="1">
      <c r="A23" s="454" t="s">
        <v>1109</v>
      </c>
      <c r="B23" s="416"/>
      <c r="C23" s="416"/>
      <c r="D23" s="416"/>
      <c r="E23" s="416"/>
    </row>
    <row r="24" spans="1:5" s="440" customFormat="1" ht="20.100000000000001" customHeight="1">
      <c r="A24" s="455" t="s">
        <v>712</v>
      </c>
      <c r="B24" s="416"/>
      <c r="C24" s="416"/>
      <c r="D24" s="416"/>
      <c r="E24" s="416"/>
    </row>
    <row r="25" spans="1:5" s="440" customFormat="1" ht="20.100000000000001" customHeight="1">
      <c r="A25" s="454" t="s">
        <v>1102</v>
      </c>
      <c r="B25" s="426">
        <f>SUM(B26:B28)</f>
        <v>0</v>
      </c>
      <c r="C25" s="426">
        <f t="shared" ref="C25:E25" si="5">SUM(C26:C28)</f>
        <v>0</v>
      </c>
      <c r="D25" s="426">
        <f t="shared" si="5"/>
        <v>0</v>
      </c>
      <c r="E25" s="426">
        <f t="shared" si="5"/>
        <v>0</v>
      </c>
    </row>
    <row r="26" spans="1:5" s="440" customFormat="1" ht="20.100000000000001" customHeight="1">
      <c r="A26" s="454" t="s">
        <v>1103</v>
      </c>
      <c r="B26" s="416"/>
      <c r="C26" s="416"/>
      <c r="D26" s="416"/>
      <c r="E26" s="416"/>
    </row>
    <row r="27" spans="1:5" s="440" customFormat="1" ht="20.100000000000001" customHeight="1">
      <c r="A27" s="454" t="s">
        <v>1104</v>
      </c>
      <c r="B27" s="416"/>
      <c r="C27" s="416"/>
      <c r="D27" s="416"/>
      <c r="E27" s="416"/>
    </row>
    <row r="28" spans="1:5" s="440" customFormat="1" ht="20.100000000000001" customHeight="1">
      <c r="A28" s="455" t="s">
        <v>712</v>
      </c>
      <c r="B28" s="416"/>
      <c r="C28" s="416"/>
      <c r="D28" s="416"/>
      <c r="E28" s="416"/>
    </row>
    <row r="29" spans="1:5" s="440" customFormat="1" ht="20.100000000000001" customHeight="1">
      <c r="A29" s="454" t="s">
        <v>1105</v>
      </c>
      <c r="B29" s="426">
        <f>B19+B20-B25</f>
        <v>0</v>
      </c>
      <c r="C29" s="426">
        <f t="shared" ref="C29:E29" si="6">C19+C20-C25</f>
        <v>0</v>
      </c>
      <c r="D29" s="426">
        <f t="shared" si="6"/>
        <v>0</v>
      </c>
      <c r="E29" s="426">
        <f t="shared" si="6"/>
        <v>0</v>
      </c>
    </row>
    <row r="30" spans="1:5" s="440" customFormat="1" ht="20.100000000000001" customHeight="1">
      <c r="A30" s="456" t="s">
        <v>1110</v>
      </c>
      <c r="B30" s="416"/>
      <c r="C30" s="416"/>
      <c r="D30" s="416"/>
      <c r="E30" s="416"/>
    </row>
    <row r="31" spans="1:5" s="440" customFormat="1" ht="20.100000000000001" customHeight="1">
      <c r="A31" s="454" t="s">
        <v>1097</v>
      </c>
      <c r="B31" s="416"/>
      <c r="C31" s="416"/>
      <c r="D31" s="416"/>
      <c r="E31" s="416"/>
    </row>
    <row r="32" spans="1:5" s="440" customFormat="1" ht="20.100000000000001" customHeight="1">
      <c r="A32" s="454" t="s">
        <v>1098</v>
      </c>
      <c r="B32" s="426">
        <f>SUM(B33:B35)</f>
        <v>0</v>
      </c>
      <c r="C32" s="426">
        <f t="shared" ref="C32:E32" si="7">SUM(C33:C35)</f>
        <v>0</v>
      </c>
      <c r="D32" s="426">
        <f t="shared" si="7"/>
        <v>0</v>
      </c>
      <c r="E32" s="426">
        <f t="shared" si="7"/>
        <v>0</v>
      </c>
    </row>
    <row r="33" spans="1:11" s="440" customFormat="1" ht="20.100000000000001" customHeight="1">
      <c r="A33" s="454" t="s">
        <v>1111</v>
      </c>
      <c r="B33" s="416"/>
      <c r="C33" s="416"/>
      <c r="D33" s="416"/>
      <c r="E33" s="416"/>
    </row>
    <row r="34" spans="1:11" s="440" customFormat="1" ht="20.100000000000001" customHeight="1">
      <c r="A34" s="454" t="s">
        <v>1112</v>
      </c>
      <c r="B34" s="416"/>
      <c r="C34" s="416"/>
      <c r="D34" s="416"/>
      <c r="E34" s="416"/>
    </row>
    <row r="35" spans="1:11" s="440" customFormat="1" ht="20.100000000000001" customHeight="1">
      <c r="A35" s="455" t="s">
        <v>712</v>
      </c>
      <c r="B35" s="416"/>
      <c r="C35" s="416"/>
      <c r="D35" s="416"/>
      <c r="E35" s="416"/>
    </row>
    <row r="36" spans="1:11" s="440" customFormat="1" ht="20.100000000000001" customHeight="1">
      <c r="A36" s="454" t="s">
        <v>1113</v>
      </c>
      <c r="B36" s="426">
        <f>SUM(B37:B39)</f>
        <v>0</v>
      </c>
      <c r="C36" s="426">
        <f t="shared" ref="C36:E36" si="8">SUM(C37:C39)</f>
        <v>0</v>
      </c>
      <c r="D36" s="426">
        <f t="shared" si="8"/>
        <v>0</v>
      </c>
      <c r="E36" s="426">
        <f t="shared" si="8"/>
        <v>0</v>
      </c>
    </row>
    <row r="37" spans="1:11" s="440" customFormat="1" ht="20.100000000000001" customHeight="1">
      <c r="A37" s="454" t="s">
        <v>1103</v>
      </c>
      <c r="B37" s="416"/>
      <c r="C37" s="416"/>
      <c r="D37" s="416"/>
      <c r="E37" s="416"/>
    </row>
    <row r="38" spans="1:11" s="440" customFormat="1" ht="20.100000000000001" customHeight="1">
      <c r="A38" s="454" t="s">
        <v>1104</v>
      </c>
      <c r="B38" s="416"/>
      <c r="C38" s="416"/>
      <c r="D38" s="416"/>
      <c r="E38" s="416"/>
    </row>
    <row r="39" spans="1:11" s="440" customFormat="1" ht="20.100000000000001" customHeight="1">
      <c r="A39" s="455" t="s">
        <v>712</v>
      </c>
      <c r="B39" s="416"/>
      <c r="C39" s="416"/>
      <c r="D39" s="416"/>
      <c r="E39" s="416"/>
    </row>
    <row r="40" spans="1:11" s="440" customFormat="1" ht="20.100000000000001" customHeight="1">
      <c r="A40" s="454" t="s">
        <v>1105</v>
      </c>
      <c r="B40" s="416"/>
      <c r="C40" s="416"/>
      <c r="D40" s="416"/>
      <c r="E40" s="416"/>
    </row>
    <row r="41" spans="1:11" s="440" customFormat="1" ht="20.100000000000001" customHeight="1">
      <c r="A41" s="456" t="s">
        <v>1114</v>
      </c>
      <c r="B41" s="416"/>
      <c r="C41" s="416"/>
      <c r="D41" s="416"/>
      <c r="E41" s="416"/>
    </row>
    <row r="42" spans="1:11" s="440" customFormat="1" ht="20.100000000000001" customHeight="1">
      <c r="A42" s="454" t="s">
        <v>1115</v>
      </c>
      <c r="B42" s="416"/>
      <c r="C42" s="416"/>
      <c r="D42" s="416"/>
      <c r="E42" s="416"/>
    </row>
    <row r="43" spans="1:11" s="440" customFormat="1" ht="20.100000000000001" customHeight="1">
      <c r="A43" s="454" t="s">
        <v>1116</v>
      </c>
      <c r="B43" s="416"/>
      <c r="C43" s="416"/>
      <c r="D43" s="416"/>
      <c r="E43" s="416"/>
    </row>
    <row r="44" spans="1:11" s="363" customFormat="1" ht="20.100000000000001" customHeight="1">
      <c r="A44" s="444" t="s">
        <v>623</v>
      </c>
      <c r="B44" s="365"/>
      <c r="C44" s="133"/>
      <c r="D44" s="192"/>
      <c r="E44" s="279"/>
      <c r="F44" s="3"/>
      <c r="G44" s="3"/>
      <c r="H44" s="217"/>
      <c r="I44" s="217"/>
      <c r="J44" s="217"/>
      <c r="K44" s="217"/>
    </row>
    <row r="45" spans="1:11" s="363" customFormat="1" ht="20.100000000000001" customHeight="1">
      <c r="A45" s="328"/>
      <c r="B45" s="365"/>
      <c r="C45" s="133"/>
      <c r="D45" s="192"/>
      <c r="E45" s="220">
        <f>E42-E44</f>
        <v>0</v>
      </c>
      <c r="F45" s="3"/>
      <c r="G45" s="3"/>
      <c r="H45" s="217"/>
      <c r="I45" s="217"/>
      <c r="J45" s="217"/>
      <c r="K45" s="217"/>
    </row>
    <row r="46" spans="1:11" s="363" customFormat="1" ht="20.100000000000001" customHeight="1">
      <c r="A46" s="221"/>
      <c r="B46" s="221"/>
      <c r="C46" s="376"/>
      <c r="E46" s="221" t="str">
        <f>IF(E45=0,"OK","NO")</f>
        <v>OK</v>
      </c>
      <c r="F46" s="3"/>
      <c r="G46" s="3"/>
      <c r="H46" s="217"/>
      <c r="I46" s="217"/>
      <c r="J46" s="217"/>
      <c r="K46" s="217"/>
    </row>
    <row r="47" spans="1:11" s="440" customFormat="1" ht="20.100000000000001" customHeight="1">
      <c r="A47" s="425"/>
      <c r="B47" s="425"/>
      <c r="C47" s="425"/>
      <c r="D47" s="425"/>
      <c r="E47" s="425"/>
    </row>
    <row r="48" spans="1:11" s="440" customFormat="1" ht="20.100000000000001" customHeight="1">
      <c r="A48" s="425"/>
      <c r="B48" s="425"/>
      <c r="C48" s="425"/>
      <c r="D48" s="425"/>
      <c r="E48" s="425"/>
    </row>
    <row r="49" spans="1:5" s="440" customFormat="1" ht="20.100000000000001" customHeight="1">
      <c r="A49" s="429" t="s">
        <v>1117</v>
      </c>
      <c r="B49" s="425"/>
      <c r="C49" s="425"/>
      <c r="D49" s="425"/>
      <c r="E49" s="425"/>
    </row>
    <row r="50" spans="1:5" s="440" customFormat="1" ht="20.100000000000001" customHeight="1">
      <c r="A50" s="173" t="s">
        <v>1118</v>
      </c>
      <c r="B50" s="425"/>
      <c r="C50" s="425"/>
      <c r="D50" s="425"/>
      <c r="E50" s="425"/>
    </row>
    <row r="51" spans="1:5" s="440" customFormat="1" ht="20.100000000000001" customHeight="1">
      <c r="A51" s="457" t="s">
        <v>877</v>
      </c>
      <c r="B51" s="422" t="s">
        <v>1119</v>
      </c>
      <c r="C51" s="422" t="s">
        <v>1120</v>
      </c>
      <c r="D51" s="422" t="s">
        <v>1121</v>
      </c>
      <c r="E51" s="422" t="s">
        <v>1122</v>
      </c>
    </row>
    <row r="52" spans="1:5" s="440" customFormat="1" ht="20.100000000000001" customHeight="1">
      <c r="A52" s="458" t="s">
        <v>1123</v>
      </c>
      <c r="B52" s="417"/>
      <c r="C52" s="417"/>
      <c r="D52" s="417"/>
      <c r="E52" s="417"/>
    </row>
    <row r="53" spans="1:5" s="440" customFormat="1" ht="20.100000000000001" customHeight="1">
      <c r="A53" s="458" t="s">
        <v>1124</v>
      </c>
      <c r="B53" s="417"/>
      <c r="C53" s="417"/>
      <c r="D53" s="417"/>
      <c r="E53" s="417"/>
    </row>
    <row r="54" spans="1:5" s="440" customFormat="1" ht="20.100000000000001" customHeight="1">
      <c r="A54" s="459" t="s">
        <v>1125</v>
      </c>
      <c r="B54" s="417"/>
      <c r="C54" s="417"/>
      <c r="D54" s="417"/>
      <c r="E54" s="417"/>
    </row>
    <row r="55" spans="1:5" s="440" customFormat="1" ht="20.100000000000001" customHeight="1">
      <c r="A55" s="459" t="s">
        <v>1126</v>
      </c>
      <c r="B55" s="417"/>
      <c r="C55" s="417"/>
      <c r="D55" s="417"/>
      <c r="E55" s="417"/>
    </row>
    <row r="56" spans="1:5" s="440" customFormat="1" ht="20.100000000000001" customHeight="1">
      <c r="A56" s="459" t="s">
        <v>1127</v>
      </c>
      <c r="B56" s="417"/>
      <c r="C56" s="417"/>
      <c r="D56" s="417"/>
      <c r="E56" s="417"/>
    </row>
    <row r="57" spans="1:5" s="440" customFormat="1" ht="20.100000000000001" customHeight="1">
      <c r="A57" s="459" t="s">
        <v>1128</v>
      </c>
      <c r="B57" s="417"/>
      <c r="C57" s="417"/>
      <c r="D57" s="417"/>
      <c r="E57" s="417"/>
    </row>
    <row r="58" spans="1:5" s="440" customFormat="1" ht="20.100000000000001" customHeight="1">
      <c r="A58" s="459" t="s">
        <v>1129</v>
      </c>
      <c r="B58" s="417"/>
      <c r="C58" s="417"/>
      <c r="D58" s="417"/>
      <c r="E58" s="417"/>
    </row>
    <row r="59" spans="1:5" s="440" customFormat="1" ht="20.100000000000001" customHeight="1">
      <c r="A59" s="459" t="s">
        <v>1130</v>
      </c>
      <c r="B59" s="417"/>
      <c r="C59" s="417"/>
      <c r="D59" s="417"/>
      <c r="E59" s="417"/>
    </row>
    <row r="60" spans="1:5" s="440" customFormat="1" ht="20.100000000000001" customHeight="1">
      <c r="A60" s="459"/>
      <c r="B60" s="417"/>
      <c r="C60" s="417"/>
      <c r="D60" s="417"/>
      <c r="E60" s="417"/>
    </row>
    <row r="61" spans="1:5" s="440" customFormat="1" ht="20.100000000000001" customHeight="1">
      <c r="A61" s="458" t="s">
        <v>1131</v>
      </c>
      <c r="B61" s="417"/>
      <c r="C61" s="417"/>
      <c r="D61" s="417"/>
      <c r="E61" s="417"/>
    </row>
    <row r="62" spans="1:5" s="440" customFormat="1" ht="20.100000000000001" customHeight="1">
      <c r="A62" s="460"/>
      <c r="B62" s="427"/>
      <c r="C62" s="427"/>
      <c r="D62" s="427"/>
      <c r="E62" s="427"/>
    </row>
    <row r="63" spans="1:5" s="440" customFormat="1" ht="20.100000000000001" customHeight="1">
      <c r="A63" s="460"/>
      <c r="B63" s="427"/>
      <c r="C63" s="427"/>
      <c r="D63" s="427"/>
      <c r="E63" s="427"/>
    </row>
    <row r="64" spans="1:5" s="440" customFormat="1" ht="20.100000000000001" customHeight="1">
      <c r="A64" s="429" t="s">
        <v>1132</v>
      </c>
      <c r="B64" s="425"/>
      <c r="C64" s="425"/>
      <c r="D64" s="425"/>
      <c r="E64" s="425"/>
    </row>
    <row r="65" spans="1:5" s="440" customFormat="1" ht="20.100000000000001" customHeight="1">
      <c r="A65" s="173" t="s">
        <v>1133</v>
      </c>
      <c r="B65" s="425"/>
      <c r="C65" s="425"/>
      <c r="D65" s="425"/>
      <c r="E65" s="425"/>
    </row>
    <row r="66" spans="1:5" s="440" customFormat="1" ht="20.100000000000001" customHeight="1">
      <c r="A66" s="457" t="s">
        <v>877</v>
      </c>
      <c r="B66" s="422" t="s">
        <v>896</v>
      </c>
      <c r="C66" s="422" t="s">
        <v>1134</v>
      </c>
      <c r="D66" s="425"/>
      <c r="E66" s="425"/>
    </row>
    <row r="67" spans="1:5" s="440" customFormat="1" ht="20.100000000000001" customHeight="1">
      <c r="A67" s="461" t="s">
        <v>712</v>
      </c>
      <c r="B67" s="417"/>
      <c r="C67" s="417"/>
      <c r="D67" s="425"/>
      <c r="E67" s="425"/>
    </row>
    <row r="68" spans="1:5" s="440" customFormat="1" ht="20.100000000000001" customHeight="1">
      <c r="A68" s="460"/>
      <c r="B68" s="427"/>
      <c r="C68" s="427"/>
      <c r="D68" s="425"/>
      <c r="E68" s="425"/>
    </row>
    <row r="69" spans="1:5" s="440" customFormat="1" ht="20.100000000000001" customHeight="1">
      <c r="A69" s="460"/>
      <c r="B69" s="427"/>
      <c r="C69" s="427"/>
      <c r="D69" s="425"/>
      <c r="E69" s="425"/>
    </row>
    <row r="70" spans="1:5" s="440" customFormat="1" ht="20.100000000000001" customHeight="1">
      <c r="A70" s="460"/>
      <c r="B70" s="427"/>
      <c r="C70" s="427"/>
      <c r="D70" s="425"/>
      <c r="E70" s="425"/>
    </row>
    <row r="71" spans="1:5" s="440" customFormat="1" ht="20.100000000000001" customHeight="1">
      <c r="A71" s="173" t="s">
        <v>1135</v>
      </c>
      <c r="B71" s="425"/>
      <c r="C71" s="425"/>
      <c r="D71" s="425"/>
      <c r="E71" s="425"/>
    </row>
    <row r="72" spans="1:5" s="440" customFormat="1" ht="20.100000000000001" customHeight="1">
      <c r="A72" s="173" t="s">
        <v>1136</v>
      </c>
      <c r="B72" s="425"/>
      <c r="C72" s="425"/>
      <c r="D72" s="425"/>
      <c r="E72" s="425"/>
    </row>
    <row r="73" spans="1:5" s="440" customFormat="1" ht="20.100000000000001" customHeight="1">
      <c r="A73" s="173" t="s">
        <v>1137</v>
      </c>
      <c r="B73" s="425"/>
      <c r="C73" s="425"/>
      <c r="D73" s="425"/>
      <c r="E73" s="425"/>
    </row>
    <row r="74" spans="1:5" s="392" customFormat="1" ht="13.8"/>
    <row r="75" spans="1:5" s="392" customFormat="1" ht="13.8"/>
    <row r="76" spans="1:5" s="392" customFormat="1" ht="13.8"/>
  </sheetData>
  <phoneticPr fontId="78" type="noConversion"/>
  <hyperlinks>
    <hyperlink ref="G1" location="目录!A1" display="BACK"/>
  </hyperlinks>
  <pageMargins left="0.27500000000000002" right="0.27500000000000002" top="0.51180555555555596" bottom="0.51180555555555596" header="0.27500000000000002" footer="0.27500000000000002"/>
  <pageSetup paperSize="9" scale="78" orientation="landscape" blackAndWhite="1" r:id="rId1"/>
  <headerFooter alignWithMargins="0"/>
  <rowBreaks count="2" manualBreakCount="2">
    <brk id="23" max="4" man="1"/>
    <brk id="48" max="4"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E11"/>
  <sheetViews>
    <sheetView view="pageBreakPreview" zoomScaleNormal="100" zoomScaleSheetLayoutView="100" workbookViewId="0">
      <selection activeCell="B8" sqref="B8"/>
    </sheetView>
  </sheetViews>
  <sheetFormatPr defaultColWidth="9" defaultRowHeight="15.6"/>
  <cols>
    <col min="1" max="1" width="29.69921875" customWidth="1"/>
    <col min="2" max="2" width="17.5" customWidth="1"/>
    <col min="3" max="3" width="21.59765625" customWidth="1"/>
  </cols>
  <sheetData>
    <row r="1" spans="1:5">
      <c r="A1" s="48" t="s">
        <v>145</v>
      </c>
      <c r="B1" s="49">
        <f>基础信息!B6</f>
        <v>0</v>
      </c>
      <c r="C1" s="50"/>
      <c r="E1" s="900" t="s">
        <v>146</v>
      </c>
    </row>
    <row r="2" spans="1:5">
      <c r="A2" s="48" t="s">
        <v>147</v>
      </c>
      <c r="B2" s="49">
        <f>基础信息!B9</f>
        <v>0</v>
      </c>
      <c r="C2" s="50"/>
    </row>
    <row r="3" spans="1:5">
      <c r="A3" s="91" t="s">
        <v>148</v>
      </c>
      <c r="B3" s="307" t="s">
        <v>58</v>
      </c>
      <c r="C3" s="53"/>
    </row>
    <row r="4" spans="1:5">
      <c r="A4" s="82" t="s">
        <v>729</v>
      </c>
      <c r="B4" s="82" t="s">
        <v>737</v>
      </c>
      <c r="C4" s="82" t="s">
        <v>1138</v>
      </c>
    </row>
    <row r="5" spans="1:5">
      <c r="A5" s="346" t="s">
        <v>58</v>
      </c>
      <c r="B5" s="85">
        <f>'RP 036-1'!F41</f>
        <v>0</v>
      </c>
      <c r="C5" s="85"/>
    </row>
    <row r="6" spans="1:5">
      <c r="A6" s="346" t="s">
        <v>1139</v>
      </c>
      <c r="B6" s="85">
        <f>'RP 036-2'!B7</f>
        <v>0</v>
      </c>
      <c r="C6" s="85"/>
    </row>
    <row r="7" spans="1:5">
      <c r="A7" s="88" t="s">
        <v>632</v>
      </c>
      <c r="B7" s="280">
        <f>SUM(B5:B6)</f>
        <v>0</v>
      </c>
      <c r="C7" s="85"/>
    </row>
    <row r="8" spans="1:5">
      <c r="A8" s="219" t="s">
        <v>623</v>
      </c>
      <c r="B8" s="279"/>
      <c r="C8" s="108"/>
    </row>
    <row r="9" spans="1:5">
      <c r="A9" s="328"/>
      <c r="B9" s="220">
        <f>B7-B8</f>
        <v>0</v>
      </c>
      <c r="C9" s="108"/>
    </row>
    <row r="10" spans="1:5">
      <c r="A10" s="305"/>
      <c r="B10" s="305" t="str">
        <f>IF(B9=0,"OK","NO")</f>
        <v>OK</v>
      </c>
      <c r="C10" s="347"/>
    </row>
    <row r="11" spans="1:5">
      <c r="A11" s="438"/>
      <c r="B11" s="21"/>
      <c r="C11" s="21"/>
    </row>
  </sheetData>
  <phoneticPr fontId="78" type="noConversion"/>
  <hyperlinks>
    <hyperlink ref="E1" location="目录!A1" display="BACK"/>
  </hyperlinks>
  <pageMargins left="0.75" right="0.75" top="1" bottom="1" header="0.51180555555555596" footer="0.51180555555555596"/>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K89"/>
  <sheetViews>
    <sheetView view="pageBreakPreview" zoomScaleNormal="100" zoomScaleSheetLayoutView="100" workbookViewId="0">
      <selection activeCell="H4" sqref="H4"/>
    </sheetView>
  </sheetViews>
  <sheetFormatPr defaultColWidth="9" defaultRowHeight="20.100000000000001" customHeight="1"/>
  <cols>
    <col min="1" max="1" width="15.59765625" style="18" customWidth="1"/>
    <col min="2" max="2" width="19.09765625" style="18" customWidth="1"/>
    <col min="3" max="3" width="19.59765625" style="18" customWidth="1"/>
    <col min="4" max="11" width="15.59765625" style="18" customWidth="1"/>
    <col min="12" max="16384" width="9" style="18"/>
  </cols>
  <sheetData>
    <row r="1" spans="1:9" ht="20.100000000000001" customHeight="1">
      <c r="A1" s="48" t="s">
        <v>145</v>
      </c>
      <c r="B1" s="49">
        <f>基础信息!B6</f>
        <v>0</v>
      </c>
      <c r="C1" s="16"/>
      <c r="D1" s="16"/>
      <c r="E1" s="19"/>
      <c r="F1" s="16"/>
      <c r="G1" s="16"/>
      <c r="H1" s="16"/>
    </row>
    <row r="2" spans="1:9" ht="20.100000000000001" customHeight="1">
      <c r="A2" s="48" t="s">
        <v>147</v>
      </c>
      <c r="B2" s="49">
        <f>基础信息!B9</f>
        <v>0</v>
      </c>
      <c r="C2" s="16"/>
      <c r="D2" s="16"/>
      <c r="E2" s="16"/>
      <c r="F2" s="16"/>
      <c r="G2" s="16"/>
      <c r="H2" s="16"/>
    </row>
    <row r="3" spans="1:9" s="355" customFormat="1" ht="20.100000000000001" customHeight="1">
      <c r="A3" s="91" t="s">
        <v>148</v>
      </c>
      <c r="B3" s="91" t="s">
        <v>1140</v>
      </c>
      <c r="C3" s="16"/>
      <c r="D3" s="16"/>
      <c r="E3" s="16"/>
      <c r="F3" s="16"/>
      <c r="G3" s="16"/>
      <c r="H3" s="16"/>
      <c r="I3" s="18"/>
    </row>
    <row r="4" spans="1:9" s="439" customFormat="1" ht="20.100000000000001" customHeight="1">
      <c r="A4" s="9" t="s">
        <v>1141</v>
      </c>
      <c r="B4" s="420"/>
      <c r="C4" s="420"/>
      <c r="D4" s="420"/>
      <c r="E4" s="420"/>
      <c r="F4" s="420"/>
      <c r="G4" s="441"/>
      <c r="H4" s="900" t="s">
        <v>146</v>
      </c>
    </row>
    <row r="5" spans="1:9" s="440" customFormat="1" ht="20.100000000000001" customHeight="1">
      <c r="A5" s="422" t="s">
        <v>877</v>
      </c>
      <c r="B5" s="422" t="s">
        <v>1142</v>
      </c>
      <c r="C5" s="422" t="s">
        <v>1143</v>
      </c>
      <c r="D5" s="422" t="s">
        <v>1144</v>
      </c>
      <c r="E5" s="422" t="s">
        <v>870</v>
      </c>
      <c r="F5" s="422" t="s">
        <v>1145</v>
      </c>
      <c r="G5" s="441"/>
      <c r="H5" s="441"/>
    </row>
    <row r="6" spans="1:9" s="440" customFormat="1" ht="20.100000000000001" customHeight="1">
      <c r="A6" s="442" t="s">
        <v>1146</v>
      </c>
      <c r="B6" s="418"/>
      <c r="C6" s="418"/>
      <c r="D6" s="418"/>
      <c r="E6" s="418"/>
      <c r="F6" s="424">
        <f>SUM(B6:E6)</f>
        <v>0</v>
      </c>
    </row>
    <row r="7" spans="1:9" s="440" customFormat="1" ht="20.100000000000001" customHeight="1">
      <c r="A7" s="443" t="s">
        <v>1147</v>
      </c>
      <c r="B7" s="418"/>
      <c r="C7" s="418"/>
      <c r="D7" s="418"/>
      <c r="E7" s="418"/>
      <c r="F7" s="424">
        <f t="shared" ref="F7:F42" si="0">SUM(B7:E7)</f>
        <v>0</v>
      </c>
    </row>
    <row r="8" spans="1:9" s="440" customFormat="1" ht="20.100000000000001" customHeight="1">
      <c r="A8" s="443" t="s">
        <v>1148</v>
      </c>
      <c r="B8" s="424">
        <f>SUM(B9:B12)</f>
        <v>0</v>
      </c>
      <c r="C8" s="424">
        <f t="shared" ref="C8:E8" si="1">SUM(C9:C12)</f>
        <v>0</v>
      </c>
      <c r="D8" s="424">
        <f t="shared" si="1"/>
        <v>0</v>
      </c>
      <c r="E8" s="424">
        <f t="shared" si="1"/>
        <v>0</v>
      </c>
      <c r="F8" s="424">
        <f t="shared" si="0"/>
        <v>0</v>
      </c>
    </row>
    <row r="9" spans="1:9" s="440" customFormat="1" ht="20.100000000000001" customHeight="1">
      <c r="A9" s="443" t="s">
        <v>1149</v>
      </c>
      <c r="B9" s="418"/>
      <c r="C9" s="418"/>
      <c r="D9" s="418"/>
      <c r="E9" s="418"/>
      <c r="F9" s="424">
        <f t="shared" si="0"/>
        <v>0</v>
      </c>
    </row>
    <row r="10" spans="1:9" s="440" customFormat="1" ht="20.100000000000001" customHeight="1">
      <c r="A10" s="443" t="s">
        <v>1150</v>
      </c>
      <c r="B10" s="418"/>
      <c r="C10" s="418"/>
      <c r="D10" s="418"/>
      <c r="E10" s="418"/>
      <c r="F10" s="424">
        <f t="shared" si="0"/>
        <v>0</v>
      </c>
    </row>
    <row r="11" spans="1:9" s="440" customFormat="1" ht="20.100000000000001" customHeight="1">
      <c r="A11" s="443" t="s">
        <v>1151</v>
      </c>
      <c r="B11" s="418"/>
      <c r="C11" s="418"/>
      <c r="D11" s="418"/>
      <c r="E11" s="418"/>
      <c r="F11" s="424">
        <f t="shared" si="0"/>
        <v>0</v>
      </c>
    </row>
    <row r="12" spans="1:9" s="440" customFormat="1" ht="20.100000000000001" customHeight="1">
      <c r="A12" s="443" t="s">
        <v>870</v>
      </c>
      <c r="B12" s="418"/>
      <c r="C12" s="418"/>
      <c r="D12" s="418"/>
      <c r="E12" s="418"/>
      <c r="F12" s="424">
        <f t="shared" si="0"/>
        <v>0</v>
      </c>
    </row>
    <row r="13" spans="1:9" s="440" customFormat="1" ht="20.100000000000001" customHeight="1">
      <c r="A13" s="443" t="s">
        <v>1152</v>
      </c>
      <c r="B13" s="418"/>
      <c r="C13" s="418"/>
      <c r="D13" s="418"/>
      <c r="E13" s="418"/>
      <c r="F13" s="424">
        <f t="shared" si="0"/>
        <v>0</v>
      </c>
    </row>
    <row r="14" spans="1:9" s="440" customFormat="1" ht="20.100000000000001" customHeight="1">
      <c r="A14" s="443" t="s">
        <v>1153</v>
      </c>
      <c r="B14" s="418"/>
      <c r="C14" s="418"/>
      <c r="D14" s="418"/>
      <c r="E14" s="418"/>
      <c r="F14" s="424">
        <f t="shared" si="0"/>
        <v>0</v>
      </c>
    </row>
    <row r="15" spans="1:9" s="440" customFormat="1" ht="20.100000000000001" customHeight="1">
      <c r="A15" s="443" t="s">
        <v>1154</v>
      </c>
      <c r="B15" s="418"/>
      <c r="C15" s="418"/>
      <c r="D15" s="418"/>
      <c r="E15" s="418"/>
      <c r="F15" s="424">
        <f t="shared" si="0"/>
        <v>0</v>
      </c>
    </row>
    <row r="16" spans="1:9" s="440" customFormat="1" ht="20.100000000000001" customHeight="1">
      <c r="A16" s="443" t="s">
        <v>870</v>
      </c>
      <c r="B16" s="418"/>
      <c r="C16" s="418"/>
      <c r="D16" s="418"/>
      <c r="E16" s="418"/>
      <c r="F16" s="424">
        <f t="shared" si="0"/>
        <v>0</v>
      </c>
    </row>
    <row r="17" spans="1:6" s="440" customFormat="1" ht="20.100000000000001" customHeight="1">
      <c r="A17" s="443" t="s">
        <v>1155</v>
      </c>
      <c r="B17" s="418"/>
      <c r="C17" s="418"/>
      <c r="D17" s="418"/>
      <c r="E17" s="418"/>
      <c r="F17" s="424">
        <f t="shared" si="0"/>
        <v>0</v>
      </c>
    </row>
    <row r="18" spans="1:6" s="440" customFormat="1" ht="20.100000000000001" customHeight="1">
      <c r="A18" s="442" t="s">
        <v>1156</v>
      </c>
      <c r="B18" s="418"/>
      <c r="C18" s="418"/>
      <c r="D18" s="418"/>
      <c r="E18" s="418"/>
      <c r="F18" s="424">
        <f t="shared" si="0"/>
        <v>0</v>
      </c>
    </row>
    <row r="19" spans="1:6" s="440" customFormat="1" ht="20.100000000000001" customHeight="1">
      <c r="A19" s="443" t="s">
        <v>1147</v>
      </c>
      <c r="B19" s="418"/>
      <c r="C19" s="418"/>
      <c r="D19" s="418"/>
      <c r="E19" s="418"/>
      <c r="F19" s="424">
        <f t="shared" si="0"/>
        <v>0</v>
      </c>
    </row>
    <row r="20" spans="1:6" s="440" customFormat="1" ht="20.100000000000001" customHeight="1">
      <c r="A20" s="443" t="s">
        <v>1148</v>
      </c>
      <c r="B20" s="418"/>
      <c r="C20" s="418"/>
      <c r="D20" s="418"/>
      <c r="E20" s="418"/>
      <c r="F20" s="424">
        <f t="shared" si="0"/>
        <v>0</v>
      </c>
    </row>
    <row r="21" spans="1:6" s="440" customFormat="1" ht="20.100000000000001" customHeight="1">
      <c r="A21" s="443" t="s">
        <v>1157</v>
      </c>
      <c r="B21" s="418"/>
      <c r="C21" s="418"/>
      <c r="D21" s="418"/>
      <c r="E21" s="418"/>
      <c r="F21" s="424">
        <f t="shared" si="0"/>
        <v>0</v>
      </c>
    </row>
    <row r="22" spans="1:6" s="440" customFormat="1" ht="20.100000000000001" customHeight="1">
      <c r="A22" s="443" t="s">
        <v>1158</v>
      </c>
      <c r="B22" s="418"/>
      <c r="C22" s="418"/>
      <c r="D22" s="418"/>
      <c r="E22" s="418"/>
      <c r="F22" s="424">
        <f t="shared" si="0"/>
        <v>0</v>
      </c>
    </row>
    <row r="23" spans="1:6" s="440" customFormat="1" ht="20.100000000000001" customHeight="1">
      <c r="A23" s="443" t="s">
        <v>870</v>
      </c>
      <c r="B23" s="418"/>
      <c r="C23" s="418"/>
      <c r="D23" s="418"/>
      <c r="E23" s="418"/>
      <c r="F23" s="424">
        <f t="shared" si="0"/>
        <v>0</v>
      </c>
    </row>
    <row r="24" spans="1:6" s="440" customFormat="1" ht="20.100000000000001" customHeight="1">
      <c r="A24" s="443" t="s">
        <v>1152</v>
      </c>
      <c r="B24" s="418"/>
      <c r="C24" s="418"/>
      <c r="D24" s="418"/>
      <c r="E24" s="418"/>
      <c r="F24" s="424">
        <f t="shared" si="0"/>
        <v>0</v>
      </c>
    </row>
    <row r="25" spans="1:6" s="440" customFormat="1" ht="20.100000000000001" customHeight="1">
      <c r="A25" s="443" t="s">
        <v>1153</v>
      </c>
      <c r="B25" s="418"/>
      <c r="C25" s="418"/>
      <c r="D25" s="418"/>
      <c r="E25" s="418"/>
      <c r="F25" s="424">
        <f t="shared" si="0"/>
        <v>0</v>
      </c>
    </row>
    <row r="26" spans="1:6" s="440" customFormat="1" ht="20.100000000000001" customHeight="1">
      <c r="A26" s="443" t="s">
        <v>1154</v>
      </c>
      <c r="B26" s="418"/>
      <c r="C26" s="418"/>
      <c r="D26" s="418"/>
      <c r="E26" s="418"/>
      <c r="F26" s="424">
        <f t="shared" si="0"/>
        <v>0</v>
      </c>
    </row>
    <row r="27" spans="1:6" s="440" customFormat="1" ht="20.100000000000001" customHeight="1">
      <c r="A27" s="443" t="s">
        <v>870</v>
      </c>
      <c r="B27" s="418"/>
      <c r="C27" s="418"/>
      <c r="D27" s="418"/>
      <c r="E27" s="418"/>
      <c r="F27" s="424">
        <f t="shared" si="0"/>
        <v>0</v>
      </c>
    </row>
    <row r="28" spans="1:6" s="440" customFormat="1" ht="20.100000000000001" customHeight="1">
      <c r="A28" s="443" t="s">
        <v>1155</v>
      </c>
      <c r="B28" s="418"/>
      <c r="C28" s="418"/>
      <c r="D28" s="418"/>
      <c r="E28" s="418"/>
      <c r="F28" s="424">
        <f t="shared" si="0"/>
        <v>0</v>
      </c>
    </row>
    <row r="29" spans="1:6" s="440" customFormat="1" ht="20.100000000000001" customHeight="1">
      <c r="A29" s="442" t="s">
        <v>1159</v>
      </c>
      <c r="B29" s="418"/>
      <c r="C29" s="418"/>
      <c r="D29" s="418"/>
      <c r="E29" s="418"/>
      <c r="F29" s="424">
        <f t="shared" si="0"/>
        <v>0</v>
      </c>
    </row>
    <row r="30" spans="1:6" s="440" customFormat="1" ht="20.100000000000001" customHeight="1">
      <c r="A30" s="443" t="s">
        <v>1147</v>
      </c>
      <c r="B30" s="418"/>
      <c r="C30" s="418"/>
      <c r="D30" s="418"/>
      <c r="E30" s="418"/>
      <c r="F30" s="424">
        <f t="shared" si="0"/>
        <v>0</v>
      </c>
    </row>
    <row r="31" spans="1:6" s="440" customFormat="1" ht="20.100000000000001" customHeight="1">
      <c r="A31" s="443" t="s">
        <v>1148</v>
      </c>
      <c r="B31" s="418"/>
      <c r="C31" s="418"/>
      <c r="D31" s="418"/>
      <c r="E31" s="418"/>
      <c r="F31" s="424">
        <f t="shared" si="0"/>
        <v>0</v>
      </c>
    </row>
    <row r="32" spans="1:6" s="440" customFormat="1" ht="20.100000000000001" customHeight="1">
      <c r="A32" s="443" t="s">
        <v>1157</v>
      </c>
      <c r="B32" s="418"/>
      <c r="C32" s="418"/>
      <c r="D32" s="418"/>
      <c r="E32" s="418"/>
      <c r="F32" s="424">
        <f t="shared" si="0"/>
        <v>0</v>
      </c>
    </row>
    <row r="33" spans="1:11" s="440" customFormat="1" ht="20.100000000000001" customHeight="1">
      <c r="A33" s="443" t="s">
        <v>1158</v>
      </c>
      <c r="B33" s="418"/>
      <c r="C33" s="418"/>
      <c r="D33" s="418"/>
      <c r="E33" s="418"/>
      <c r="F33" s="424">
        <f t="shared" si="0"/>
        <v>0</v>
      </c>
    </row>
    <row r="34" spans="1:11" s="440" customFormat="1" ht="20.100000000000001" customHeight="1">
      <c r="A34" s="443" t="s">
        <v>870</v>
      </c>
      <c r="B34" s="418"/>
      <c r="C34" s="418"/>
      <c r="D34" s="418"/>
      <c r="E34" s="418"/>
      <c r="F34" s="424">
        <f t="shared" si="0"/>
        <v>0</v>
      </c>
    </row>
    <row r="35" spans="1:11" s="440" customFormat="1" ht="20.100000000000001" customHeight="1">
      <c r="A35" s="443" t="s">
        <v>1152</v>
      </c>
      <c r="B35" s="418"/>
      <c r="C35" s="418"/>
      <c r="D35" s="418"/>
      <c r="E35" s="418"/>
      <c r="F35" s="424">
        <f t="shared" si="0"/>
        <v>0</v>
      </c>
    </row>
    <row r="36" spans="1:11" s="440" customFormat="1" ht="20.100000000000001" customHeight="1">
      <c r="A36" s="443" t="s">
        <v>1153</v>
      </c>
      <c r="B36" s="418"/>
      <c r="C36" s="418"/>
      <c r="D36" s="418"/>
      <c r="E36" s="418"/>
      <c r="F36" s="424">
        <f t="shared" si="0"/>
        <v>0</v>
      </c>
    </row>
    <row r="37" spans="1:11" s="440" customFormat="1" ht="20.100000000000001" customHeight="1">
      <c r="A37" s="443" t="s">
        <v>1160</v>
      </c>
      <c r="B37" s="418"/>
      <c r="C37" s="418"/>
      <c r="D37" s="418"/>
      <c r="E37" s="418"/>
      <c r="F37" s="424">
        <f t="shared" si="0"/>
        <v>0</v>
      </c>
    </row>
    <row r="38" spans="1:11" s="440" customFormat="1" ht="20.100000000000001" customHeight="1">
      <c r="A38" s="443" t="s">
        <v>870</v>
      </c>
      <c r="B38" s="418"/>
      <c r="C38" s="418"/>
      <c r="D38" s="418"/>
      <c r="E38" s="418"/>
      <c r="F38" s="424">
        <f t="shared" si="0"/>
        <v>0</v>
      </c>
    </row>
    <row r="39" spans="1:11" s="440" customFormat="1" ht="20.100000000000001" customHeight="1">
      <c r="A39" s="443" t="s">
        <v>1155</v>
      </c>
      <c r="B39" s="418"/>
      <c r="C39" s="418"/>
      <c r="D39" s="418"/>
      <c r="E39" s="418"/>
      <c r="F39" s="424">
        <f t="shared" si="0"/>
        <v>0</v>
      </c>
    </row>
    <row r="40" spans="1:11" s="440" customFormat="1" ht="20.100000000000001" customHeight="1">
      <c r="A40" s="442" t="s">
        <v>1161</v>
      </c>
      <c r="B40" s="418"/>
      <c r="C40" s="418"/>
      <c r="D40" s="418"/>
      <c r="E40" s="418"/>
      <c r="F40" s="424">
        <f t="shared" si="0"/>
        <v>0</v>
      </c>
    </row>
    <row r="41" spans="1:11" s="440" customFormat="1" ht="20.100000000000001" customHeight="1">
      <c r="A41" s="443" t="s">
        <v>1162</v>
      </c>
      <c r="B41" s="418"/>
      <c r="C41" s="418"/>
      <c r="D41" s="418"/>
      <c r="E41" s="418"/>
      <c r="F41" s="424">
        <f t="shared" si="0"/>
        <v>0</v>
      </c>
    </row>
    <row r="42" spans="1:11" s="440" customFormat="1" ht="20.100000000000001" customHeight="1">
      <c r="A42" s="443" t="s">
        <v>1163</v>
      </c>
      <c r="B42" s="418"/>
      <c r="C42" s="418"/>
      <c r="D42" s="418"/>
      <c r="E42" s="418"/>
      <c r="F42" s="424">
        <f t="shared" si="0"/>
        <v>0</v>
      </c>
    </row>
    <row r="43" spans="1:11" s="363" customFormat="1" ht="20.100000000000001" customHeight="1">
      <c r="A43" s="444" t="s">
        <v>623</v>
      </c>
      <c r="B43" s="365"/>
      <c r="C43" s="133"/>
      <c r="D43" s="192"/>
      <c r="E43" s="192"/>
      <c r="F43" s="279"/>
      <c r="G43" s="3"/>
      <c r="H43" s="217"/>
      <c r="I43" s="217"/>
      <c r="J43" s="217"/>
      <c r="K43" s="217"/>
    </row>
    <row r="44" spans="1:11" s="363" customFormat="1" ht="20.100000000000001" customHeight="1">
      <c r="A44" s="328"/>
      <c r="B44" s="365"/>
      <c r="C44" s="133"/>
      <c r="D44" s="192"/>
      <c r="E44" s="192"/>
      <c r="F44" s="220"/>
      <c r="G44" s="3"/>
      <c r="H44" s="217"/>
      <c r="I44" s="217"/>
      <c r="J44" s="217"/>
      <c r="K44" s="217"/>
    </row>
    <row r="45" spans="1:11" s="363" customFormat="1" ht="20.100000000000001" customHeight="1">
      <c r="A45" s="221"/>
      <c r="B45" s="221"/>
      <c r="C45" s="376"/>
      <c r="F45" s="221"/>
      <c r="G45" s="3"/>
      <c r="H45" s="217"/>
      <c r="I45" s="217"/>
      <c r="J45" s="217"/>
      <c r="K45" s="217"/>
    </row>
    <row r="46" spans="1:11" s="440" customFormat="1" ht="20.100000000000001" customHeight="1">
      <c r="A46" s="425" t="s">
        <v>994</v>
      </c>
      <c r="B46" s="425"/>
      <c r="C46" s="425"/>
      <c r="D46" s="425"/>
      <c r="E46" s="425"/>
      <c r="F46" s="425"/>
    </row>
    <row r="47" spans="1:11" s="440" customFormat="1" ht="20.100000000000001" customHeight="1">
      <c r="A47" s="173" t="s">
        <v>1164</v>
      </c>
      <c r="B47" s="425"/>
      <c r="C47" s="425"/>
      <c r="D47" s="425"/>
      <c r="E47" s="425"/>
      <c r="F47" s="425"/>
    </row>
    <row r="48" spans="1:11" s="440" customFormat="1" ht="20.100000000000001" customHeight="1">
      <c r="A48" s="173" t="s">
        <v>1165</v>
      </c>
      <c r="B48" s="425"/>
      <c r="C48" s="425"/>
      <c r="D48" s="425"/>
      <c r="E48" s="425"/>
      <c r="F48" s="425"/>
    </row>
    <row r="49" spans="1:6" s="440" customFormat="1" ht="20.100000000000001" customHeight="1">
      <c r="A49" s="173" t="s">
        <v>1166</v>
      </c>
      <c r="B49" s="425"/>
      <c r="C49" s="425"/>
      <c r="D49" s="425"/>
      <c r="E49" s="425"/>
      <c r="F49" s="425"/>
    </row>
    <row r="50" spans="1:6" s="440" customFormat="1" ht="20.100000000000001" customHeight="1">
      <c r="A50" s="173" t="s">
        <v>1167</v>
      </c>
      <c r="B50" s="425"/>
      <c r="C50" s="425"/>
      <c r="D50" s="425"/>
      <c r="E50" s="425"/>
      <c r="F50" s="425"/>
    </row>
    <row r="51" spans="1:6" s="440" customFormat="1" ht="20.100000000000001" customHeight="1">
      <c r="A51" s="429" t="s">
        <v>1168</v>
      </c>
      <c r="B51" s="425"/>
      <c r="C51" s="425"/>
      <c r="D51" s="425"/>
      <c r="E51" s="425"/>
      <c r="F51" s="425"/>
    </row>
    <row r="52" spans="1:6" s="440" customFormat="1" ht="20.100000000000001" customHeight="1">
      <c r="A52" s="422" t="s">
        <v>877</v>
      </c>
      <c r="B52" s="422" t="s">
        <v>1169</v>
      </c>
      <c r="C52" s="422" t="s">
        <v>1170</v>
      </c>
      <c r="D52" s="422" t="s">
        <v>895</v>
      </c>
      <c r="E52" s="422" t="s">
        <v>896</v>
      </c>
      <c r="F52" s="422" t="s">
        <v>1171</v>
      </c>
    </row>
    <row r="53" spans="1:6" s="440" customFormat="1" ht="20.100000000000001" customHeight="1">
      <c r="A53" s="417" t="s">
        <v>1172</v>
      </c>
      <c r="B53" s="418"/>
      <c r="C53" s="418"/>
      <c r="D53" s="418"/>
      <c r="E53" s="424">
        <f>B53-C53-D53</f>
        <v>0</v>
      </c>
      <c r="F53" s="417"/>
    </row>
    <row r="54" spans="1:6" s="440" customFormat="1" ht="20.100000000000001" customHeight="1">
      <c r="A54" s="417" t="s">
        <v>1173</v>
      </c>
      <c r="B54" s="418"/>
      <c r="C54" s="418"/>
      <c r="D54" s="418"/>
      <c r="E54" s="424">
        <f t="shared" ref="E54:E57" si="2">B54-C54-D54</f>
        <v>0</v>
      </c>
      <c r="F54" s="417"/>
    </row>
    <row r="55" spans="1:6" s="440" customFormat="1" ht="20.100000000000001" customHeight="1">
      <c r="A55" s="417" t="s">
        <v>1174</v>
      </c>
      <c r="B55" s="418"/>
      <c r="C55" s="418"/>
      <c r="D55" s="418"/>
      <c r="E55" s="424">
        <f t="shared" si="2"/>
        <v>0</v>
      </c>
      <c r="F55" s="417"/>
    </row>
    <row r="56" spans="1:6" s="440" customFormat="1" ht="20.100000000000001" customHeight="1">
      <c r="A56" s="417" t="s">
        <v>1175</v>
      </c>
      <c r="B56" s="418"/>
      <c r="C56" s="418"/>
      <c r="D56" s="418"/>
      <c r="E56" s="424">
        <f t="shared" si="2"/>
        <v>0</v>
      </c>
      <c r="F56" s="417"/>
    </row>
    <row r="57" spans="1:6" s="440" customFormat="1" ht="20.100000000000001" customHeight="1">
      <c r="A57" s="445" t="s">
        <v>712</v>
      </c>
      <c r="B57" s="416"/>
      <c r="C57" s="418"/>
      <c r="D57" s="418"/>
      <c r="E57" s="424">
        <f t="shared" si="2"/>
        <v>0</v>
      </c>
      <c r="F57" s="415"/>
    </row>
    <row r="58" spans="1:6" s="440" customFormat="1" ht="20.100000000000001" customHeight="1">
      <c r="A58" s="417" t="s">
        <v>882</v>
      </c>
      <c r="B58" s="426">
        <f>SUM(B53:B57)</f>
        <v>0</v>
      </c>
      <c r="C58" s="426">
        <f t="shared" ref="C58:E58" si="3">SUM(C53:C57)</f>
        <v>0</v>
      </c>
      <c r="D58" s="426">
        <f t="shared" si="3"/>
        <v>0</v>
      </c>
      <c r="E58" s="426">
        <f t="shared" si="3"/>
        <v>0</v>
      </c>
      <c r="F58" s="415"/>
    </row>
    <row r="59" spans="1:6" s="440" customFormat="1" ht="20.100000000000001" customHeight="1">
      <c r="A59" s="446"/>
      <c r="B59" s="447"/>
      <c r="C59" s="447"/>
      <c r="D59" s="447"/>
      <c r="E59" s="447"/>
      <c r="F59" s="447"/>
    </row>
    <row r="60" spans="1:6" s="440" customFormat="1" ht="20.100000000000001" customHeight="1">
      <c r="A60" s="446"/>
      <c r="B60" s="447"/>
      <c r="C60" s="447"/>
      <c r="D60" s="447"/>
      <c r="E60" s="447"/>
      <c r="F60" s="447"/>
    </row>
    <row r="61" spans="1:6" s="440" customFormat="1" ht="20.100000000000001" customHeight="1">
      <c r="A61" s="429" t="s">
        <v>1176</v>
      </c>
      <c r="B61" s="425"/>
      <c r="C61" s="425"/>
      <c r="D61" s="425"/>
      <c r="E61" s="425"/>
      <c r="F61" s="425"/>
    </row>
    <row r="62" spans="1:6" s="440" customFormat="1" ht="20.100000000000001" customHeight="1">
      <c r="A62" s="422" t="s">
        <v>877</v>
      </c>
      <c r="B62" s="422" t="s">
        <v>1169</v>
      </c>
      <c r="C62" s="422" t="s">
        <v>1170</v>
      </c>
      <c r="D62" s="422" t="s">
        <v>895</v>
      </c>
      <c r="E62" s="422" t="s">
        <v>896</v>
      </c>
      <c r="F62" s="425"/>
    </row>
    <row r="63" spans="1:6" s="440" customFormat="1" ht="20.100000000000001" customHeight="1">
      <c r="A63" s="417" t="s">
        <v>1172</v>
      </c>
      <c r="B63" s="418"/>
      <c r="C63" s="418"/>
      <c r="D63" s="418"/>
      <c r="E63" s="424">
        <f>B63-C63-D63</f>
        <v>0</v>
      </c>
      <c r="F63" s="425"/>
    </row>
    <row r="64" spans="1:6" s="440" customFormat="1" ht="20.100000000000001" customHeight="1">
      <c r="A64" s="417" t="s">
        <v>1173</v>
      </c>
      <c r="B64" s="418"/>
      <c r="C64" s="418"/>
      <c r="D64" s="418"/>
      <c r="E64" s="424">
        <f t="shared" ref="E64:E67" si="4">B64-C64-D64</f>
        <v>0</v>
      </c>
      <c r="F64" s="425"/>
    </row>
    <row r="65" spans="1:6" s="440" customFormat="1" ht="20.100000000000001" customHeight="1">
      <c r="A65" s="417" t="s">
        <v>1174</v>
      </c>
      <c r="B65" s="418"/>
      <c r="C65" s="418"/>
      <c r="D65" s="418"/>
      <c r="E65" s="424">
        <f t="shared" si="4"/>
        <v>0</v>
      </c>
      <c r="F65" s="425"/>
    </row>
    <row r="66" spans="1:6" s="440" customFormat="1" ht="20.100000000000001" customHeight="1">
      <c r="A66" s="417" t="s">
        <v>1175</v>
      </c>
      <c r="B66" s="418"/>
      <c r="C66" s="418"/>
      <c r="D66" s="418"/>
      <c r="E66" s="424">
        <f t="shared" si="4"/>
        <v>0</v>
      </c>
      <c r="F66" s="425"/>
    </row>
    <row r="67" spans="1:6" s="440" customFormat="1" ht="20.100000000000001" customHeight="1">
      <c r="A67" s="445" t="s">
        <v>712</v>
      </c>
      <c r="B67" s="416"/>
      <c r="C67" s="418"/>
      <c r="D67" s="418"/>
      <c r="E67" s="424">
        <f t="shared" si="4"/>
        <v>0</v>
      </c>
      <c r="F67" s="425"/>
    </row>
    <row r="68" spans="1:6" s="440" customFormat="1" ht="20.100000000000001" customHeight="1">
      <c r="A68" s="417" t="s">
        <v>882</v>
      </c>
      <c r="B68" s="426">
        <f>SUM(B63:B67)</f>
        <v>0</v>
      </c>
      <c r="C68" s="426">
        <f t="shared" ref="C68:E68" si="5">SUM(C63:C67)</f>
        <v>0</v>
      </c>
      <c r="D68" s="426">
        <f t="shared" si="5"/>
        <v>0</v>
      </c>
      <c r="E68" s="426">
        <f t="shared" si="5"/>
        <v>0</v>
      </c>
      <c r="F68" s="425"/>
    </row>
    <row r="69" spans="1:6" s="440" customFormat="1" ht="20.100000000000001" customHeight="1">
      <c r="A69" s="446"/>
      <c r="B69" s="447"/>
      <c r="C69" s="447"/>
      <c r="D69" s="447"/>
      <c r="E69" s="447"/>
      <c r="F69" s="425"/>
    </row>
    <row r="70" spans="1:6" s="440" customFormat="1" ht="20.100000000000001" customHeight="1">
      <c r="A70" s="446"/>
      <c r="B70" s="447"/>
      <c r="C70" s="447"/>
      <c r="D70" s="447"/>
      <c r="E70" s="447"/>
      <c r="F70" s="425"/>
    </row>
    <row r="71" spans="1:6" s="440" customFormat="1" ht="20.100000000000001" customHeight="1">
      <c r="A71" s="22" t="s">
        <v>1177</v>
      </c>
      <c r="B71" s="425"/>
      <c r="C71" s="425"/>
      <c r="D71" s="425"/>
      <c r="E71" s="425"/>
      <c r="F71" s="425"/>
    </row>
    <row r="72" spans="1:6" s="440" customFormat="1" ht="20.100000000000001" customHeight="1">
      <c r="A72" s="422" t="s">
        <v>877</v>
      </c>
      <c r="B72" s="422" t="s">
        <v>896</v>
      </c>
      <c r="C72" s="425"/>
      <c r="D72" s="425"/>
      <c r="E72" s="425"/>
      <c r="F72" s="425"/>
    </row>
    <row r="73" spans="1:6" s="440" customFormat="1" ht="20.100000000000001" customHeight="1">
      <c r="A73" s="417" t="s">
        <v>1172</v>
      </c>
      <c r="B73" s="417"/>
      <c r="C73" s="425"/>
      <c r="D73" s="425"/>
      <c r="E73" s="425"/>
      <c r="F73" s="425"/>
    </row>
    <row r="74" spans="1:6" s="440" customFormat="1" ht="20.100000000000001" customHeight="1">
      <c r="A74" s="417" t="s">
        <v>1173</v>
      </c>
      <c r="B74" s="417"/>
      <c r="C74" s="425"/>
      <c r="D74" s="425"/>
      <c r="E74" s="425"/>
      <c r="F74" s="425"/>
    </row>
    <row r="75" spans="1:6" s="440" customFormat="1" ht="20.100000000000001" customHeight="1">
      <c r="A75" s="417" t="s">
        <v>1174</v>
      </c>
      <c r="B75" s="417"/>
      <c r="C75" s="425"/>
      <c r="D75" s="425"/>
      <c r="E75" s="425"/>
      <c r="F75" s="425"/>
    </row>
    <row r="76" spans="1:6" s="440" customFormat="1" ht="20.100000000000001" customHeight="1">
      <c r="A76" s="417" t="s">
        <v>1175</v>
      </c>
      <c r="B76" s="417"/>
      <c r="C76" s="425"/>
      <c r="D76" s="425"/>
      <c r="E76" s="425"/>
      <c r="F76" s="425"/>
    </row>
    <row r="77" spans="1:6" s="440" customFormat="1" ht="20.100000000000001" customHeight="1">
      <c r="A77" s="445" t="s">
        <v>712</v>
      </c>
      <c r="B77" s="415"/>
      <c r="C77" s="425"/>
      <c r="D77" s="425"/>
      <c r="E77" s="425"/>
      <c r="F77" s="425"/>
    </row>
    <row r="78" spans="1:6" s="440" customFormat="1" ht="20.100000000000001" customHeight="1">
      <c r="A78" s="417" t="s">
        <v>882</v>
      </c>
      <c r="B78" s="426">
        <f>SUM(B73:B77)</f>
        <v>0</v>
      </c>
      <c r="C78" s="425"/>
      <c r="D78" s="425"/>
      <c r="E78" s="425"/>
      <c r="F78" s="425"/>
    </row>
    <row r="79" spans="1:6" s="440" customFormat="1" ht="20.100000000000001" customHeight="1">
      <c r="A79" s="427"/>
      <c r="B79" s="428"/>
      <c r="C79" s="425"/>
      <c r="D79" s="425"/>
      <c r="E79" s="425"/>
      <c r="F79" s="425"/>
    </row>
    <row r="80" spans="1:6" s="440" customFormat="1" ht="20.100000000000001" customHeight="1">
      <c r="A80" s="427"/>
      <c r="B80" s="428"/>
      <c r="C80" s="425"/>
      <c r="D80" s="425"/>
      <c r="E80" s="425"/>
      <c r="F80" s="425"/>
    </row>
    <row r="81" spans="1:6" s="440" customFormat="1" ht="20.100000000000001" customHeight="1">
      <c r="A81" s="22" t="s">
        <v>1178</v>
      </c>
      <c r="B81" s="425"/>
      <c r="C81" s="425"/>
      <c r="D81" s="425"/>
      <c r="E81" s="425"/>
      <c r="F81" s="425"/>
    </row>
    <row r="82" spans="1:6" s="440" customFormat="1" ht="20.100000000000001" customHeight="1">
      <c r="A82" s="173" t="s">
        <v>1179</v>
      </c>
      <c r="B82" s="425"/>
      <c r="C82" s="425"/>
      <c r="D82" s="425"/>
      <c r="E82" s="425"/>
      <c r="F82" s="425"/>
    </row>
    <row r="83" spans="1:6" s="440" customFormat="1" ht="20.100000000000001" customHeight="1">
      <c r="A83" s="422" t="s">
        <v>877</v>
      </c>
      <c r="B83" s="422" t="s">
        <v>896</v>
      </c>
      <c r="C83" s="423" t="s">
        <v>1180</v>
      </c>
      <c r="D83" s="425"/>
      <c r="E83" s="425"/>
      <c r="F83" s="425"/>
    </row>
    <row r="84" spans="1:6" s="440" customFormat="1" ht="20.100000000000001" customHeight="1">
      <c r="A84" s="417"/>
      <c r="B84" s="417"/>
      <c r="C84" s="417"/>
      <c r="D84" s="425"/>
      <c r="E84" s="425"/>
      <c r="F84" s="425"/>
    </row>
    <row r="85" spans="1:6" s="440" customFormat="1" ht="20.100000000000001" customHeight="1">
      <c r="A85" s="417"/>
      <c r="B85" s="417"/>
      <c r="C85" s="417"/>
      <c r="D85" s="425"/>
      <c r="E85" s="425"/>
      <c r="F85" s="425"/>
    </row>
    <row r="86" spans="1:6" s="440" customFormat="1" ht="20.100000000000001" customHeight="1">
      <c r="A86" s="417"/>
      <c r="B86" s="415"/>
      <c r="C86" s="417"/>
      <c r="D86" s="425"/>
      <c r="E86" s="425"/>
      <c r="F86" s="425"/>
    </row>
    <row r="87" spans="1:6" s="440" customFormat="1" ht="20.100000000000001" customHeight="1">
      <c r="A87" s="425" t="s">
        <v>1181</v>
      </c>
      <c r="B87" s="425"/>
      <c r="C87" s="425"/>
      <c r="D87" s="425"/>
      <c r="E87" s="425"/>
      <c r="F87" s="425"/>
    </row>
    <row r="88" spans="1:6" s="440" customFormat="1" ht="20.100000000000001" customHeight="1"/>
    <row r="89" spans="1:6" s="392" customFormat="1" ht="13.8"/>
  </sheetData>
  <phoneticPr fontId="78" type="noConversion"/>
  <hyperlinks>
    <hyperlink ref="H4" location="目录!A1" display="BACK"/>
  </hyperlinks>
  <pageMargins left="0.27500000000000002" right="0.27500000000000002" top="0.51180555555555596" bottom="0.51180555555555596" header="0.27500000000000002" footer="0.27500000000000002"/>
  <pageSetup paperSize="9" scale="75" orientation="landscape" blackAndWhite="1" r:id="rId1"/>
  <headerFooter alignWithMargins="0"/>
  <rowBreaks count="2" manualBreakCount="2">
    <brk id="26" max="5" man="1"/>
    <brk id="59" max="5"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J85"/>
  <sheetViews>
    <sheetView view="pageBreakPreview" zoomScaleNormal="100" zoomScaleSheetLayoutView="100" workbookViewId="0">
      <selection activeCell="E1" sqref="E1"/>
    </sheetView>
  </sheetViews>
  <sheetFormatPr defaultColWidth="9" defaultRowHeight="20.100000000000001" customHeight="1"/>
  <cols>
    <col min="1" max="1" width="21.5" style="47" customWidth="1"/>
    <col min="2" max="2" width="15.59765625" style="47" customWidth="1"/>
    <col min="3" max="3" width="19.59765625" style="47" customWidth="1"/>
    <col min="4" max="11" width="15.59765625" style="47" customWidth="1"/>
    <col min="12" max="16384" width="9" style="47"/>
  </cols>
  <sheetData>
    <row r="1" spans="1:10" ht="24.9" customHeight="1">
      <c r="A1" s="48" t="s">
        <v>145</v>
      </c>
      <c r="B1" s="49">
        <f>基础信息!B6</f>
        <v>0</v>
      </c>
      <c r="C1" s="50"/>
      <c r="D1" s="178"/>
      <c r="E1" s="900" t="s">
        <v>146</v>
      </c>
    </row>
    <row r="2" spans="1:10" ht="24.9" customHeight="1">
      <c r="A2" s="48" t="s">
        <v>147</v>
      </c>
      <c r="B2" s="49">
        <f>基础信息!B9</f>
        <v>0</v>
      </c>
      <c r="C2" s="50"/>
      <c r="D2" s="178"/>
    </row>
    <row r="3" spans="1:10" s="89" customFormat="1" ht="24.9" customHeight="1">
      <c r="A3" s="91" t="s">
        <v>148</v>
      </c>
      <c r="B3" s="91" t="s">
        <v>1182</v>
      </c>
      <c r="C3" s="53"/>
      <c r="D3" s="178"/>
      <c r="E3" s="47"/>
      <c r="F3" s="47"/>
      <c r="G3" s="47"/>
      <c r="H3" s="47"/>
      <c r="I3" s="47"/>
    </row>
    <row r="4" spans="1:10" s="347" customFormat="1" ht="20.100000000000001" customHeight="1">
      <c r="A4" s="82" t="s">
        <v>729</v>
      </c>
      <c r="B4" s="82" t="s">
        <v>737</v>
      </c>
      <c r="C4" s="82" t="s">
        <v>1138</v>
      </c>
      <c r="D4" s="437"/>
      <c r="E4" s="46"/>
      <c r="F4" s="46"/>
      <c r="G4" s="46"/>
      <c r="H4" s="46"/>
      <c r="I4" s="46"/>
      <c r="J4" s="46"/>
    </row>
    <row r="5" spans="1:10" s="350" customFormat="1" ht="20.100000000000001" customHeight="1">
      <c r="A5" s="88"/>
      <c r="B5" s="85"/>
      <c r="C5" s="85"/>
      <c r="D5" s="347"/>
      <c r="E5" s="47"/>
      <c r="F5" s="47"/>
      <c r="G5" s="47"/>
      <c r="H5" s="47"/>
      <c r="I5" s="47"/>
      <c r="J5" s="47"/>
    </row>
    <row r="6" spans="1:10" s="350" customFormat="1" ht="20.100000000000001" customHeight="1">
      <c r="A6" s="88"/>
      <c r="B6" s="85"/>
      <c r="C6" s="85"/>
      <c r="D6" s="347"/>
      <c r="E6" s="47"/>
      <c r="F6" s="47"/>
      <c r="G6" s="47"/>
      <c r="H6" s="47"/>
      <c r="I6" s="47"/>
      <c r="J6" s="47"/>
    </row>
    <row r="7" spans="1:10" s="350" customFormat="1" ht="20.100000000000001" customHeight="1">
      <c r="A7" s="88" t="s">
        <v>632</v>
      </c>
      <c r="B7" s="280">
        <f>SUM(B5:B6)</f>
        <v>0</v>
      </c>
      <c r="C7" s="85"/>
      <c r="D7" s="347"/>
      <c r="E7" s="47"/>
      <c r="F7" s="47"/>
      <c r="G7" s="47"/>
      <c r="J7" s="47"/>
    </row>
    <row r="8" spans="1:10" s="350" customFormat="1" ht="20.100000000000001" customHeight="1">
      <c r="A8" s="219"/>
      <c r="B8" s="279"/>
      <c r="C8" s="108"/>
      <c r="D8" s="347"/>
    </row>
    <row r="9" spans="1:10" s="350" customFormat="1" ht="20.100000000000001" customHeight="1">
      <c r="A9" s="328"/>
      <c r="B9" s="220"/>
      <c r="C9" s="108"/>
      <c r="D9" s="347"/>
    </row>
    <row r="10" spans="1:10" s="350" customFormat="1" ht="20.100000000000001" customHeight="1">
      <c r="A10" s="305"/>
      <c r="B10" s="305"/>
      <c r="C10" s="347"/>
      <c r="D10" s="347"/>
      <c r="E10" s="99"/>
      <c r="J10" s="99"/>
    </row>
    <row r="11" spans="1:10" s="350" customFormat="1" ht="20.100000000000001" customHeight="1">
      <c r="A11" s="438" t="s">
        <v>1183</v>
      </c>
      <c r="B11" s="21"/>
      <c r="C11" s="21"/>
      <c r="D11" s="21"/>
      <c r="E11" s="47"/>
      <c r="J11" s="47"/>
    </row>
    <row r="12" spans="1:10" s="350" customFormat="1" ht="15.6">
      <c r="A12" s="47"/>
      <c r="B12" s="47"/>
      <c r="C12" s="47"/>
      <c r="D12" s="47"/>
      <c r="E12" s="47"/>
      <c r="J12" s="47"/>
    </row>
    <row r="13" spans="1:10" s="350" customFormat="1" ht="15.6">
      <c r="A13" s="47"/>
      <c r="B13" s="47"/>
      <c r="C13" s="47"/>
      <c r="D13" s="47"/>
      <c r="E13" s="47"/>
      <c r="J13" s="47"/>
    </row>
    <row r="14" spans="1:10" s="350" customFormat="1" ht="15.6">
      <c r="A14" s="47"/>
      <c r="B14" s="47"/>
      <c r="C14" s="47"/>
      <c r="D14" s="47"/>
      <c r="E14" s="47"/>
      <c r="J14" s="47"/>
    </row>
    <row r="15" spans="1:10" s="350" customFormat="1" ht="15.6">
      <c r="A15" s="47"/>
      <c r="B15" s="47"/>
      <c r="C15" s="47"/>
      <c r="D15" s="47"/>
      <c r="E15" s="47"/>
      <c r="J15" s="47"/>
    </row>
    <row r="16" spans="1:10" s="350" customFormat="1" ht="15.6">
      <c r="A16" s="47"/>
      <c r="B16" s="47"/>
      <c r="C16" s="47"/>
      <c r="D16" s="47"/>
      <c r="E16" s="47"/>
      <c r="J16" s="47"/>
    </row>
    <row r="17" spans="1:10" s="350" customFormat="1" ht="15.6">
      <c r="A17" s="47"/>
      <c r="B17" s="47"/>
      <c r="C17" s="47"/>
      <c r="D17" s="47"/>
      <c r="E17" s="47"/>
      <c r="J17" s="47"/>
    </row>
    <row r="18" spans="1:10" s="350" customFormat="1" ht="15.6">
      <c r="A18" s="47"/>
      <c r="B18" s="47"/>
      <c r="C18" s="47"/>
      <c r="D18" s="47"/>
      <c r="E18" s="47"/>
      <c r="F18" s="47"/>
      <c r="I18" s="47"/>
      <c r="J18" s="47"/>
    </row>
    <row r="19" spans="1:10" s="350" customFormat="1" ht="15.6">
      <c r="A19" s="47"/>
      <c r="B19" s="47"/>
      <c r="C19" s="47"/>
      <c r="D19" s="47"/>
      <c r="E19" s="47"/>
      <c r="F19" s="47"/>
      <c r="I19" s="47"/>
      <c r="J19" s="47"/>
    </row>
    <row r="20" spans="1:10" s="350" customFormat="1" ht="15.6">
      <c r="A20" s="47"/>
      <c r="B20" s="47"/>
      <c r="C20" s="47"/>
      <c r="D20" s="47"/>
      <c r="E20" s="47"/>
      <c r="F20" s="47"/>
      <c r="I20" s="47"/>
      <c r="J20" s="47"/>
    </row>
    <row r="21" spans="1:10" s="350" customFormat="1" ht="15.6">
      <c r="A21" s="47"/>
      <c r="B21" s="47"/>
      <c r="C21" s="47"/>
      <c r="D21" s="47"/>
      <c r="E21" s="47"/>
      <c r="F21" s="47"/>
      <c r="G21" s="47"/>
      <c r="H21" s="47"/>
      <c r="I21" s="47"/>
      <c r="J21" s="47"/>
    </row>
    <row r="22" spans="1:10" s="350" customFormat="1" ht="15.6">
      <c r="A22" s="47"/>
      <c r="B22" s="47"/>
      <c r="C22" s="47"/>
      <c r="D22" s="47"/>
      <c r="E22" s="47"/>
      <c r="F22" s="47"/>
      <c r="G22" s="47"/>
      <c r="H22" s="99"/>
      <c r="I22" s="99"/>
      <c r="J22" s="47"/>
    </row>
    <row r="23" spans="1:10" s="350" customFormat="1" ht="15.6">
      <c r="A23" s="47"/>
      <c r="B23" s="47"/>
      <c r="C23" s="47"/>
      <c r="D23" s="47"/>
      <c r="E23" s="47"/>
      <c r="F23" s="47"/>
      <c r="G23" s="47"/>
      <c r="H23" s="47"/>
      <c r="I23" s="47"/>
      <c r="J23" s="47"/>
    </row>
    <row r="24" spans="1:10" s="350" customFormat="1" ht="15.6">
      <c r="A24" s="47"/>
      <c r="B24" s="47"/>
      <c r="C24" s="47"/>
      <c r="D24" s="47"/>
      <c r="E24" s="47"/>
      <c r="F24" s="47"/>
      <c r="G24" s="47"/>
      <c r="H24" s="47"/>
      <c r="I24" s="47"/>
      <c r="J24" s="47"/>
    </row>
    <row r="25" spans="1:10" s="350" customFormat="1" ht="15.6">
      <c r="A25" s="47"/>
      <c r="B25" s="47"/>
      <c r="C25" s="47"/>
      <c r="D25" s="47"/>
      <c r="E25" s="47"/>
      <c r="F25" s="47"/>
      <c r="G25" s="47"/>
      <c r="I25" s="47"/>
      <c r="J25" s="47"/>
    </row>
    <row r="26" spans="1:10" s="350" customFormat="1" ht="15.6">
      <c r="A26" s="47"/>
      <c r="B26" s="47"/>
      <c r="C26" s="47"/>
      <c r="D26" s="47"/>
      <c r="E26" s="47"/>
      <c r="F26" s="47"/>
      <c r="G26" s="47"/>
      <c r="I26" s="47"/>
      <c r="J26" s="47"/>
    </row>
    <row r="27" spans="1:10" s="350" customFormat="1" ht="15.6">
      <c r="A27" s="47"/>
      <c r="B27" s="47"/>
      <c r="C27" s="47"/>
      <c r="D27" s="47"/>
      <c r="E27" s="47"/>
      <c r="F27" s="47"/>
      <c r="G27" s="47"/>
      <c r="I27" s="47"/>
      <c r="J27" s="47"/>
    </row>
    <row r="28" spans="1:10" s="413" customFormat="1" ht="15.6">
      <c r="A28" s="47"/>
      <c r="B28" s="47"/>
      <c r="C28" s="47"/>
      <c r="D28" s="47"/>
      <c r="E28" s="47"/>
      <c r="F28" s="47"/>
      <c r="G28" s="47"/>
      <c r="H28" s="350"/>
      <c r="I28" s="47"/>
      <c r="J28" s="47"/>
    </row>
    <row r="29" spans="1:10" s="413" customFormat="1" ht="15.6">
      <c r="A29" s="47"/>
      <c r="B29" s="47"/>
      <c r="C29" s="47"/>
      <c r="D29" s="47"/>
      <c r="E29" s="47"/>
      <c r="F29" s="47"/>
      <c r="G29" s="47"/>
      <c r="H29" s="350"/>
      <c r="I29" s="47"/>
      <c r="J29" s="47"/>
    </row>
    <row r="30" spans="1:10" s="413" customFormat="1" ht="15.6">
      <c r="A30" s="47"/>
      <c r="B30" s="47"/>
      <c r="C30" s="47"/>
      <c r="D30" s="47"/>
      <c r="E30" s="47"/>
      <c r="F30" s="47"/>
      <c r="G30" s="47"/>
      <c r="H30" s="99"/>
      <c r="I30" s="47"/>
      <c r="J30" s="47"/>
    </row>
    <row r="31" spans="1:10" s="413" customFormat="1" ht="15.6">
      <c r="A31" s="47"/>
      <c r="B31" s="47"/>
      <c r="C31" s="47"/>
      <c r="D31" s="47"/>
      <c r="E31" s="47"/>
      <c r="F31" s="47"/>
      <c r="G31" s="47"/>
      <c r="H31" s="47"/>
      <c r="I31" s="47"/>
      <c r="J31" s="47"/>
    </row>
    <row r="32" spans="1:10" s="413" customFormat="1" ht="15.6">
      <c r="A32" s="47"/>
      <c r="B32" s="47"/>
      <c r="C32" s="47"/>
      <c r="D32" s="47"/>
      <c r="E32" s="47"/>
      <c r="F32" s="47"/>
      <c r="G32" s="47"/>
      <c r="H32" s="47"/>
      <c r="I32" s="47"/>
      <c r="J32" s="47"/>
    </row>
    <row r="33" spans="1:10" s="413" customFormat="1" ht="15.6">
      <c r="A33" s="47"/>
      <c r="B33" s="47"/>
      <c r="C33" s="47"/>
      <c r="D33" s="47"/>
      <c r="E33" s="47"/>
      <c r="F33" s="47"/>
      <c r="G33" s="47"/>
      <c r="H33" s="47"/>
      <c r="I33" s="47"/>
      <c r="J33" s="47"/>
    </row>
    <row r="34" spans="1:10" s="413" customFormat="1" ht="15.6">
      <c r="A34" s="47"/>
      <c r="B34" s="47"/>
      <c r="C34" s="47"/>
      <c r="D34" s="47"/>
      <c r="E34" s="47"/>
      <c r="F34" s="47"/>
      <c r="G34" s="47"/>
      <c r="H34" s="47"/>
      <c r="I34" s="47"/>
      <c r="J34" s="47"/>
    </row>
    <row r="35" spans="1:10" s="413" customFormat="1" ht="15.6">
      <c r="A35" s="47"/>
      <c r="B35" s="47"/>
      <c r="C35" s="47"/>
      <c r="D35" s="47"/>
      <c r="E35" s="47"/>
      <c r="F35" s="47"/>
      <c r="G35" s="47"/>
      <c r="H35" s="47"/>
      <c r="I35" s="47"/>
      <c r="J35" s="47"/>
    </row>
    <row r="36" spans="1:10" s="413" customFormat="1" ht="15.6">
      <c r="A36" s="47"/>
      <c r="B36" s="47"/>
      <c r="C36" s="47"/>
      <c r="D36" s="47"/>
      <c r="E36" s="47"/>
      <c r="F36" s="47"/>
      <c r="G36" s="47"/>
      <c r="H36" s="47"/>
      <c r="I36" s="47"/>
      <c r="J36" s="47"/>
    </row>
    <row r="37" spans="1:10" s="413" customFormat="1" ht="15.6">
      <c r="A37" s="47"/>
      <c r="B37" s="47"/>
      <c r="C37" s="47"/>
      <c r="D37" s="47"/>
      <c r="E37" s="47"/>
      <c r="F37" s="47"/>
      <c r="G37" s="47"/>
      <c r="H37" s="47"/>
      <c r="I37" s="47"/>
      <c r="J37" s="47"/>
    </row>
    <row r="38" spans="1:10" s="413" customFormat="1" ht="15.6">
      <c r="A38" s="47"/>
      <c r="B38" s="47"/>
      <c r="C38" s="47"/>
      <c r="D38" s="47"/>
      <c r="E38" s="47"/>
      <c r="F38" s="47"/>
      <c r="G38" s="47"/>
      <c r="H38" s="47"/>
      <c r="I38" s="47"/>
      <c r="J38" s="47"/>
    </row>
    <row r="39" spans="1:10" s="413" customFormat="1" ht="15.6">
      <c r="A39" s="47"/>
      <c r="B39" s="47"/>
      <c r="C39" s="47"/>
      <c r="D39" s="47"/>
      <c r="E39" s="47"/>
      <c r="F39" s="47"/>
      <c r="G39" s="47"/>
      <c r="H39" s="47"/>
      <c r="I39" s="47"/>
      <c r="J39" s="47"/>
    </row>
    <row r="40" spans="1:10" s="413" customFormat="1" ht="15.6">
      <c r="A40" s="47"/>
      <c r="B40" s="47"/>
      <c r="C40" s="47"/>
      <c r="D40" s="47"/>
      <c r="E40" s="47"/>
      <c r="F40" s="47"/>
      <c r="G40" s="47"/>
      <c r="H40" s="47"/>
      <c r="I40" s="47"/>
      <c r="J40" s="47"/>
    </row>
    <row r="41" spans="1:10" s="413" customFormat="1" ht="15.6">
      <c r="A41" s="47"/>
      <c r="B41" s="47"/>
      <c r="C41" s="47"/>
      <c r="D41" s="47"/>
      <c r="E41" s="47"/>
      <c r="F41" s="47"/>
      <c r="G41" s="47"/>
      <c r="H41" s="47"/>
      <c r="I41" s="47"/>
      <c r="J41" s="47"/>
    </row>
    <row r="42" spans="1:10" s="413" customFormat="1" ht="15.6">
      <c r="A42" s="47"/>
      <c r="B42" s="47"/>
      <c r="C42" s="47"/>
      <c r="D42" s="47"/>
      <c r="E42" s="47"/>
      <c r="F42" s="47"/>
      <c r="G42" s="47"/>
      <c r="H42" s="47"/>
      <c r="I42" s="47"/>
      <c r="J42" s="47"/>
    </row>
    <row r="43" spans="1:10" s="413" customFormat="1" ht="15.6">
      <c r="A43" s="47"/>
      <c r="B43" s="47"/>
      <c r="C43" s="47"/>
      <c r="D43" s="47"/>
      <c r="E43" s="47"/>
      <c r="F43" s="47"/>
      <c r="G43" s="47"/>
      <c r="H43" s="47"/>
      <c r="I43" s="47"/>
      <c r="J43" s="47"/>
    </row>
    <row r="44" spans="1:10" s="413" customFormat="1" ht="15.6">
      <c r="A44" s="47"/>
      <c r="B44" s="47"/>
      <c r="C44" s="47"/>
      <c r="D44" s="47"/>
      <c r="E44" s="47"/>
      <c r="F44" s="47"/>
      <c r="G44" s="47"/>
      <c r="H44" s="47"/>
      <c r="I44" s="47"/>
      <c r="J44" s="47"/>
    </row>
    <row r="45" spans="1:10" s="413" customFormat="1" ht="15.6">
      <c r="A45" s="47"/>
      <c r="B45" s="47"/>
      <c r="C45" s="47"/>
      <c r="D45" s="47"/>
      <c r="E45" s="47"/>
      <c r="F45" s="47"/>
      <c r="G45" s="47"/>
      <c r="H45" s="47"/>
      <c r="I45" s="47"/>
      <c r="J45" s="47"/>
    </row>
    <row r="46" spans="1:10" s="413" customFormat="1" ht="15.6">
      <c r="A46" s="47"/>
      <c r="B46" s="47"/>
      <c r="C46" s="47"/>
      <c r="D46" s="47"/>
      <c r="E46" s="47"/>
      <c r="F46" s="47"/>
      <c r="G46" s="47"/>
      <c r="H46" s="47"/>
      <c r="I46" s="47"/>
      <c r="J46" s="47"/>
    </row>
    <row r="47" spans="1:10" s="413" customFormat="1" ht="15.6">
      <c r="A47" s="47"/>
      <c r="B47" s="47"/>
      <c r="C47" s="47"/>
      <c r="D47" s="47"/>
      <c r="E47" s="47"/>
      <c r="F47" s="47"/>
      <c r="G47" s="47"/>
      <c r="H47" s="47"/>
      <c r="I47" s="47"/>
      <c r="J47" s="47"/>
    </row>
    <row r="48" spans="1:10" s="413" customFormat="1" ht="15.6">
      <c r="A48" s="47"/>
      <c r="B48" s="47"/>
      <c r="C48" s="47"/>
      <c r="D48" s="47"/>
      <c r="E48" s="47"/>
      <c r="F48" s="47"/>
      <c r="G48" s="47"/>
      <c r="H48" s="47"/>
      <c r="I48" s="47"/>
      <c r="J48" s="47"/>
    </row>
    <row r="49" spans="1:10" s="413" customFormat="1" ht="15.6">
      <c r="A49" s="47"/>
      <c r="B49" s="47"/>
      <c r="C49" s="47"/>
      <c r="D49" s="47"/>
      <c r="E49" s="47"/>
      <c r="F49" s="47"/>
      <c r="G49" s="47"/>
      <c r="H49" s="47"/>
      <c r="I49" s="47"/>
      <c r="J49" s="47"/>
    </row>
    <row r="50" spans="1:10" s="413" customFormat="1" ht="15.6">
      <c r="A50" s="47"/>
      <c r="B50" s="47"/>
      <c r="C50" s="47"/>
      <c r="D50" s="47"/>
      <c r="E50" s="47"/>
      <c r="F50" s="47"/>
      <c r="G50" s="47"/>
      <c r="H50" s="47"/>
      <c r="I50" s="47"/>
      <c r="J50" s="47"/>
    </row>
    <row r="51" spans="1:10" s="413" customFormat="1" ht="15.6">
      <c r="A51" s="47"/>
      <c r="B51" s="47"/>
      <c r="C51" s="47"/>
      <c r="D51" s="47"/>
      <c r="E51" s="47"/>
      <c r="F51" s="47"/>
      <c r="G51" s="47"/>
      <c r="H51" s="47"/>
      <c r="I51" s="47"/>
      <c r="J51" s="47"/>
    </row>
    <row r="52" spans="1:10" s="413" customFormat="1" ht="15.6">
      <c r="A52" s="47"/>
      <c r="B52" s="47"/>
      <c r="C52" s="47"/>
      <c r="D52" s="47"/>
      <c r="E52" s="47"/>
      <c r="F52" s="47"/>
      <c r="G52" s="47"/>
      <c r="H52" s="47"/>
      <c r="I52" s="47"/>
      <c r="J52" s="47"/>
    </row>
    <row r="53" spans="1:10" s="413" customFormat="1" ht="15.6">
      <c r="A53" s="47"/>
      <c r="B53" s="47"/>
      <c r="C53" s="47"/>
      <c r="D53" s="47"/>
      <c r="E53" s="47"/>
      <c r="F53" s="47"/>
      <c r="G53" s="47"/>
      <c r="H53" s="47"/>
      <c r="I53" s="47"/>
      <c r="J53" s="47"/>
    </row>
    <row r="54" spans="1:10" s="413" customFormat="1" ht="15.6">
      <c r="A54" s="47"/>
      <c r="B54" s="47"/>
      <c r="C54" s="47"/>
      <c r="D54" s="47"/>
      <c r="E54" s="47"/>
      <c r="F54" s="47"/>
      <c r="G54" s="47"/>
      <c r="H54" s="47"/>
      <c r="I54" s="47"/>
      <c r="J54" s="47"/>
    </row>
    <row r="55" spans="1:10" s="413" customFormat="1" ht="15.6">
      <c r="A55" s="47"/>
      <c r="B55" s="47"/>
      <c r="C55" s="47"/>
      <c r="D55" s="47"/>
      <c r="E55" s="47"/>
      <c r="F55" s="47"/>
      <c r="G55" s="47"/>
      <c r="H55" s="47"/>
      <c r="I55" s="47"/>
      <c r="J55" s="47"/>
    </row>
    <row r="56" spans="1:10" s="413" customFormat="1" ht="15.6">
      <c r="A56" s="47"/>
      <c r="B56" s="47"/>
      <c r="C56" s="47"/>
      <c r="D56" s="47"/>
      <c r="E56" s="47"/>
      <c r="F56" s="47"/>
      <c r="G56" s="47"/>
      <c r="H56" s="47"/>
      <c r="I56" s="47"/>
      <c r="J56" s="47"/>
    </row>
    <row r="57" spans="1:10" s="413" customFormat="1" ht="15.6">
      <c r="A57" s="47"/>
      <c r="B57" s="47"/>
      <c r="C57" s="47"/>
      <c r="D57" s="47"/>
      <c r="E57" s="47"/>
      <c r="F57" s="47"/>
      <c r="G57" s="47"/>
      <c r="H57" s="47"/>
      <c r="I57" s="47"/>
      <c r="J57" s="47"/>
    </row>
    <row r="58" spans="1:10" s="413" customFormat="1" ht="15.6">
      <c r="A58" s="47"/>
      <c r="B58" s="47"/>
      <c r="C58" s="47"/>
      <c r="D58" s="47"/>
      <c r="E58" s="47"/>
      <c r="F58" s="47"/>
      <c r="G58" s="47"/>
      <c r="H58" s="47"/>
      <c r="I58" s="47"/>
      <c r="J58" s="47"/>
    </row>
    <row r="59" spans="1:10" s="413" customFormat="1" ht="15.6">
      <c r="A59" s="47"/>
      <c r="B59" s="47"/>
      <c r="C59" s="47"/>
      <c r="D59" s="47"/>
      <c r="E59" s="47"/>
      <c r="F59" s="47"/>
      <c r="G59" s="47"/>
      <c r="H59" s="47"/>
      <c r="I59" s="47"/>
      <c r="J59" s="47"/>
    </row>
    <row r="60" spans="1:10" s="413" customFormat="1" ht="15.6">
      <c r="A60" s="47"/>
      <c r="B60" s="47"/>
      <c r="C60" s="47"/>
      <c r="D60" s="47"/>
      <c r="E60" s="47"/>
      <c r="F60" s="47"/>
      <c r="G60" s="47"/>
      <c r="H60" s="47"/>
      <c r="I60" s="47"/>
      <c r="J60" s="47"/>
    </row>
    <row r="61" spans="1:10" s="413" customFormat="1" ht="15.6">
      <c r="A61" s="47"/>
      <c r="B61" s="47"/>
      <c r="C61" s="47"/>
      <c r="D61" s="47"/>
      <c r="E61" s="47"/>
      <c r="F61" s="47"/>
      <c r="G61" s="47"/>
      <c r="H61" s="47"/>
      <c r="I61" s="47"/>
      <c r="J61" s="47"/>
    </row>
    <row r="62" spans="1:10" s="413" customFormat="1" ht="15.6">
      <c r="A62" s="47"/>
      <c r="B62" s="47"/>
      <c r="C62" s="47"/>
      <c r="D62" s="47"/>
      <c r="E62" s="47"/>
      <c r="F62" s="47"/>
      <c r="G62" s="47"/>
      <c r="H62" s="47"/>
      <c r="I62" s="47"/>
      <c r="J62" s="47"/>
    </row>
    <row r="63" spans="1:10" s="413" customFormat="1" ht="15.6">
      <c r="A63" s="47"/>
      <c r="B63" s="47"/>
      <c r="C63" s="47"/>
      <c r="D63" s="47"/>
      <c r="E63" s="47"/>
      <c r="F63" s="47"/>
      <c r="G63" s="47"/>
      <c r="H63" s="47"/>
      <c r="I63" s="47"/>
      <c r="J63" s="47"/>
    </row>
    <row r="64" spans="1:10" s="413" customFormat="1" ht="15.6">
      <c r="A64" s="47"/>
      <c r="B64" s="47"/>
      <c r="C64" s="47"/>
      <c r="D64" s="47"/>
      <c r="E64" s="47"/>
      <c r="F64" s="47"/>
      <c r="G64" s="47"/>
      <c r="H64" s="47"/>
      <c r="I64" s="47"/>
      <c r="J64" s="47"/>
    </row>
    <row r="65" spans="1:10" s="413" customFormat="1" ht="15.6">
      <c r="A65" s="47"/>
      <c r="B65" s="47"/>
      <c r="C65" s="47"/>
      <c r="D65" s="47"/>
      <c r="E65" s="47"/>
      <c r="F65" s="47"/>
      <c r="G65" s="47"/>
      <c r="H65" s="47"/>
      <c r="I65" s="47"/>
      <c r="J65" s="47"/>
    </row>
    <row r="66" spans="1:10" s="413" customFormat="1" ht="15.6">
      <c r="A66" s="47"/>
      <c r="B66" s="47"/>
      <c r="C66" s="47"/>
      <c r="D66" s="47"/>
      <c r="E66" s="47"/>
      <c r="F66" s="47"/>
      <c r="G66" s="47"/>
      <c r="H66" s="47"/>
      <c r="I66" s="47"/>
      <c r="J66" s="47"/>
    </row>
    <row r="67" spans="1:10" s="413" customFormat="1" ht="15.6">
      <c r="A67" s="47"/>
      <c r="B67" s="47"/>
      <c r="C67" s="47"/>
      <c r="D67" s="47"/>
      <c r="E67" s="47"/>
      <c r="F67" s="47"/>
      <c r="G67" s="47"/>
      <c r="H67" s="47"/>
      <c r="I67" s="47"/>
      <c r="J67" s="47"/>
    </row>
    <row r="68" spans="1:10" s="413" customFormat="1" ht="15.6">
      <c r="A68" s="47"/>
      <c r="B68" s="47"/>
      <c r="C68" s="47"/>
      <c r="D68" s="47"/>
      <c r="E68" s="47"/>
      <c r="F68" s="47"/>
      <c r="G68" s="47"/>
      <c r="H68" s="47"/>
      <c r="I68" s="47"/>
      <c r="J68" s="47"/>
    </row>
    <row r="69" spans="1:10" s="413" customFormat="1" ht="15.6">
      <c r="A69" s="47"/>
      <c r="B69" s="47"/>
      <c r="C69" s="47"/>
      <c r="D69" s="47"/>
      <c r="E69" s="47"/>
      <c r="F69" s="47"/>
      <c r="G69" s="47"/>
      <c r="H69" s="47"/>
      <c r="I69" s="47"/>
      <c r="J69" s="47"/>
    </row>
    <row r="70" spans="1:10" s="413" customFormat="1" ht="15.6">
      <c r="A70" s="47"/>
      <c r="B70" s="47"/>
      <c r="C70" s="47"/>
      <c r="D70" s="47"/>
      <c r="E70" s="47"/>
      <c r="F70" s="47"/>
      <c r="G70" s="47"/>
      <c r="H70" s="47"/>
      <c r="I70" s="47"/>
      <c r="J70" s="47"/>
    </row>
    <row r="71" spans="1:10" s="413" customFormat="1" ht="15.6">
      <c r="A71" s="47"/>
      <c r="B71" s="47"/>
      <c r="C71" s="47"/>
      <c r="D71" s="47"/>
      <c r="E71" s="47"/>
      <c r="F71" s="47"/>
      <c r="G71" s="47"/>
      <c r="H71" s="47"/>
      <c r="I71" s="47"/>
      <c r="J71" s="47"/>
    </row>
    <row r="72" spans="1:10" s="413" customFormat="1" ht="15.6">
      <c r="A72" s="47"/>
      <c r="B72" s="47"/>
      <c r="C72" s="47"/>
      <c r="D72" s="47"/>
      <c r="E72" s="47"/>
      <c r="F72" s="47"/>
      <c r="G72" s="47"/>
      <c r="H72" s="47"/>
      <c r="I72" s="47"/>
      <c r="J72" s="47"/>
    </row>
    <row r="73" spans="1:10" s="413" customFormat="1" ht="15.6">
      <c r="A73" s="47"/>
      <c r="B73" s="47"/>
      <c r="C73" s="47"/>
      <c r="D73" s="47"/>
      <c r="E73" s="47"/>
      <c r="F73" s="47"/>
      <c r="G73" s="47"/>
      <c r="H73" s="47"/>
      <c r="I73" s="47"/>
      <c r="J73" s="47"/>
    </row>
    <row r="74" spans="1:10" s="413" customFormat="1" ht="15.6">
      <c r="A74" s="47"/>
      <c r="B74" s="47"/>
      <c r="C74" s="47"/>
      <c r="D74" s="47"/>
      <c r="E74" s="47"/>
      <c r="F74" s="47"/>
      <c r="G74" s="47"/>
      <c r="H74" s="47"/>
      <c r="I74" s="47"/>
      <c r="J74" s="47"/>
    </row>
    <row r="75" spans="1:10" s="413" customFormat="1" ht="13.8"/>
    <row r="76" spans="1:10" s="413" customFormat="1" ht="13.8"/>
    <row r="77" spans="1:10" s="413" customFormat="1" ht="13.8"/>
    <row r="78" spans="1:10" s="413" customFormat="1" ht="13.8"/>
    <row r="79" spans="1:10" s="413" customFormat="1" ht="13.8"/>
    <row r="80" spans="1:10" s="413" customFormat="1" ht="13.8"/>
    <row r="81" s="413" customFormat="1" ht="13.8"/>
    <row r="82" s="413" customFormat="1" ht="13.8"/>
    <row r="83" s="413" customFormat="1" ht="13.8"/>
    <row r="84" s="413" customFormat="1" ht="13.8"/>
    <row r="85" s="413" customFormat="1" ht="13.8"/>
  </sheetData>
  <phoneticPr fontId="78" type="noConversion"/>
  <hyperlinks>
    <hyperlink ref="E1" location="目录!A1" display="BACK"/>
  </hyperlinks>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D10"/>
  <sheetViews>
    <sheetView view="pageBreakPreview" zoomScaleNormal="100" zoomScaleSheetLayoutView="100" workbookViewId="0">
      <selection activeCell="B8" sqref="B8"/>
    </sheetView>
  </sheetViews>
  <sheetFormatPr defaultColWidth="9" defaultRowHeight="15.6"/>
  <cols>
    <col min="1" max="1" width="19.59765625" customWidth="1"/>
    <col min="2" max="2" width="37" customWidth="1"/>
  </cols>
  <sheetData>
    <row r="1" spans="1:4">
      <c r="A1" s="48" t="s">
        <v>145</v>
      </c>
      <c r="B1" s="49">
        <f>基础信息!B6</f>
        <v>0</v>
      </c>
      <c r="D1" s="900" t="s">
        <v>146</v>
      </c>
    </row>
    <row r="2" spans="1:4">
      <c r="A2" s="48" t="s">
        <v>147</v>
      </c>
      <c r="B2" s="49">
        <f>基础信息!B9</f>
        <v>0</v>
      </c>
    </row>
    <row r="3" spans="1:4">
      <c r="A3" s="91" t="s">
        <v>148</v>
      </c>
      <c r="B3" s="307" t="s">
        <v>61</v>
      </c>
    </row>
    <row r="4" spans="1:4">
      <c r="A4" s="434" t="s">
        <v>968</v>
      </c>
      <c r="B4" s="434" t="s">
        <v>663</v>
      </c>
    </row>
    <row r="5" spans="1:4">
      <c r="A5" s="435" t="s">
        <v>61</v>
      </c>
      <c r="B5" s="416">
        <f>'RP 037-1'!D10</f>
        <v>0</v>
      </c>
    </row>
    <row r="6" spans="1:4">
      <c r="A6" s="436" t="s">
        <v>1184</v>
      </c>
      <c r="B6" s="416">
        <f>'RP 037-2'!B11</f>
        <v>0</v>
      </c>
    </row>
    <row r="7" spans="1:4">
      <c r="A7" s="417" t="s">
        <v>882</v>
      </c>
      <c r="B7" s="418">
        <f>B6+B5</f>
        <v>0</v>
      </c>
    </row>
    <row r="8" spans="1:4">
      <c r="A8" s="219" t="s">
        <v>623</v>
      </c>
      <c r="B8" s="279"/>
    </row>
    <row r="9" spans="1:4">
      <c r="A9" s="328"/>
      <c r="B9" s="365">
        <f>B7-B8</f>
        <v>0</v>
      </c>
    </row>
    <row r="10" spans="1:4">
      <c r="A10" s="305"/>
      <c r="B10" s="305" t="str">
        <f>IF(B9=0,"OK","NO")</f>
        <v>OK</v>
      </c>
    </row>
  </sheetData>
  <phoneticPr fontId="78" type="noConversion"/>
  <hyperlinks>
    <hyperlink ref="D1" location="目录!A1" display="BACK"/>
  </hyperlinks>
  <pageMargins left="0.75" right="0.75" top="1" bottom="1" header="0.51180555555555596" footer="0.51180555555555596"/>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K94"/>
  <sheetViews>
    <sheetView view="pageBreakPreview" zoomScaleNormal="100" zoomScaleSheetLayoutView="100" workbookViewId="0">
      <selection activeCell="H1" sqref="H1"/>
    </sheetView>
  </sheetViews>
  <sheetFormatPr defaultColWidth="9" defaultRowHeight="20.100000000000001" customHeight="1"/>
  <cols>
    <col min="1" max="2" width="15.59765625" style="18" customWidth="1"/>
    <col min="3" max="3" width="19.59765625" style="18" customWidth="1"/>
    <col min="4" max="11" width="15.59765625" style="18" customWidth="1"/>
    <col min="12" max="16384" width="9" style="18"/>
  </cols>
  <sheetData>
    <row r="1" spans="1:11" ht="24.9" customHeight="1">
      <c r="A1" s="6" t="s">
        <v>145</v>
      </c>
      <c r="B1" s="7">
        <f>基础信息!B6</f>
        <v>0</v>
      </c>
      <c r="C1" s="122"/>
      <c r="D1" s="122"/>
      <c r="E1" s="364"/>
      <c r="F1" s="355"/>
      <c r="G1" s="355"/>
      <c r="H1" s="900" t="s">
        <v>146</v>
      </c>
      <c r="I1" s="355"/>
    </row>
    <row r="2" spans="1:11" ht="24.9" customHeight="1">
      <c r="A2" s="6" t="s">
        <v>147</v>
      </c>
      <c r="B2" s="7">
        <f>基础信息!B9</f>
        <v>0</v>
      </c>
      <c r="C2" s="122"/>
      <c r="D2" s="122"/>
      <c r="E2" s="122"/>
      <c r="F2" s="355"/>
      <c r="G2" s="355"/>
      <c r="H2" s="355"/>
      <c r="I2" s="355"/>
    </row>
    <row r="3" spans="1:11" s="355" customFormat="1" ht="24.9" customHeight="1">
      <c r="A3" s="68" t="s">
        <v>148</v>
      </c>
      <c r="B3" s="68" t="s">
        <v>1185</v>
      </c>
      <c r="C3" s="122"/>
      <c r="D3" s="122"/>
      <c r="E3" s="122"/>
    </row>
    <row r="4" spans="1:11" s="419" customFormat="1" ht="20.100000000000001" customHeight="1">
      <c r="A4" s="9" t="s">
        <v>1186</v>
      </c>
      <c r="B4" s="420"/>
      <c r="C4" s="420"/>
      <c r="D4" s="420"/>
      <c r="E4" s="9"/>
      <c r="F4" s="1"/>
      <c r="G4" s="1"/>
      <c r="H4" s="421"/>
      <c r="I4" s="421"/>
    </row>
    <row r="5" spans="1:11" s="363" customFormat="1" ht="20.100000000000001" customHeight="1">
      <c r="A5" s="1085" t="s">
        <v>877</v>
      </c>
      <c r="B5" s="1084" t="s">
        <v>969</v>
      </c>
      <c r="C5" s="1084"/>
      <c r="D5" s="1084"/>
      <c r="E5" s="9"/>
      <c r="F5" s="1"/>
      <c r="G5" s="1"/>
      <c r="H5" s="421"/>
      <c r="I5" s="421"/>
    </row>
    <row r="6" spans="1:11" s="363" customFormat="1" ht="20.100000000000001" customHeight="1">
      <c r="A6" s="1085"/>
      <c r="B6" s="422" t="s">
        <v>894</v>
      </c>
      <c r="C6" s="422" t="s">
        <v>895</v>
      </c>
      <c r="D6" s="422" t="s">
        <v>1187</v>
      </c>
      <c r="E6" s="9"/>
      <c r="F6" s="1"/>
      <c r="G6" s="1"/>
      <c r="H6" s="421"/>
      <c r="I6" s="421"/>
    </row>
    <row r="7" spans="1:11" s="363" customFormat="1" ht="20.100000000000001" customHeight="1">
      <c r="A7" s="417"/>
      <c r="B7" s="418"/>
      <c r="C7" s="418"/>
      <c r="D7" s="424">
        <f>B7-C7</f>
        <v>0</v>
      </c>
      <c r="E7" s="3"/>
      <c r="F7" s="3"/>
      <c r="G7" s="3"/>
      <c r="H7" s="425"/>
      <c r="I7" s="425"/>
    </row>
    <row r="8" spans="1:11" s="363" customFormat="1" ht="20.100000000000001" customHeight="1">
      <c r="A8" s="417"/>
      <c r="B8" s="418"/>
      <c r="C8" s="418"/>
      <c r="D8" s="424">
        <f t="shared" ref="D8:D9" si="0">B8-C8</f>
        <v>0</v>
      </c>
      <c r="E8" s="3"/>
      <c r="F8" s="3"/>
      <c r="G8" s="3"/>
      <c r="H8" s="425"/>
      <c r="I8" s="425"/>
    </row>
    <row r="9" spans="1:11" s="363" customFormat="1" ht="20.100000000000001" customHeight="1">
      <c r="A9" s="417"/>
      <c r="B9" s="418"/>
      <c r="C9" s="418"/>
      <c r="D9" s="424">
        <f t="shared" si="0"/>
        <v>0</v>
      </c>
      <c r="E9" s="3"/>
      <c r="F9" s="3"/>
      <c r="G9" s="3"/>
      <c r="H9" s="425"/>
      <c r="I9" s="425"/>
    </row>
    <row r="10" spans="1:11" s="363" customFormat="1" ht="20.100000000000001" customHeight="1">
      <c r="A10" s="417" t="s">
        <v>882</v>
      </c>
      <c r="B10" s="426">
        <f>SUM(B7:B9)</f>
        <v>0</v>
      </c>
      <c r="C10" s="426">
        <f t="shared" ref="C10:D10" si="1">SUM(C7:C9)</f>
        <v>0</v>
      </c>
      <c r="D10" s="426">
        <f t="shared" si="1"/>
        <v>0</v>
      </c>
      <c r="E10" s="3"/>
      <c r="F10" s="3"/>
      <c r="G10" s="3"/>
      <c r="H10" s="425"/>
      <c r="I10" s="425"/>
    </row>
    <row r="11" spans="1:11" s="363" customFormat="1" ht="20.100000000000001" customHeight="1">
      <c r="A11" s="219"/>
      <c r="B11" s="365"/>
      <c r="C11" s="133"/>
      <c r="D11" s="279"/>
      <c r="E11" s="3"/>
      <c r="F11" s="3"/>
      <c r="G11" s="3"/>
      <c r="H11" s="217"/>
      <c r="I11" s="217"/>
      <c r="J11" s="217"/>
      <c r="K11" s="217"/>
    </row>
    <row r="12" spans="1:11" s="363" customFormat="1" ht="20.100000000000001" customHeight="1">
      <c r="A12" s="328"/>
      <c r="B12" s="365"/>
      <c r="C12" s="133"/>
      <c r="D12" s="220"/>
      <c r="E12" s="3"/>
      <c r="F12" s="3"/>
      <c r="G12" s="3"/>
      <c r="H12" s="217"/>
      <c r="I12" s="217"/>
      <c r="J12" s="217"/>
      <c r="K12" s="217"/>
    </row>
    <row r="13" spans="1:11" s="363" customFormat="1" ht="20.100000000000001" customHeight="1">
      <c r="A13" s="221"/>
      <c r="B13" s="221"/>
      <c r="C13" s="376"/>
      <c r="D13" s="221"/>
      <c r="E13" s="3"/>
      <c r="F13" s="3"/>
      <c r="G13" s="3"/>
      <c r="H13" s="217"/>
      <c r="I13" s="217"/>
      <c r="J13" s="217"/>
      <c r="K13" s="217"/>
    </row>
    <row r="14" spans="1:11" s="363" customFormat="1" ht="20.100000000000001" customHeight="1">
      <c r="A14" s="427"/>
      <c r="B14" s="428"/>
      <c r="C14" s="428"/>
      <c r="D14" s="428"/>
      <c r="E14" s="428"/>
      <c r="F14" s="428"/>
      <c r="G14" s="428"/>
      <c r="H14" s="425"/>
      <c r="I14" s="425"/>
    </row>
    <row r="15" spans="1:11" s="363" customFormat="1" ht="20.100000000000001" customHeight="1">
      <c r="A15" s="427"/>
      <c r="B15" s="428"/>
      <c r="C15" s="428"/>
      <c r="D15" s="428"/>
      <c r="E15" s="428"/>
      <c r="F15" s="428"/>
      <c r="G15" s="428"/>
      <c r="H15" s="425"/>
      <c r="I15" s="425"/>
    </row>
    <row r="16" spans="1:11" s="363" customFormat="1" ht="20.100000000000001" customHeight="1">
      <c r="A16" s="429" t="s">
        <v>1188</v>
      </c>
      <c r="B16" s="425"/>
      <c r="C16" s="425"/>
      <c r="D16" s="425"/>
      <c r="E16" s="425"/>
      <c r="F16" s="425"/>
      <c r="G16" s="425"/>
      <c r="H16" s="425"/>
      <c r="I16" s="425"/>
    </row>
    <row r="17" spans="1:9" s="363" customFormat="1" ht="20.100000000000001" customHeight="1">
      <c r="A17" s="423" t="s">
        <v>1189</v>
      </c>
      <c r="B17" s="423" t="s">
        <v>1190</v>
      </c>
      <c r="C17" s="422" t="s">
        <v>1191</v>
      </c>
      <c r="D17" s="422" t="s">
        <v>1192</v>
      </c>
      <c r="E17" s="422" t="s">
        <v>1193</v>
      </c>
      <c r="F17" s="422" t="s">
        <v>1194</v>
      </c>
      <c r="G17" s="422" t="s">
        <v>1195</v>
      </c>
      <c r="H17" s="422" t="s">
        <v>1196</v>
      </c>
      <c r="I17" s="433" t="s">
        <v>737</v>
      </c>
    </row>
    <row r="18" spans="1:9" s="363" customFormat="1" ht="20.100000000000001" customHeight="1">
      <c r="A18" s="430"/>
      <c r="B18" s="431"/>
      <c r="C18" s="431"/>
      <c r="D18" s="431"/>
      <c r="E18" s="431"/>
      <c r="F18" s="431"/>
      <c r="G18" s="431"/>
      <c r="H18" s="431"/>
      <c r="I18" s="431"/>
    </row>
    <row r="19" spans="1:9" s="363" customFormat="1" ht="20.100000000000001" customHeight="1">
      <c r="A19" s="415"/>
      <c r="B19" s="416"/>
      <c r="C19" s="416"/>
      <c r="D19" s="416"/>
      <c r="E19" s="416"/>
      <c r="F19" s="416"/>
      <c r="G19" s="416"/>
      <c r="H19" s="416"/>
      <c r="I19" s="416"/>
    </row>
    <row r="20" spans="1:9" s="363" customFormat="1" ht="20.100000000000001" customHeight="1">
      <c r="A20" s="415" t="s">
        <v>961</v>
      </c>
      <c r="B20" s="426">
        <f>SUM(B18:B19)</f>
        <v>0</v>
      </c>
      <c r="C20" s="426">
        <f t="shared" ref="C20:I20" si="2">SUM(C18:C19)</f>
        <v>0</v>
      </c>
      <c r="D20" s="426">
        <f t="shared" si="2"/>
        <v>0</v>
      </c>
      <c r="E20" s="426">
        <f t="shared" si="2"/>
        <v>0</v>
      </c>
      <c r="F20" s="426">
        <f t="shared" si="2"/>
        <v>0</v>
      </c>
      <c r="G20" s="426">
        <f t="shared" si="2"/>
        <v>0</v>
      </c>
      <c r="H20" s="426">
        <f t="shared" si="2"/>
        <v>0</v>
      </c>
      <c r="I20" s="426">
        <f t="shared" si="2"/>
        <v>0</v>
      </c>
    </row>
    <row r="21" spans="1:9" s="363" customFormat="1" ht="20.100000000000001" customHeight="1">
      <c r="A21" s="22" t="s">
        <v>1197</v>
      </c>
      <c r="B21" s="425"/>
      <c r="C21" s="425"/>
      <c r="D21" s="425"/>
      <c r="E21" s="425"/>
      <c r="F21" s="425"/>
      <c r="G21" s="425"/>
      <c r="H21" s="425"/>
      <c r="I21" s="425"/>
    </row>
    <row r="22" spans="1:9" s="363" customFormat="1" ht="30.75" customHeight="1">
      <c r="A22" s="423" t="s">
        <v>1189</v>
      </c>
      <c r="B22" s="422" t="s">
        <v>1198</v>
      </c>
      <c r="C22" s="422" t="s">
        <v>1199</v>
      </c>
      <c r="D22" s="422" t="s">
        <v>1200</v>
      </c>
      <c r="E22" s="422" t="s">
        <v>1201</v>
      </c>
      <c r="F22" s="425"/>
      <c r="G22" s="425"/>
      <c r="H22" s="425"/>
      <c r="I22" s="425"/>
    </row>
    <row r="23" spans="1:9" s="363" customFormat="1" ht="20.100000000000001" customHeight="1">
      <c r="A23" s="415"/>
      <c r="B23" s="418"/>
      <c r="C23" s="418"/>
      <c r="D23" s="418"/>
      <c r="E23" s="418"/>
      <c r="F23" s="425"/>
      <c r="G23" s="425"/>
      <c r="H23" s="425"/>
      <c r="I23" s="425"/>
    </row>
    <row r="24" spans="1:9" s="363" customFormat="1" ht="20.100000000000001" customHeight="1">
      <c r="A24" s="415"/>
      <c r="B24" s="416"/>
      <c r="C24" s="416"/>
      <c r="D24" s="416"/>
      <c r="E24" s="416"/>
      <c r="F24" s="425"/>
      <c r="G24" s="425"/>
      <c r="H24" s="425"/>
      <c r="I24" s="425"/>
    </row>
    <row r="25" spans="1:9" s="363" customFormat="1" ht="20.100000000000001" customHeight="1">
      <c r="A25" s="415" t="s">
        <v>961</v>
      </c>
      <c r="B25" s="426">
        <f>SUM(B23:B24)</f>
        <v>0</v>
      </c>
      <c r="C25" s="432">
        <f t="shared" ref="C25:E25" si="3">SUM(C23:C24)</f>
        <v>0</v>
      </c>
      <c r="D25" s="426">
        <f t="shared" si="3"/>
        <v>0</v>
      </c>
      <c r="E25" s="426">
        <f t="shared" si="3"/>
        <v>0</v>
      </c>
      <c r="F25" s="425"/>
      <c r="G25" s="425"/>
      <c r="H25" s="425"/>
      <c r="I25" s="425"/>
    </row>
    <row r="26" spans="1:9" s="363" customFormat="1" ht="20.100000000000001" customHeight="1">
      <c r="A26" s="173" t="s">
        <v>1202</v>
      </c>
      <c r="B26" s="425"/>
      <c r="C26" s="425"/>
      <c r="D26" s="425"/>
      <c r="E26" s="425"/>
      <c r="F26" s="425"/>
      <c r="G26" s="425"/>
      <c r="H26" s="425"/>
      <c r="I26" s="425"/>
    </row>
    <row r="27" spans="1:9" s="363" customFormat="1" ht="20.100000000000001" customHeight="1">
      <c r="A27" s="22" t="s">
        <v>1203</v>
      </c>
      <c r="B27" s="425"/>
      <c r="C27" s="425"/>
      <c r="D27" s="425"/>
      <c r="E27" s="425"/>
      <c r="F27" s="425"/>
      <c r="G27" s="425"/>
      <c r="H27" s="425"/>
      <c r="I27" s="425"/>
    </row>
    <row r="28" spans="1:9" s="363" customFormat="1" ht="20.100000000000001" customHeight="1">
      <c r="A28" s="173" t="s">
        <v>1204</v>
      </c>
      <c r="B28" s="425"/>
      <c r="C28" s="425"/>
      <c r="D28" s="425"/>
      <c r="E28" s="425"/>
      <c r="F28" s="425"/>
      <c r="G28" s="425"/>
      <c r="H28" s="425"/>
      <c r="I28" s="425"/>
    </row>
    <row r="29" spans="1:9" s="363" customFormat="1" ht="20.100000000000001" customHeight="1">
      <c r="A29" s="357"/>
      <c r="B29" s="425"/>
      <c r="C29" s="425"/>
      <c r="D29" s="425"/>
      <c r="E29" s="425"/>
      <c r="F29" s="425"/>
      <c r="G29" s="425"/>
      <c r="H29" s="425"/>
      <c r="I29" s="425"/>
    </row>
    <row r="30" spans="1:9" s="363" customFormat="1" ht="20.100000000000001" customHeight="1">
      <c r="A30" s="357"/>
      <c r="B30" s="425"/>
      <c r="C30" s="425"/>
      <c r="D30" s="425"/>
      <c r="E30" s="425"/>
      <c r="F30" s="425"/>
      <c r="G30" s="425"/>
      <c r="H30" s="425"/>
      <c r="I30" s="425"/>
    </row>
    <row r="31" spans="1:9" s="363" customFormat="1" ht="20.100000000000001" customHeight="1">
      <c r="A31" s="121" t="s">
        <v>1205</v>
      </c>
      <c r="B31" s="425"/>
      <c r="C31" s="425"/>
      <c r="D31" s="425"/>
      <c r="E31" s="425"/>
      <c r="F31" s="425"/>
      <c r="G31" s="425"/>
      <c r="H31" s="425"/>
      <c r="I31" s="425"/>
    </row>
    <row r="32" spans="1:9" s="363" customFormat="1" ht="20.100000000000001" customHeight="1">
      <c r="A32" s="423" t="s">
        <v>968</v>
      </c>
      <c r="B32" s="423" t="s">
        <v>1206</v>
      </c>
      <c r="C32" s="423" t="s">
        <v>1207</v>
      </c>
      <c r="D32" s="425"/>
      <c r="E32" s="425"/>
      <c r="F32" s="425"/>
      <c r="G32" s="425"/>
      <c r="H32" s="425"/>
      <c r="I32" s="425"/>
    </row>
    <row r="33" spans="1:9" s="363" customFormat="1" ht="20.100000000000001" customHeight="1">
      <c r="A33" s="415"/>
      <c r="B33" s="415"/>
      <c r="C33" s="415"/>
      <c r="D33" s="425"/>
      <c r="E33" s="425"/>
      <c r="F33" s="425"/>
      <c r="G33" s="425"/>
      <c r="H33" s="425"/>
      <c r="I33" s="425"/>
    </row>
    <row r="34" spans="1:9" s="363" customFormat="1" ht="20.100000000000001" customHeight="1">
      <c r="A34" s="415"/>
      <c r="B34" s="415"/>
      <c r="C34" s="415"/>
      <c r="D34" s="425"/>
      <c r="E34" s="425"/>
      <c r="F34" s="425"/>
      <c r="G34" s="425"/>
      <c r="H34" s="425"/>
      <c r="I34" s="425"/>
    </row>
    <row r="35" spans="1:9" s="363" customFormat="1" ht="20.100000000000001" customHeight="1">
      <c r="A35" s="415" t="s">
        <v>961</v>
      </c>
      <c r="B35" s="426">
        <f>SUM(B33:B34)</f>
        <v>0</v>
      </c>
      <c r="C35" s="415"/>
      <c r="D35" s="425"/>
      <c r="E35" s="425"/>
      <c r="F35" s="425"/>
      <c r="G35" s="425"/>
      <c r="H35" s="425"/>
      <c r="I35" s="425"/>
    </row>
    <row r="36" spans="1:9" s="363" customFormat="1" ht="20.100000000000001" customHeight="1">
      <c r="A36" s="173" t="s">
        <v>1208</v>
      </c>
      <c r="B36" s="425"/>
      <c r="C36" s="425"/>
      <c r="D36" s="425"/>
      <c r="E36" s="425"/>
      <c r="F36" s="425"/>
      <c r="G36" s="425"/>
      <c r="H36" s="425"/>
      <c r="I36" s="425"/>
    </row>
    <row r="37" spans="1:9" s="392" customFormat="1" ht="13.8"/>
    <row r="38" spans="1:9" s="392" customFormat="1" ht="13.8"/>
    <row r="39" spans="1:9" s="392" customFormat="1" ht="13.8"/>
    <row r="40" spans="1:9" s="392" customFormat="1" ht="13.8"/>
    <row r="41" spans="1:9" s="392" customFormat="1" ht="13.8"/>
    <row r="42" spans="1:9" s="392" customFormat="1" ht="13.8"/>
    <row r="43" spans="1:9" s="392" customFormat="1" ht="13.8"/>
    <row r="44" spans="1:9" s="392" customFormat="1" ht="13.8"/>
    <row r="45" spans="1:9" s="392" customFormat="1" ht="13.8"/>
    <row r="46" spans="1:9" s="392" customFormat="1" ht="13.8"/>
    <row r="47" spans="1:9" s="392" customFormat="1" ht="13.8"/>
    <row r="48" spans="1:9" s="392" customFormat="1" ht="13.8"/>
    <row r="49" s="392" customFormat="1" ht="13.8"/>
    <row r="50" s="392" customFormat="1" ht="13.8"/>
    <row r="51" s="392" customFormat="1" ht="13.8"/>
    <row r="52" s="392" customFormat="1" ht="13.8"/>
    <row r="53" s="392" customFormat="1" ht="13.8"/>
    <row r="54" s="392" customFormat="1" ht="13.8"/>
    <row r="55" s="392" customFormat="1" ht="13.8"/>
    <row r="56" s="392" customFormat="1" ht="13.8"/>
    <row r="57" s="392" customFormat="1" ht="13.8"/>
    <row r="58" s="392" customFormat="1" ht="13.8"/>
    <row r="59" s="392" customFormat="1" ht="13.8"/>
    <row r="60" s="392" customFormat="1" ht="13.8"/>
    <row r="61" s="392" customFormat="1" ht="13.8"/>
    <row r="62" s="392" customFormat="1" ht="13.8"/>
    <row r="63" s="392" customFormat="1" ht="13.8"/>
    <row r="64" s="392" customFormat="1" ht="13.8"/>
    <row r="65" s="392" customFormat="1" ht="13.8"/>
    <row r="66" s="392" customFormat="1" ht="13.8"/>
    <row r="67" s="392" customFormat="1" ht="13.8"/>
    <row r="68" s="392" customFormat="1" ht="13.8"/>
    <row r="69" s="392" customFormat="1" ht="13.8"/>
    <row r="70" s="392" customFormat="1" ht="13.8"/>
    <row r="71" s="392" customFormat="1" ht="13.8"/>
    <row r="72" s="392" customFormat="1" ht="13.8"/>
    <row r="73" s="392" customFormat="1" ht="13.8"/>
    <row r="74" s="392" customFormat="1" ht="13.8"/>
    <row r="75" s="392" customFormat="1" ht="13.8"/>
    <row r="76" s="392" customFormat="1" ht="13.8"/>
    <row r="77" s="392" customFormat="1" ht="13.8"/>
    <row r="78" s="392" customFormat="1" ht="13.8"/>
    <row r="79" s="392" customFormat="1" ht="13.8"/>
    <row r="80" s="392" customFormat="1" ht="13.8"/>
    <row r="81" s="392" customFormat="1" ht="13.8"/>
    <row r="82" s="392" customFormat="1" ht="13.8"/>
    <row r="83" s="392" customFormat="1" ht="13.8"/>
    <row r="84" s="392" customFormat="1" ht="13.8"/>
    <row r="85" s="392" customFormat="1" ht="13.8"/>
    <row r="86" s="392" customFormat="1" ht="13.8"/>
    <row r="87" s="392" customFormat="1" ht="13.8"/>
    <row r="88" s="392" customFormat="1" ht="13.8"/>
    <row r="89" s="392" customFormat="1" ht="13.8"/>
    <row r="90" s="392" customFormat="1" ht="13.8"/>
    <row r="91" s="392" customFormat="1" ht="13.8"/>
    <row r="92" s="392" customFormat="1" ht="20.100000000000001" customHeight="1"/>
    <row r="93" s="392" customFormat="1" ht="20.100000000000001" customHeight="1"/>
    <row r="94" s="392" customFormat="1" ht="20.100000000000001" customHeight="1"/>
  </sheetData>
  <mergeCells count="2">
    <mergeCell ref="B5:D5"/>
    <mergeCell ref="A5:A6"/>
  </mergeCells>
  <phoneticPr fontId="78" type="noConversion"/>
  <hyperlinks>
    <hyperlink ref="H1" location="目录!A1" display="BACK"/>
  </hyperlinks>
  <pageMargins left="0.70763888888888904" right="0.70763888888888904" top="0.74791666666666701" bottom="0.74791666666666701" header="0.31388888888888899" footer="0.31388888888888899"/>
  <pageSetup paperSize="9" scale="85" orientation="landscape" blackAndWhite="1" horizontalDpi="1200" verticalDpi="1200" r:id="rId1"/>
  <rowBreaks count="1" manualBreakCount="1">
    <brk id="15" max="8"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J94"/>
  <sheetViews>
    <sheetView view="pageBreakPreview" zoomScaleNormal="100" zoomScaleSheetLayoutView="100" workbookViewId="0">
      <selection activeCell="D1" sqref="D1"/>
    </sheetView>
  </sheetViews>
  <sheetFormatPr defaultColWidth="9" defaultRowHeight="20.100000000000001" customHeight="1"/>
  <cols>
    <col min="1" max="1" width="21.5" style="47" customWidth="1"/>
    <col min="2" max="2" width="15.59765625" style="47" customWidth="1"/>
    <col min="3" max="3" width="19.59765625" style="47" customWidth="1"/>
    <col min="4" max="11" width="15.59765625" style="47" customWidth="1"/>
    <col min="12" max="16384" width="9" style="47"/>
  </cols>
  <sheetData>
    <row r="1" spans="1:10" ht="15.6">
      <c r="A1" s="48" t="s">
        <v>145</v>
      </c>
      <c r="B1" s="49">
        <f>基础信息!B6</f>
        <v>0</v>
      </c>
      <c r="D1" s="900" t="s">
        <v>146</v>
      </c>
      <c r="E1" s="90"/>
    </row>
    <row r="2" spans="1:10" ht="15.6">
      <c r="A2" s="48" t="s">
        <v>147</v>
      </c>
      <c r="B2" s="49">
        <f>基础信息!B9</f>
        <v>0</v>
      </c>
    </row>
    <row r="3" spans="1:10" s="89" customFormat="1" ht="15.6">
      <c r="A3" s="91" t="s">
        <v>148</v>
      </c>
      <c r="B3" s="91" t="s">
        <v>1209</v>
      </c>
      <c r="C3" s="47"/>
      <c r="D3" s="47"/>
      <c r="E3" s="47"/>
      <c r="F3" s="47"/>
      <c r="G3" s="47"/>
      <c r="H3" s="47"/>
      <c r="I3" s="47"/>
    </row>
    <row r="4" spans="1:10" s="350" customFormat="1" ht="15.6">
      <c r="A4" s="414" t="s">
        <v>1210</v>
      </c>
      <c r="B4" s="414"/>
      <c r="C4" s="47"/>
    </row>
    <row r="5" spans="1:10" s="350" customFormat="1" ht="15.6">
      <c r="A5" s="415" t="s">
        <v>1211</v>
      </c>
      <c r="B5" s="415" t="s">
        <v>1212</v>
      </c>
      <c r="C5" s="47"/>
    </row>
    <row r="6" spans="1:10" s="350" customFormat="1" ht="15.6">
      <c r="A6" s="415" t="s">
        <v>1213</v>
      </c>
      <c r="B6" s="416"/>
      <c r="C6" s="47"/>
    </row>
    <row r="7" spans="1:10" s="350" customFormat="1" ht="15.6">
      <c r="A7" s="417" t="s">
        <v>1214</v>
      </c>
      <c r="B7" s="416"/>
      <c r="C7" s="47"/>
    </row>
    <row r="8" spans="1:10" s="350" customFormat="1" ht="15.6">
      <c r="A8" s="417" t="s">
        <v>1215</v>
      </c>
      <c r="B8" s="416"/>
      <c r="C8" s="47"/>
    </row>
    <row r="9" spans="1:10" s="350" customFormat="1" ht="15.6">
      <c r="A9" s="417"/>
      <c r="B9" s="418">
        <f>SUM(B6:B8)</f>
        <v>0</v>
      </c>
      <c r="C9" s="47"/>
    </row>
    <row r="10" spans="1:10" s="350" customFormat="1" ht="20.25" customHeight="1">
      <c r="A10" s="417" t="s">
        <v>1216</v>
      </c>
      <c r="B10" s="418"/>
      <c r="C10" s="47"/>
    </row>
    <row r="11" spans="1:10" s="350" customFormat="1" ht="20.25" customHeight="1">
      <c r="A11" s="417" t="s">
        <v>882</v>
      </c>
      <c r="B11" s="418">
        <f>B9-B10</f>
        <v>0</v>
      </c>
      <c r="C11" s="47"/>
    </row>
    <row r="12" spans="1:10" s="350" customFormat="1" ht="14.4">
      <c r="A12" s="219"/>
      <c r="B12" s="279"/>
    </row>
    <row r="13" spans="1:10" s="350" customFormat="1" ht="14.4">
      <c r="A13" s="328"/>
      <c r="B13" s="365"/>
    </row>
    <row r="14" spans="1:10" s="350" customFormat="1" ht="14.4">
      <c r="A14" s="305"/>
      <c r="B14" s="305"/>
      <c r="E14" s="99"/>
      <c r="F14" s="99"/>
      <c r="G14" s="99"/>
      <c r="H14" s="99"/>
      <c r="I14" s="99"/>
      <c r="J14" s="99"/>
    </row>
    <row r="15" spans="1:10" s="350" customFormat="1" ht="13.8">
      <c r="A15" s="99"/>
      <c r="B15" s="99"/>
      <c r="C15" s="99"/>
      <c r="D15" s="99"/>
      <c r="E15" s="99"/>
      <c r="F15" s="99"/>
      <c r="G15" s="99"/>
      <c r="H15" s="99"/>
      <c r="I15" s="99"/>
      <c r="J15" s="99"/>
    </row>
    <row r="16" spans="1:10" s="350" customFormat="1" ht="15.6">
      <c r="A16" s="47"/>
      <c r="B16" s="47"/>
      <c r="C16" s="47"/>
      <c r="D16" s="47"/>
      <c r="E16" s="47"/>
      <c r="F16" s="47"/>
      <c r="G16" s="47"/>
      <c r="H16" s="47"/>
      <c r="I16" s="47"/>
      <c r="J16" s="47"/>
    </row>
    <row r="17" spans="1:10" s="350" customFormat="1" ht="15.6">
      <c r="A17" s="47"/>
      <c r="B17" s="47"/>
      <c r="C17" s="47"/>
      <c r="D17" s="47"/>
      <c r="E17" s="47"/>
      <c r="F17" s="47"/>
      <c r="G17" s="47"/>
      <c r="H17" s="47"/>
      <c r="I17" s="47"/>
      <c r="J17" s="47"/>
    </row>
    <row r="18" spans="1:10" s="350" customFormat="1" ht="15.6">
      <c r="A18" s="47"/>
      <c r="B18" s="47"/>
      <c r="C18" s="47"/>
      <c r="D18" s="47"/>
      <c r="E18" s="47"/>
      <c r="F18" s="47"/>
      <c r="G18" s="47"/>
      <c r="H18" s="47"/>
      <c r="I18" s="47"/>
      <c r="J18" s="47"/>
    </row>
    <row r="19" spans="1:10" s="350" customFormat="1" ht="15.6">
      <c r="A19" s="47"/>
      <c r="B19" s="47"/>
      <c r="C19" s="47"/>
      <c r="D19" s="47"/>
      <c r="E19" s="47"/>
      <c r="F19" s="47"/>
      <c r="G19" s="47"/>
      <c r="H19" s="47"/>
      <c r="I19" s="47"/>
      <c r="J19" s="47"/>
    </row>
    <row r="20" spans="1:10" s="350" customFormat="1" ht="15.6">
      <c r="A20" s="47"/>
      <c r="B20" s="47"/>
      <c r="C20" s="47"/>
      <c r="D20" s="47"/>
      <c r="E20" s="47"/>
      <c r="F20" s="47"/>
      <c r="G20" s="47"/>
      <c r="H20" s="47"/>
      <c r="I20" s="47"/>
      <c r="J20" s="47"/>
    </row>
    <row r="21" spans="1:10" s="350" customFormat="1" ht="15.6">
      <c r="A21" s="47"/>
      <c r="B21" s="47"/>
      <c r="C21" s="47"/>
      <c r="D21" s="47"/>
      <c r="E21" s="47"/>
      <c r="F21" s="47"/>
      <c r="G21" s="47"/>
      <c r="H21" s="47"/>
      <c r="I21" s="47"/>
      <c r="J21" s="47"/>
    </row>
    <row r="22" spans="1:10" s="350" customFormat="1" ht="15.6">
      <c r="A22" s="47"/>
      <c r="B22" s="47"/>
      <c r="C22" s="47"/>
      <c r="D22" s="47"/>
      <c r="E22" s="47"/>
      <c r="F22" s="47"/>
      <c r="G22" s="47"/>
      <c r="H22" s="47"/>
      <c r="I22" s="47"/>
      <c r="J22" s="47"/>
    </row>
    <row r="23" spans="1:10" s="350" customFormat="1" ht="15.6">
      <c r="A23" s="47"/>
      <c r="B23" s="47"/>
      <c r="C23" s="47"/>
      <c r="D23" s="47"/>
      <c r="E23" s="47"/>
      <c r="F23" s="47"/>
      <c r="G23" s="47"/>
      <c r="H23" s="47"/>
      <c r="I23" s="47"/>
      <c r="J23" s="47"/>
    </row>
    <row r="24" spans="1:10" s="350" customFormat="1" ht="15.6">
      <c r="A24" s="47"/>
      <c r="B24" s="47"/>
      <c r="C24" s="47"/>
      <c r="D24" s="47"/>
      <c r="E24" s="47"/>
      <c r="F24" s="47"/>
      <c r="G24" s="47"/>
      <c r="H24" s="47"/>
      <c r="I24" s="47"/>
      <c r="J24" s="47"/>
    </row>
    <row r="25" spans="1:10" s="350" customFormat="1" ht="15.6">
      <c r="A25" s="47"/>
      <c r="B25" s="47"/>
      <c r="C25" s="47"/>
      <c r="D25" s="47"/>
      <c r="E25" s="47"/>
      <c r="F25" s="47"/>
      <c r="G25" s="47"/>
      <c r="H25" s="47"/>
      <c r="I25" s="47"/>
      <c r="J25" s="47"/>
    </row>
    <row r="26" spans="1:10" s="350" customFormat="1" ht="15.6">
      <c r="A26" s="47"/>
      <c r="B26" s="47"/>
      <c r="C26" s="47"/>
      <c r="D26" s="47"/>
      <c r="E26" s="47"/>
      <c r="F26" s="47"/>
      <c r="G26" s="47"/>
      <c r="H26" s="47"/>
      <c r="I26" s="47"/>
      <c r="J26" s="47"/>
    </row>
    <row r="27" spans="1:10" s="350" customFormat="1" ht="15.6">
      <c r="A27" s="47"/>
      <c r="B27" s="47"/>
      <c r="C27" s="47"/>
      <c r="D27" s="47"/>
      <c r="E27" s="47"/>
      <c r="F27" s="47"/>
      <c r="G27" s="47"/>
      <c r="H27" s="47"/>
      <c r="I27" s="47"/>
      <c r="J27" s="47"/>
    </row>
    <row r="28" spans="1:10" s="350" customFormat="1" ht="15.6">
      <c r="A28" s="47"/>
      <c r="B28" s="47"/>
      <c r="C28" s="47"/>
      <c r="D28" s="47"/>
      <c r="E28" s="47"/>
      <c r="F28" s="47"/>
      <c r="G28" s="47"/>
      <c r="H28" s="47"/>
      <c r="I28" s="47"/>
      <c r="J28" s="47"/>
    </row>
    <row r="29" spans="1:10" s="350" customFormat="1" ht="15.6">
      <c r="A29" s="47"/>
      <c r="B29" s="47"/>
      <c r="C29" s="47"/>
      <c r="D29" s="47"/>
      <c r="E29" s="47"/>
      <c r="F29" s="47"/>
      <c r="G29" s="47"/>
      <c r="H29" s="47"/>
      <c r="I29" s="47"/>
      <c r="J29" s="47"/>
    </row>
    <row r="30" spans="1:10" s="350" customFormat="1" ht="15.6">
      <c r="A30" s="47"/>
      <c r="B30" s="47"/>
      <c r="C30" s="47"/>
      <c r="D30" s="47"/>
      <c r="E30" s="47"/>
      <c r="F30" s="47"/>
      <c r="G30" s="47"/>
      <c r="H30" s="47"/>
      <c r="I30" s="47"/>
      <c r="J30" s="47"/>
    </row>
    <row r="31" spans="1:10" s="350" customFormat="1" ht="15.6">
      <c r="A31" s="47"/>
      <c r="B31" s="47"/>
      <c r="C31" s="47"/>
      <c r="D31" s="47"/>
      <c r="E31" s="47"/>
      <c r="F31" s="47"/>
      <c r="G31" s="47"/>
      <c r="H31" s="47"/>
      <c r="I31" s="47"/>
      <c r="J31" s="47"/>
    </row>
    <row r="32" spans="1:10" s="350" customFormat="1" ht="15.6">
      <c r="A32" s="47"/>
      <c r="B32" s="47"/>
      <c r="C32" s="47"/>
      <c r="D32" s="47"/>
      <c r="E32" s="47"/>
      <c r="F32" s="47"/>
      <c r="G32" s="47"/>
      <c r="H32" s="47"/>
      <c r="I32" s="47"/>
      <c r="J32" s="47"/>
    </row>
    <row r="33" spans="1:10" s="350" customFormat="1" ht="15.6">
      <c r="A33" s="47"/>
      <c r="B33" s="47"/>
      <c r="C33" s="47"/>
      <c r="D33" s="47"/>
      <c r="E33" s="47"/>
      <c r="F33" s="47"/>
      <c r="G33" s="47"/>
      <c r="H33" s="47"/>
      <c r="I33" s="47"/>
      <c r="J33" s="47"/>
    </row>
    <row r="34" spans="1:10" s="350" customFormat="1" ht="15.6">
      <c r="A34" s="47"/>
      <c r="B34" s="47"/>
      <c r="C34" s="47"/>
      <c r="D34" s="47"/>
      <c r="E34" s="47"/>
      <c r="F34" s="47"/>
      <c r="G34" s="47"/>
      <c r="H34" s="47"/>
      <c r="I34" s="47"/>
      <c r="J34" s="47"/>
    </row>
    <row r="35" spans="1:10" s="350" customFormat="1" ht="15.6">
      <c r="A35" s="47"/>
      <c r="B35" s="47"/>
      <c r="C35" s="47"/>
      <c r="D35" s="47"/>
      <c r="E35" s="47"/>
      <c r="F35" s="47"/>
      <c r="G35" s="47"/>
      <c r="H35" s="47"/>
      <c r="I35" s="47"/>
      <c r="J35" s="47"/>
    </row>
    <row r="36" spans="1:10" s="350" customFormat="1" ht="15.6">
      <c r="A36" s="47"/>
      <c r="B36" s="47"/>
      <c r="C36" s="47"/>
      <c r="D36" s="47"/>
      <c r="E36" s="47"/>
      <c r="F36" s="47"/>
      <c r="G36" s="47"/>
      <c r="H36" s="47"/>
      <c r="I36" s="47"/>
      <c r="J36" s="47"/>
    </row>
    <row r="37" spans="1:10" s="413" customFormat="1" ht="15.6">
      <c r="A37" s="47"/>
      <c r="B37" s="47"/>
      <c r="C37" s="47"/>
      <c r="D37" s="47"/>
      <c r="E37" s="47"/>
      <c r="F37" s="47"/>
      <c r="G37" s="47"/>
      <c r="H37" s="47"/>
      <c r="I37" s="47"/>
      <c r="J37" s="47"/>
    </row>
    <row r="38" spans="1:10" s="413" customFormat="1" ht="15.6">
      <c r="A38" s="47"/>
      <c r="B38" s="47"/>
      <c r="C38" s="47"/>
      <c r="D38" s="47"/>
      <c r="E38" s="47"/>
      <c r="F38" s="47"/>
      <c r="G38" s="47"/>
      <c r="H38" s="47"/>
      <c r="I38" s="47"/>
      <c r="J38" s="47"/>
    </row>
    <row r="39" spans="1:10" s="413" customFormat="1" ht="15.6">
      <c r="A39" s="47"/>
      <c r="B39" s="47"/>
      <c r="C39" s="47"/>
      <c r="D39" s="47"/>
      <c r="E39" s="47"/>
      <c r="F39" s="47"/>
      <c r="G39" s="47"/>
      <c r="H39" s="47"/>
      <c r="I39" s="47"/>
      <c r="J39" s="47"/>
    </row>
    <row r="40" spans="1:10" s="413" customFormat="1" ht="15.6">
      <c r="A40" s="47"/>
      <c r="B40" s="47"/>
      <c r="C40" s="47"/>
      <c r="D40" s="47"/>
      <c r="E40" s="47"/>
      <c r="F40" s="47"/>
      <c r="G40" s="47"/>
      <c r="H40" s="47"/>
      <c r="I40" s="47"/>
      <c r="J40" s="47"/>
    </row>
    <row r="41" spans="1:10" s="413" customFormat="1" ht="15.6">
      <c r="A41" s="47"/>
      <c r="B41" s="47"/>
      <c r="C41" s="47"/>
      <c r="D41" s="47"/>
      <c r="E41" s="47"/>
      <c r="F41" s="47"/>
      <c r="G41" s="47"/>
      <c r="H41" s="47"/>
      <c r="I41" s="47"/>
      <c r="J41" s="47"/>
    </row>
    <row r="42" spans="1:10" s="413" customFormat="1" ht="15.6">
      <c r="A42" s="47"/>
      <c r="B42" s="47"/>
      <c r="C42" s="47"/>
      <c r="D42" s="47"/>
      <c r="E42" s="47"/>
      <c r="F42" s="47"/>
      <c r="G42" s="47"/>
      <c r="H42" s="47"/>
      <c r="I42" s="47"/>
      <c r="J42" s="47"/>
    </row>
    <row r="43" spans="1:10" s="413" customFormat="1" ht="15.6">
      <c r="A43" s="47"/>
      <c r="B43" s="47"/>
      <c r="C43" s="47"/>
      <c r="D43" s="47"/>
      <c r="E43" s="47"/>
      <c r="F43" s="47"/>
      <c r="G43" s="47"/>
      <c r="H43" s="47"/>
      <c r="I43" s="47"/>
      <c r="J43" s="47"/>
    </row>
    <row r="44" spans="1:10" s="413" customFormat="1" ht="15.6">
      <c r="A44" s="47"/>
      <c r="B44" s="47"/>
      <c r="C44" s="47"/>
      <c r="D44" s="47"/>
      <c r="E44" s="47"/>
      <c r="F44" s="47"/>
      <c r="G44" s="47"/>
      <c r="H44" s="47"/>
      <c r="I44" s="47"/>
      <c r="J44" s="47"/>
    </row>
    <row r="45" spans="1:10" s="413" customFormat="1" ht="15.6">
      <c r="A45" s="47"/>
      <c r="B45" s="47"/>
      <c r="C45" s="47"/>
      <c r="D45" s="47"/>
      <c r="E45" s="47"/>
      <c r="F45" s="47"/>
      <c r="G45" s="47"/>
      <c r="H45" s="47"/>
      <c r="I45" s="47"/>
      <c r="J45" s="47"/>
    </row>
    <row r="46" spans="1:10" s="413" customFormat="1" ht="15.6">
      <c r="A46" s="47"/>
      <c r="B46" s="47"/>
      <c r="C46" s="47"/>
      <c r="D46" s="47"/>
      <c r="E46" s="47"/>
      <c r="F46" s="47"/>
      <c r="G46" s="47"/>
      <c r="H46" s="47"/>
      <c r="I46" s="47"/>
      <c r="J46" s="47"/>
    </row>
    <row r="47" spans="1:10" s="413" customFormat="1" ht="15.6">
      <c r="A47" s="47"/>
      <c r="B47" s="47"/>
      <c r="C47" s="47"/>
      <c r="D47" s="47"/>
      <c r="E47" s="47"/>
      <c r="F47" s="47"/>
      <c r="G47" s="47"/>
      <c r="H47" s="47"/>
      <c r="I47" s="47"/>
      <c r="J47" s="47"/>
    </row>
    <row r="48" spans="1:10" s="413" customFormat="1" ht="15.6">
      <c r="A48" s="47"/>
      <c r="B48" s="47"/>
      <c r="C48" s="47"/>
      <c r="D48" s="47"/>
      <c r="E48" s="47"/>
      <c r="F48" s="47"/>
      <c r="G48" s="47"/>
      <c r="H48" s="47"/>
      <c r="I48" s="47"/>
      <c r="J48" s="47"/>
    </row>
    <row r="49" spans="1:10" s="413" customFormat="1" ht="15.6">
      <c r="A49" s="47"/>
      <c r="B49" s="47"/>
      <c r="C49" s="47"/>
      <c r="D49" s="47"/>
      <c r="E49" s="47"/>
      <c r="F49" s="47"/>
      <c r="G49" s="47"/>
      <c r="H49" s="47"/>
      <c r="I49" s="47"/>
      <c r="J49" s="47"/>
    </row>
    <row r="50" spans="1:10" s="413" customFormat="1" ht="15.6">
      <c r="A50" s="47"/>
      <c r="B50" s="47"/>
      <c r="C50" s="47"/>
      <c r="D50" s="47"/>
      <c r="E50" s="47"/>
      <c r="F50" s="47"/>
      <c r="G50" s="47"/>
      <c r="H50" s="47"/>
      <c r="I50" s="47"/>
      <c r="J50" s="47"/>
    </row>
    <row r="51" spans="1:10" s="413" customFormat="1" ht="15.6">
      <c r="A51" s="47"/>
      <c r="B51" s="47"/>
      <c r="C51" s="47"/>
      <c r="D51" s="47"/>
      <c r="E51" s="47"/>
      <c r="F51" s="47"/>
      <c r="G51" s="47"/>
      <c r="H51" s="47"/>
      <c r="I51" s="47"/>
      <c r="J51" s="47"/>
    </row>
    <row r="52" spans="1:10" s="413" customFormat="1" ht="15.6">
      <c r="A52" s="47"/>
      <c r="B52" s="47"/>
      <c r="C52" s="47"/>
      <c r="D52" s="47"/>
      <c r="E52" s="47"/>
      <c r="F52" s="47"/>
      <c r="G52" s="47"/>
      <c r="H52" s="47"/>
      <c r="I52" s="47"/>
      <c r="J52" s="47"/>
    </row>
    <row r="53" spans="1:10" s="413" customFormat="1" ht="15.6">
      <c r="A53" s="47"/>
      <c r="B53" s="47"/>
      <c r="C53" s="47"/>
      <c r="D53" s="47"/>
      <c r="E53" s="47"/>
      <c r="F53" s="47"/>
      <c r="G53" s="47"/>
      <c r="H53" s="47"/>
      <c r="I53" s="47"/>
      <c r="J53" s="47"/>
    </row>
    <row r="54" spans="1:10" s="413" customFormat="1" ht="15.6">
      <c r="A54" s="47"/>
      <c r="B54" s="47"/>
      <c r="C54" s="47"/>
      <c r="D54" s="47"/>
      <c r="E54" s="47"/>
      <c r="F54" s="47"/>
      <c r="G54" s="47"/>
      <c r="H54" s="47"/>
      <c r="I54" s="47"/>
      <c r="J54" s="47"/>
    </row>
    <row r="55" spans="1:10" s="413" customFormat="1" ht="15.6">
      <c r="A55" s="47"/>
      <c r="B55" s="47"/>
      <c r="C55" s="47"/>
      <c r="D55" s="47"/>
      <c r="E55" s="47"/>
      <c r="F55" s="47"/>
      <c r="G55" s="47"/>
      <c r="H55" s="47"/>
      <c r="I55" s="47"/>
      <c r="J55" s="47"/>
    </row>
    <row r="56" spans="1:10" s="413" customFormat="1" ht="15.6">
      <c r="A56" s="47"/>
      <c r="B56" s="47"/>
      <c r="C56" s="47"/>
      <c r="D56" s="47"/>
      <c r="E56" s="47"/>
      <c r="F56" s="47"/>
      <c r="G56" s="47"/>
      <c r="H56" s="47"/>
      <c r="I56" s="47"/>
      <c r="J56" s="47"/>
    </row>
    <row r="57" spans="1:10" s="413" customFormat="1" ht="15.6">
      <c r="A57" s="47"/>
      <c r="B57" s="47"/>
      <c r="C57" s="47"/>
      <c r="D57" s="47"/>
      <c r="E57" s="47"/>
      <c r="F57" s="47"/>
      <c r="G57" s="47"/>
      <c r="H57" s="47"/>
      <c r="I57" s="47"/>
      <c r="J57" s="47"/>
    </row>
    <row r="58" spans="1:10" s="413" customFormat="1" ht="15.6">
      <c r="A58" s="47"/>
      <c r="B58" s="47"/>
      <c r="C58" s="47"/>
      <c r="D58" s="47"/>
      <c r="E58" s="47"/>
      <c r="F58" s="47"/>
      <c r="G58" s="47"/>
      <c r="H58" s="47"/>
      <c r="I58" s="47"/>
      <c r="J58" s="47"/>
    </row>
    <row r="59" spans="1:10" s="413" customFormat="1" ht="15.6">
      <c r="A59" s="47"/>
      <c r="B59" s="47"/>
      <c r="C59" s="47"/>
      <c r="D59" s="47"/>
      <c r="E59" s="47"/>
      <c r="F59" s="47"/>
      <c r="G59" s="47"/>
      <c r="H59" s="47"/>
      <c r="I59" s="47"/>
      <c r="J59" s="47"/>
    </row>
    <row r="60" spans="1:10" s="413" customFormat="1" ht="15.6">
      <c r="A60" s="47"/>
      <c r="B60" s="47"/>
      <c r="C60" s="47"/>
      <c r="D60" s="47"/>
      <c r="E60" s="47"/>
      <c r="F60" s="47"/>
      <c r="G60" s="47"/>
      <c r="H60" s="47"/>
      <c r="I60" s="47"/>
      <c r="J60" s="47"/>
    </row>
    <row r="61" spans="1:10" s="413" customFormat="1" ht="15.6">
      <c r="A61" s="47"/>
      <c r="B61" s="47"/>
      <c r="C61" s="47"/>
      <c r="D61" s="47"/>
      <c r="E61" s="47"/>
      <c r="F61" s="47"/>
      <c r="G61" s="47"/>
      <c r="H61" s="47"/>
      <c r="I61" s="47"/>
      <c r="J61" s="47"/>
    </row>
    <row r="62" spans="1:10" s="413" customFormat="1" ht="15.6">
      <c r="A62" s="47"/>
      <c r="B62" s="47"/>
      <c r="C62" s="47"/>
      <c r="D62" s="47"/>
      <c r="E62" s="47"/>
      <c r="F62" s="47"/>
      <c r="G62" s="47"/>
      <c r="H62" s="47"/>
      <c r="I62" s="47"/>
      <c r="J62" s="47"/>
    </row>
    <row r="63" spans="1:10" s="413" customFormat="1" ht="15.6">
      <c r="A63" s="47"/>
      <c r="B63" s="47"/>
      <c r="C63" s="47"/>
      <c r="D63" s="47"/>
      <c r="E63" s="47"/>
      <c r="F63" s="47"/>
      <c r="G63" s="47"/>
      <c r="H63" s="47"/>
      <c r="I63" s="47"/>
      <c r="J63" s="47"/>
    </row>
    <row r="64" spans="1:10" s="413" customFormat="1" ht="15.6">
      <c r="A64" s="47"/>
      <c r="B64" s="47"/>
      <c r="C64" s="47"/>
      <c r="D64" s="47"/>
      <c r="E64" s="47"/>
      <c r="F64" s="47"/>
      <c r="G64" s="47"/>
      <c r="H64" s="47"/>
      <c r="I64" s="47"/>
      <c r="J64" s="47"/>
    </row>
    <row r="65" spans="1:10" s="413" customFormat="1" ht="15.6">
      <c r="A65" s="47"/>
      <c r="B65" s="47"/>
      <c r="C65" s="47"/>
      <c r="D65" s="47"/>
      <c r="E65" s="47"/>
      <c r="F65" s="47"/>
      <c r="G65" s="47"/>
      <c r="H65" s="47"/>
      <c r="I65" s="47"/>
      <c r="J65" s="47"/>
    </row>
    <row r="66" spans="1:10" s="413" customFormat="1" ht="15.6">
      <c r="A66" s="47"/>
      <c r="B66" s="47"/>
      <c r="C66" s="47"/>
      <c r="D66" s="47"/>
      <c r="E66" s="47"/>
      <c r="F66" s="47"/>
      <c r="G66" s="47"/>
      <c r="H66" s="47"/>
      <c r="I66" s="47"/>
      <c r="J66" s="47"/>
    </row>
    <row r="67" spans="1:10" s="413" customFormat="1" ht="15.6">
      <c r="A67" s="47"/>
      <c r="B67" s="47"/>
      <c r="C67" s="47"/>
      <c r="D67" s="47"/>
      <c r="E67" s="47"/>
      <c r="F67" s="47"/>
      <c r="G67" s="47"/>
      <c r="H67" s="47"/>
      <c r="I67" s="47"/>
      <c r="J67" s="47"/>
    </row>
    <row r="68" spans="1:10" s="413" customFormat="1" ht="15.6">
      <c r="A68" s="47"/>
      <c r="B68" s="47"/>
      <c r="C68" s="47"/>
      <c r="D68" s="47"/>
      <c r="E68" s="47"/>
      <c r="F68" s="47"/>
      <c r="G68" s="47"/>
      <c r="H68" s="47"/>
      <c r="I68" s="47"/>
      <c r="J68" s="47"/>
    </row>
    <row r="69" spans="1:10" s="413" customFormat="1" ht="15.6">
      <c r="A69" s="47"/>
      <c r="B69" s="47"/>
      <c r="C69" s="47"/>
      <c r="D69" s="47"/>
      <c r="E69" s="47"/>
      <c r="F69" s="47"/>
      <c r="G69" s="47"/>
      <c r="H69" s="47"/>
      <c r="I69" s="47"/>
      <c r="J69" s="47"/>
    </row>
    <row r="70" spans="1:10" s="413" customFormat="1" ht="15.6">
      <c r="A70" s="47"/>
      <c r="B70" s="47"/>
      <c r="C70" s="47"/>
      <c r="D70" s="47"/>
      <c r="E70" s="47"/>
      <c r="F70" s="47"/>
      <c r="G70" s="47"/>
      <c r="H70" s="47"/>
      <c r="I70" s="47"/>
      <c r="J70" s="47"/>
    </row>
    <row r="71" spans="1:10" s="413" customFormat="1" ht="15.6">
      <c r="A71" s="47"/>
      <c r="B71" s="47"/>
      <c r="C71" s="47"/>
      <c r="D71" s="47"/>
      <c r="E71" s="47"/>
      <c r="F71" s="47"/>
      <c r="G71" s="47"/>
      <c r="H71" s="47"/>
      <c r="I71" s="47"/>
      <c r="J71" s="47"/>
    </row>
    <row r="72" spans="1:10" s="413" customFormat="1" ht="15.6">
      <c r="A72" s="47"/>
      <c r="B72" s="47"/>
      <c r="C72" s="47"/>
      <c r="D72" s="47"/>
      <c r="E72" s="47"/>
      <c r="F72" s="47"/>
      <c r="G72" s="47"/>
      <c r="H72" s="47"/>
      <c r="I72" s="47"/>
      <c r="J72" s="47"/>
    </row>
    <row r="73" spans="1:10" s="413" customFormat="1" ht="15.6">
      <c r="A73" s="47"/>
      <c r="B73" s="47"/>
      <c r="C73" s="47"/>
      <c r="D73" s="47"/>
      <c r="E73" s="47"/>
      <c r="F73" s="47"/>
      <c r="G73" s="47"/>
      <c r="H73" s="47"/>
      <c r="I73" s="47"/>
      <c r="J73" s="47"/>
    </row>
    <row r="74" spans="1:10" s="413" customFormat="1" ht="15.6">
      <c r="A74" s="47"/>
      <c r="B74" s="47"/>
      <c r="C74" s="47"/>
      <c r="D74" s="47"/>
      <c r="E74" s="47"/>
      <c r="F74" s="47"/>
      <c r="G74" s="47"/>
      <c r="H74" s="47"/>
      <c r="I74" s="47"/>
      <c r="J74" s="47"/>
    </row>
    <row r="75" spans="1:10" s="413" customFormat="1" ht="15.6">
      <c r="A75" s="47"/>
      <c r="B75" s="47"/>
      <c r="C75" s="47"/>
      <c r="D75" s="47"/>
      <c r="E75" s="47"/>
      <c r="F75" s="47"/>
      <c r="G75" s="47"/>
      <c r="H75" s="47"/>
      <c r="I75" s="47"/>
      <c r="J75" s="47"/>
    </row>
    <row r="76" spans="1:10" s="413" customFormat="1" ht="15.6">
      <c r="A76" s="47"/>
      <c r="B76" s="47"/>
      <c r="C76" s="47"/>
      <c r="D76" s="47"/>
      <c r="E76" s="47"/>
      <c r="F76" s="47"/>
      <c r="G76" s="47"/>
      <c r="H76" s="47"/>
      <c r="I76" s="47"/>
      <c r="J76" s="47"/>
    </row>
    <row r="77" spans="1:10" s="413" customFormat="1" ht="15.6">
      <c r="A77" s="47"/>
      <c r="B77" s="47"/>
      <c r="C77" s="47"/>
      <c r="D77" s="47"/>
      <c r="E77" s="47"/>
      <c r="F77" s="47"/>
      <c r="G77" s="47"/>
      <c r="H77" s="47"/>
      <c r="I77" s="47"/>
      <c r="J77" s="47"/>
    </row>
    <row r="78" spans="1:10" s="413" customFormat="1" ht="15.6">
      <c r="A78" s="47"/>
      <c r="B78" s="47"/>
      <c r="C78" s="47"/>
      <c r="D78" s="47"/>
      <c r="E78" s="47"/>
      <c r="F78" s="47"/>
      <c r="G78" s="47"/>
      <c r="H78" s="47"/>
      <c r="I78" s="47"/>
      <c r="J78" s="47"/>
    </row>
    <row r="79" spans="1:10" s="413" customFormat="1" ht="15.6">
      <c r="A79" s="47"/>
      <c r="B79" s="47"/>
      <c r="C79" s="47"/>
      <c r="D79" s="47"/>
      <c r="E79" s="47"/>
      <c r="F79" s="47"/>
      <c r="G79" s="47"/>
      <c r="H79" s="47"/>
      <c r="I79" s="47"/>
      <c r="J79" s="47"/>
    </row>
    <row r="80" spans="1:10" s="413" customFormat="1" ht="15.6">
      <c r="A80" s="47"/>
      <c r="B80" s="47"/>
      <c r="C80" s="47"/>
      <c r="D80" s="47"/>
      <c r="E80" s="47"/>
      <c r="F80" s="47"/>
      <c r="G80" s="47"/>
      <c r="H80" s="47"/>
      <c r="I80" s="47"/>
      <c r="J80" s="47"/>
    </row>
    <row r="81" spans="1:10" s="413" customFormat="1" ht="15.6">
      <c r="A81" s="47"/>
      <c r="B81" s="47"/>
      <c r="C81" s="47"/>
      <c r="D81" s="47"/>
      <c r="E81" s="47"/>
      <c r="F81" s="47"/>
      <c r="G81" s="47"/>
      <c r="H81" s="47"/>
      <c r="I81" s="47"/>
      <c r="J81" s="47"/>
    </row>
    <row r="82" spans="1:10" s="413" customFormat="1" ht="15.6">
      <c r="A82" s="47"/>
      <c r="B82" s="47"/>
      <c r="C82" s="47"/>
      <c r="D82" s="47"/>
      <c r="E82" s="47"/>
      <c r="F82" s="47"/>
      <c r="G82" s="47"/>
      <c r="H82" s="47"/>
      <c r="I82" s="47"/>
      <c r="J82" s="47"/>
    </row>
    <row r="83" spans="1:10" s="413" customFormat="1" ht="15.6">
      <c r="A83" s="47"/>
      <c r="B83" s="47"/>
      <c r="C83" s="47"/>
      <c r="D83" s="47"/>
      <c r="E83" s="47"/>
      <c r="F83" s="47"/>
      <c r="G83" s="47"/>
      <c r="H83" s="47"/>
      <c r="I83" s="47"/>
      <c r="J83" s="47"/>
    </row>
    <row r="84" spans="1:10" s="413" customFormat="1" ht="13.8"/>
    <row r="85" spans="1:10" s="413" customFormat="1" ht="13.8"/>
    <row r="86" spans="1:10" s="413" customFormat="1" ht="13.8"/>
    <row r="87" spans="1:10" s="413" customFormat="1" ht="13.8"/>
    <row r="88" spans="1:10" s="413" customFormat="1" ht="13.8"/>
    <row r="89" spans="1:10" s="413" customFormat="1" ht="13.8"/>
    <row r="90" spans="1:10" s="413" customFormat="1" ht="13.8"/>
    <row r="91" spans="1:10" s="413" customFormat="1" ht="13.8"/>
    <row r="92" spans="1:10" s="413" customFormat="1" ht="13.8"/>
    <row r="93" spans="1:10" s="413" customFormat="1" ht="13.8"/>
    <row r="94" spans="1:10" s="413" customFormat="1" ht="13.8"/>
  </sheetData>
  <phoneticPr fontId="78" type="noConversion"/>
  <hyperlinks>
    <hyperlink ref="D1" location="目录!A1" display="BACK"/>
  </hyperlinks>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M80"/>
  <sheetViews>
    <sheetView view="pageBreakPreview" zoomScale="90" zoomScaleNormal="50" zoomScaleSheetLayoutView="90" workbookViewId="0">
      <selection activeCell="J27" sqref="J27"/>
    </sheetView>
  </sheetViews>
  <sheetFormatPr defaultColWidth="9" defaultRowHeight="20.100000000000001" customHeight="1"/>
  <cols>
    <col min="1" max="1" width="21.5" style="18" customWidth="1"/>
    <col min="2" max="2" width="15.59765625" style="18" customWidth="1"/>
    <col min="3" max="3" width="19.59765625" style="18" customWidth="1"/>
    <col min="4" max="11" width="15.59765625" style="18" customWidth="1"/>
    <col min="12" max="16384" width="9" style="18"/>
  </cols>
  <sheetData>
    <row r="1" spans="1:13" s="391" customFormat="1" ht="15.6">
      <c r="A1" s="393" t="s">
        <v>1217</v>
      </c>
      <c r="B1" s="394">
        <f>基础信息!B6</f>
        <v>0</v>
      </c>
      <c r="C1" s="355"/>
      <c r="D1" s="355"/>
      <c r="E1" s="395"/>
      <c r="F1" s="355"/>
      <c r="G1" s="355"/>
      <c r="H1" s="355"/>
      <c r="I1" s="900" t="s">
        <v>146</v>
      </c>
      <c r="J1" s="355"/>
      <c r="K1" s="355"/>
      <c r="L1" s="355"/>
      <c r="M1" s="355"/>
    </row>
    <row r="2" spans="1:13" s="391" customFormat="1" ht="15.6">
      <c r="A2" s="393" t="s">
        <v>1218</v>
      </c>
      <c r="B2" s="394">
        <f>基础信息!B9</f>
        <v>0</v>
      </c>
      <c r="C2" s="355"/>
      <c r="D2" s="355"/>
      <c r="E2" s="355"/>
      <c r="F2" s="355"/>
      <c r="G2" s="355"/>
      <c r="H2" s="355"/>
      <c r="I2" s="355"/>
      <c r="J2" s="355"/>
      <c r="K2" s="355"/>
      <c r="L2" s="355"/>
      <c r="M2" s="355"/>
    </row>
    <row r="3" spans="1:13" s="355" customFormat="1" ht="15.6">
      <c r="A3" s="396" t="s">
        <v>1219</v>
      </c>
      <c r="B3" s="68" t="s">
        <v>1220</v>
      </c>
    </row>
    <row r="4" spans="1:13" s="383" customFormat="1" ht="13.8">
      <c r="A4" s="1086" t="s">
        <v>1221</v>
      </c>
      <c r="B4" s="1086" t="s">
        <v>1222</v>
      </c>
      <c r="C4" s="1086"/>
      <c r="D4" s="1086" t="s">
        <v>1223</v>
      </c>
      <c r="E4" s="1086"/>
      <c r="F4" s="1086" t="s">
        <v>1224</v>
      </c>
      <c r="G4" s="1086"/>
      <c r="H4" s="1086" t="s">
        <v>1225</v>
      </c>
      <c r="I4" s="1086"/>
      <c r="J4" s="1086" t="s">
        <v>1226</v>
      </c>
      <c r="K4" s="410"/>
      <c r="L4" s="410"/>
      <c r="M4" s="410"/>
    </row>
    <row r="5" spans="1:13" s="383" customFormat="1" ht="14.4">
      <c r="A5" s="1086"/>
      <c r="B5" s="397" t="s">
        <v>1227</v>
      </c>
      <c r="C5" s="397" t="s">
        <v>870</v>
      </c>
      <c r="D5" s="397" t="s">
        <v>1227</v>
      </c>
      <c r="E5" s="397" t="s">
        <v>870</v>
      </c>
      <c r="F5" s="397" t="s">
        <v>1227</v>
      </c>
      <c r="G5" s="397" t="s">
        <v>870</v>
      </c>
      <c r="H5" s="397" t="s">
        <v>1227</v>
      </c>
      <c r="I5" s="397" t="s">
        <v>870</v>
      </c>
      <c r="J5" s="1086"/>
      <c r="K5" s="410"/>
      <c r="L5" s="410"/>
      <c r="M5" s="410"/>
    </row>
    <row r="6" spans="1:13" s="383" customFormat="1" ht="14.4">
      <c r="A6" s="398" t="s">
        <v>1228</v>
      </c>
      <c r="B6" s="399"/>
      <c r="C6" s="399"/>
      <c r="D6" s="399"/>
      <c r="E6" s="399"/>
      <c r="F6" s="399"/>
      <c r="G6" s="399"/>
      <c r="H6" s="399"/>
      <c r="I6" s="399"/>
      <c r="J6" s="402">
        <f>SUM(B6:I6)</f>
        <v>0</v>
      </c>
    </row>
    <row r="7" spans="1:13" s="383" customFormat="1" ht="14.4">
      <c r="A7" s="400" t="s">
        <v>1229</v>
      </c>
      <c r="B7" s="399"/>
      <c r="C7" s="399"/>
      <c r="D7" s="399"/>
      <c r="E7" s="399"/>
      <c r="F7" s="399"/>
      <c r="G7" s="401"/>
      <c r="H7" s="399"/>
      <c r="I7" s="399"/>
      <c r="J7" s="402">
        <f t="shared" ref="J7:J39" si="0">SUM(B7:I7)</f>
        <v>0</v>
      </c>
    </row>
    <row r="8" spans="1:13" s="383" customFormat="1" ht="14.4">
      <c r="A8" s="400" t="s">
        <v>1230</v>
      </c>
      <c r="B8" s="402">
        <f>SUM(B9:B11)</f>
        <v>0</v>
      </c>
      <c r="C8" s="402">
        <f t="shared" ref="C8:I8" si="1">SUM(C9:C11)</f>
        <v>0</v>
      </c>
      <c r="D8" s="402">
        <f t="shared" si="1"/>
        <v>0</v>
      </c>
      <c r="E8" s="402">
        <f t="shared" si="1"/>
        <v>0</v>
      </c>
      <c r="F8" s="402">
        <f t="shared" si="1"/>
        <v>0</v>
      </c>
      <c r="G8" s="402">
        <f t="shared" si="1"/>
        <v>0</v>
      </c>
      <c r="H8" s="402">
        <f t="shared" si="1"/>
        <v>0</v>
      </c>
      <c r="I8" s="402">
        <f t="shared" si="1"/>
        <v>0</v>
      </c>
      <c r="J8" s="402">
        <f t="shared" si="0"/>
        <v>0</v>
      </c>
    </row>
    <row r="9" spans="1:13" s="383" customFormat="1" ht="14.4">
      <c r="A9" s="400" t="s">
        <v>1231</v>
      </c>
      <c r="B9" s="399"/>
      <c r="C9" s="399"/>
      <c r="D9" s="399"/>
      <c r="E9" s="399"/>
      <c r="F9" s="399"/>
      <c r="G9" s="399"/>
      <c r="H9" s="399"/>
      <c r="I9" s="399"/>
      <c r="J9" s="402">
        <f t="shared" si="0"/>
        <v>0</v>
      </c>
    </row>
    <row r="10" spans="1:13" s="383" customFormat="1" ht="14.4">
      <c r="A10" s="400" t="s">
        <v>1232</v>
      </c>
      <c r="B10" s="399"/>
      <c r="C10" s="399"/>
      <c r="D10" s="399"/>
      <c r="E10" s="399"/>
      <c r="F10" s="399"/>
      <c r="G10" s="399"/>
      <c r="H10" s="399"/>
      <c r="I10" s="399"/>
      <c r="J10" s="402">
        <f t="shared" si="0"/>
        <v>0</v>
      </c>
    </row>
    <row r="11" spans="1:13" s="383" customFormat="1" ht="14.4">
      <c r="A11" s="400" t="s">
        <v>1233</v>
      </c>
      <c r="B11" s="399"/>
      <c r="C11" s="399"/>
      <c r="D11" s="399"/>
      <c r="E11" s="399"/>
      <c r="F11" s="399"/>
      <c r="G11" s="399"/>
      <c r="H11" s="399"/>
      <c r="I11" s="399"/>
      <c r="J11" s="402">
        <f t="shared" si="0"/>
        <v>0</v>
      </c>
    </row>
    <row r="12" spans="1:13" s="383" customFormat="1" ht="14.4">
      <c r="A12" s="400" t="s">
        <v>1234</v>
      </c>
      <c r="B12" s="399"/>
      <c r="C12" s="399"/>
      <c r="D12" s="399"/>
      <c r="E12" s="399"/>
      <c r="F12" s="399"/>
      <c r="G12" s="399"/>
      <c r="H12" s="399"/>
      <c r="I12" s="399"/>
      <c r="J12" s="402">
        <f t="shared" si="0"/>
        <v>0</v>
      </c>
    </row>
    <row r="13" spans="1:13" s="383" customFormat="1" ht="14.4">
      <c r="A13" s="400" t="s">
        <v>1235</v>
      </c>
      <c r="B13" s="399"/>
      <c r="C13" s="399"/>
      <c r="D13" s="399"/>
      <c r="E13" s="399"/>
      <c r="F13" s="399"/>
      <c r="G13" s="399"/>
      <c r="H13" s="399"/>
      <c r="I13" s="399"/>
      <c r="J13" s="402">
        <f t="shared" si="0"/>
        <v>0</v>
      </c>
    </row>
    <row r="14" spans="1:13" s="383" customFormat="1" ht="14.4">
      <c r="A14" s="400" t="s">
        <v>1236</v>
      </c>
      <c r="B14" s="399"/>
      <c r="C14" s="399"/>
      <c r="D14" s="399"/>
      <c r="E14" s="399"/>
      <c r="F14" s="399"/>
      <c r="G14" s="399"/>
      <c r="H14" s="399"/>
      <c r="I14" s="399"/>
      <c r="J14" s="402">
        <f t="shared" si="0"/>
        <v>0</v>
      </c>
    </row>
    <row r="15" spans="1:13" s="383" customFormat="1" ht="13.8">
      <c r="A15" s="400" t="s">
        <v>870</v>
      </c>
      <c r="B15" s="399"/>
      <c r="C15" s="399"/>
      <c r="D15" s="399"/>
      <c r="E15" s="399"/>
      <c r="F15" s="399"/>
      <c r="G15" s="399"/>
      <c r="H15" s="399"/>
      <c r="I15" s="399"/>
      <c r="J15" s="402">
        <f t="shared" si="0"/>
        <v>0</v>
      </c>
    </row>
    <row r="16" spans="1:13" s="383" customFormat="1" ht="14.4">
      <c r="A16" s="400" t="s">
        <v>1237</v>
      </c>
      <c r="B16" s="399"/>
      <c r="C16" s="399"/>
      <c r="D16" s="399"/>
      <c r="E16" s="399"/>
      <c r="F16" s="399"/>
      <c r="G16" s="399"/>
      <c r="H16" s="399"/>
      <c r="I16" s="399"/>
      <c r="J16" s="402">
        <f t="shared" si="0"/>
        <v>0</v>
      </c>
    </row>
    <row r="17" spans="1:10" s="392" customFormat="1" ht="14.4">
      <c r="A17" s="398" t="s">
        <v>1238</v>
      </c>
      <c r="B17" s="399"/>
      <c r="C17" s="399"/>
      <c r="D17" s="399"/>
      <c r="E17" s="399"/>
      <c r="F17" s="399"/>
      <c r="G17" s="399"/>
      <c r="H17" s="399"/>
      <c r="I17" s="399"/>
      <c r="J17" s="402">
        <f t="shared" si="0"/>
        <v>0</v>
      </c>
    </row>
    <row r="18" spans="1:10" s="392" customFormat="1" ht="14.4">
      <c r="A18" s="400" t="s">
        <v>1229</v>
      </c>
      <c r="B18" s="399"/>
      <c r="C18" s="399"/>
      <c r="D18" s="399"/>
      <c r="E18" s="399"/>
      <c r="F18" s="399"/>
      <c r="G18" s="399"/>
      <c r="H18" s="399"/>
      <c r="I18" s="399"/>
      <c r="J18" s="402">
        <f t="shared" si="0"/>
        <v>0</v>
      </c>
    </row>
    <row r="19" spans="1:10" s="392" customFormat="1" ht="14.4">
      <c r="A19" s="400" t="s">
        <v>1230</v>
      </c>
      <c r="B19" s="399"/>
      <c r="C19" s="399"/>
      <c r="D19" s="399"/>
      <c r="E19" s="399"/>
      <c r="F19" s="399"/>
      <c r="G19" s="399"/>
      <c r="H19" s="399"/>
      <c r="I19" s="399"/>
      <c r="J19" s="402">
        <f t="shared" si="0"/>
        <v>0</v>
      </c>
    </row>
    <row r="20" spans="1:10" s="392" customFormat="1" ht="14.4">
      <c r="A20" s="400" t="s">
        <v>1239</v>
      </c>
      <c r="B20" s="399"/>
      <c r="C20" s="399"/>
      <c r="D20" s="399"/>
      <c r="E20" s="399"/>
      <c r="F20" s="399"/>
      <c r="G20" s="399"/>
      <c r="H20" s="399"/>
      <c r="I20" s="399"/>
      <c r="J20" s="402">
        <f t="shared" si="0"/>
        <v>0</v>
      </c>
    </row>
    <row r="21" spans="1:10" s="392" customFormat="1" ht="14.4">
      <c r="A21" s="400" t="s">
        <v>1240</v>
      </c>
      <c r="B21" s="399"/>
      <c r="C21" s="399"/>
      <c r="D21" s="399"/>
      <c r="E21" s="399"/>
      <c r="F21" s="399"/>
      <c r="G21" s="399"/>
      <c r="H21" s="399"/>
      <c r="I21" s="399"/>
      <c r="J21" s="402">
        <f t="shared" si="0"/>
        <v>0</v>
      </c>
    </row>
    <row r="22" spans="1:10" s="392" customFormat="1" ht="14.4">
      <c r="A22" s="400" t="s">
        <v>1234</v>
      </c>
      <c r="B22" s="399"/>
      <c r="C22" s="399"/>
      <c r="D22" s="399"/>
      <c r="E22" s="399"/>
      <c r="F22" s="399"/>
      <c r="G22" s="399"/>
      <c r="H22" s="399"/>
      <c r="I22" s="399"/>
      <c r="J22" s="402">
        <f t="shared" si="0"/>
        <v>0</v>
      </c>
    </row>
    <row r="23" spans="1:10" s="392" customFormat="1" ht="14.4">
      <c r="A23" s="400" t="s">
        <v>1235</v>
      </c>
      <c r="B23" s="399"/>
      <c r="C23" s="399"/>
      <c r="D23" s="399"/>
      <c r="E23" s="399"/>
      <c r="F23" s="399"/>
      <c r="G23" s="399"/>
      <c r="H23" s="399"/>
      <c r="I23" s="399"/>
      <c r="J23" s="402">
        <f t="shared" si="0"/>
        <v>0</v>
      </c>
    </row>
    <row r="24" spans="1:10" s="392" customFormat="1" ht="14.4">
      <c r="A24" s="400" t="s">
        <v>1236</v>
      </c>
      <c r="B24" s="399"/>
      <c r="C24" s="399"/>
      <c r="D24" s="399"/>
      <c r="E24" s="399"/>
      <c r="F24" s="399"/>
      <c r="G24" s="399"/>
      <c r="H24" s="399"/>
      <c r="I24" s="399"/>
      <c r="J24" s="402">
        <f t="shared" si="0"/>
        <v>0</v>
      </c>
    </row>
    <row r="25" spans="1:10" s="392" customFormat="1" ht="13.8">
      <c r="A25" s="400" t="s">
        <v>870</v>
      </c>
      <c r="B25" s="399"/>
      <c r="C25" s="399"/>
      <c r="D25" s="399"/>
      <c r="E25" s="399"/>
      <c r="F25" s="399"/>
      <c r="G25" s="399"/>
      <c r="H25" s="399"/>
      <c r="I25" s="399"/>
      <c r="J25" s="402">
        <f t="shared" si="0"/>
        <v>0</v>
      </c>
    </row>
    <row r="26" spans="1:10" s="392" customFormat="1" ht="14.4">
      <c r="A26" s="400" t="s">
        <v>1241</v>
      </c>
      <c r="B26" s="399"/>
      <c r="C26" s="399"/>
      <c r="D26" s="399"/>
      <c r="E26" s="399"/>
      <c r="F26" s="399"/>
      <c r="G26" s="399"/>
      <c r="H26" s="399"/>
      <c r="I26" s="399"/>
      <c r="J26" s="402">
        <f t="shared" si="0"/>
        <v>0</v>
      </c>
    </row>
    <row r="27" spans="1:10" s="392" customFormat="1" ht="14.4">
      <c r="A27" s="398" t="s">
        <v>1242</v>
      </c>
      <c r="B27" s="399"/>
      <c r="C27" s="399"/>
      <c r="D27" s="399"/>
      <c r="E27" s="399"/>
      <c r="F27" s="399"/>
      <c r="G27" s="399"/>
      <c r="H27" s="399"/>
      <c r="I27" s="399"/>
      <c r="J27" s="402">
        <f t="shared" si="0"/>
        <v>0</v>
      </c>
    </row>
    <row r="28" spans="1:10" s="392" customFormat="1" ht="14.4">
      <c r="A28" s="400" t="s">
        <v>1229</v>
      </c>
      <c r="B28" s="399"/>
      <c r="C28" s="399"/>
      <c r="D28" s="399"/>
      <c r="E28" s="399"/>
      <c r="F28" s="399"/>
      <c r="G28" s="399"/>
      <c r="H28" s="399"/>
      <c r="I28" s="399"/>
      <c r="J28" s="402">
        <f t="shared" si="0"/>
        <v>0</v>
      </c>
    </row>
    <row r="29" spans="1:10" s="392" customFormat="1" ht="14.4">
      <c r="A29" s="400" t="s">
        <v>1230</v>
      </c>
      <c r="B29" s="399"/>
      <c r="C29" s="399"/>
      <c r="D29" s="399"/>
      <c r="E29" s="399"/>
      <c r="F29" s="399"/>
      <c r="G29" s="399"/>
      <c r="H29" s="399"/>
      <c r="I29" s="399"/>
      <c r="J29" s="402">
        <f t="shared" si="0"/>
        <v>0</v>
      </c>
    </row>
    <row r="30" spans="1:10" s="392" customFormat="1" ht="14.4">
      <c r="A30" s="400" t="s">
        <v>1239</v>
      </c>
      <c r="B30" s="399"/>
      <c r="C30" s="399"/>
      <c r="D30" s="399"/>
      <c r="E30" s="399"/>
      <c r="F30" s="399"/>
      <c r="G30" s="399"/>
      <c r="H30" s="399"/>
      <c r="I30" s="399"/>
      <c r="J30" s="402">
        <f t="shared" si="0"/>
        <v>0</v>
      </c>
    </row>
    <row r="31" spans="1:10" s="392" customFormat="1" ht="14.4">
      <c r="A31" s="400" t="s">
        <v>1240</v>
      </c>
      <c r="B31" s="399"/>
      <c r="C31" s="399"/>
      <c r="D31" s="399"/>
      <c r="E31" s="399"/>
      <c r="F31" s="399"/>
      <c r="G31" s="399"/>
      <c r="H31" s="399"/>
      <c r="I31" s="399"/>
      <c r="J31" s="402">
        <f t="shared" si="0"/>
        <v>0</v>
      </c>
    </row>
    <row r="32" spans="1:10" s="392" customFormat="1" ht="14.4">
      <c r="A32" s="400" t="s">
        <v>1234</v>
      </c>
      <c r="B32" s="399"/>
      <c r="C32" s="399"/>
      <c r="D32" s="399"/>
      <c r="E32" s="399"/>
      <c r="F32" s="399"/>
      <c r="G32" s="399"/>
      <c r="H32" s="399"/>
      <c r="I32" s="399"/>
      <c r="J32" s="402">
        <f t="shared" si="0"/>
        <v>0</v>
      </c>
    </row>
    <row r="33" spans="1:10" s="392" customFormat="1" ht="14.4">
      <c r="A33" s="400" t="s">
        <v>1235</v>
      </c>
      <c r="B33" s="399"/>
      <c r="C33" s="399"/>
      <c r="D33" s="399"/>
      <c r="E33" s="399"/>
      <c r="F33" s="399"/>
      <c r="G33" s="399"/>
      <c r="H33" s="399"/>
      <c r="I33" s="399"/>
      <c r="J33" s="402">
        <f t="shared" si="0"/>
        <v>0</v>
      </c>
    </row>
    <row r="34" spans="1:10" s="392" customFormat="1" ht="14.4">
      <c r="A34" s="400" t="s">
        <v>1236</v>
      </c>
      <c r="B34" s="399"/>
      <c r="C34" s="399"/>
      <c r="D34" s="399"/>
      <c r="E34" s="399"/>
      <c r="F34" s="399"/>
      <c r="G34" s="399"/>
      <c r="H34" s="399"/>
      <c r="I34" s="399"/>
      <c r="J34" s="402">
        <f t="shared" si="0"/>
        <v>0</v>
      </c>
    </row>
    <row r="35" spans="1:10" s="392" customFormat="1" ht="13.8">
      <c r="A35" s="400" t="s">
        <v>870</v>
      </c>
      <c r="B35" s="399"/>
      <c r="C35" s="399"/>
      <c r="D35" s="399"/>
      <c r="E35" s="399"/>
      <c r="F35" s="399"/>
      <c r="G35" s="399"/>
      <c r="H35" s="399"/>
      <c r="I35" s="399"/>
      <c r="J35" s="402">
        <f t="shared" si="0"/>
        <v>0</v>
      </c>
    </row>
    <row r="36" spans="1:10" s="392" customFormat="1" ht="14.4">
      <c r="A36" s="400" t="s">
        <v>1241</v>
      </c>
      <c r="B36" s="399"/>
      <c r="C36" s="399"/>
      <c r="D36" s="399"/>
      <c r="E36" s="399"/>
      <c r="F36" s="399"/>
      <c r="G36" s="399"/>
      <c r="H36" s="399"/>
      <c r="I36" s="399"/>
      <c r="J36" s="402">
        <f t="shared" si="0"/>
        <v>0</v>
      </c>
    </row>
    <row r="37" spans="1:10" s="392" customFormat="1" ht="14.4">
      <c r="A37" s="398" t="s">
        <v>1243</v>
      </c>
      <c r="B37" s="399"/>
      <c r="C37" s="399"/>
      <c r="D37" s="399"/>
      <c r="E37" s="399"/>
      <c r="F37" s="399"/>
      <c r="G37" s="399"/>
      <c r="H37" s="399"/>
      <c r="I37" s="399"/>
      <c r="J37" s="402">
        <f t="shared" si="0"/>
        <v>0</v>
      </c>
    </row>
    <row r="38" spans="1:10" s="392" customFormat="1" ht="14.4">
      <c r="A38" s="400" t="s">
        <v>1244</v>
      </c>
      <c r="B38" s="399"/>
      <c r="C38" s="399"/>
      <c r="D38" s="399"/>
      <c r="E38" s="399"/>
      <c r="F38" s="399"/>
      <c r="G38" s="399"/>
      <c r="H38" s="399"/>
      <c r="I38" s="399"/>
      <c r="J38" s="402">
        <f t="shared" si="0"/>
        <v>0</v>
      </c>
    </row>
    <row r="39" spans="1:10" s="392" customFormat="1" ht="14.4">
      <c r="A39" s="400" t="s">
        <v>1245</v>
      </c>
      <c r="B39" s="399"/>
      <c r="C39" s="399"/>
      <c r="D39" s="399"/>
      <c r="E39" s="399"/>
      <c r="F39" s="399"/>
      <c r="G39" s="399"/>
      <c r="H39" s="399"/>
      <c r="I39" s="399"/>
      <c r="J39" s="402">
        <f t="shared" si="0"/>
        <v>0</v>
      </c>
    </row>
    <row r="40" spans="1:10" s="392" customFormat="1" ht="14.4">
      <c r="A40" s="371" t="s">
        <v>1246</v>
      </c>
      <c r="B40" s="403"/>
      <c r="C40" s="399"/>
      <c r="D40" s="399"/>
      <c r="E40" s="399"/>
      <c r="F40" s="399"/>
      <c r="G40" s="399"/>
      <c r="H40" s="399"/>
      <c r="I40" s="399"/>
      <c r="J40" s="411"/>
    </row>
    <row r="41" spans="1:10" s="392" customFormat="1" ht="13.8">
      <c r="A41" s="313"/>
      <c r="B41" s="404"/>
      <c r="C41" s="405"/>
      <c r="D41" s="405"/>
      <c r="E41" s="405"/>
      <c r="F41" s="405"/>
      <c r="G41" s="405"/>
      <c r="H41" s="405"/>
      <c r="I41" s="405"/>
      <c r="J41" s="412">
        <f>J38-J40</f>
        <v>0</v>
      </c>
    </row>
    <row r="42" spans="1:10" s="392" customFormat="1" ht="13.8">
      <c r="A42" s="406"/>
      <c r="C42" s="407"/>
      <c r="D42" s="407"/>
      <c r="E42" s="407"/>
      <c r="F42" s="407"/>
      <c r="G42" s="407"/>
      <c r="H42" s="407"/>
      <c r="I42" s="407"/>
      <c r="J42" s="406" t="str">
        <f>IF(J41=0,"OK","NO")</f>
        <v>OK</v>
      </c>
    </row>
    <row r="43" spans="1:10" s="392" customFormat="1" ht="13.8">
      <c r="A43" s="5"/>
      <c r="B43" s="5"/>
      <c r="C43" s="5"/>
      <c r="D43" s="5"/>
      <c r="E43" s="5"/>
      <c r="F43" s="5"/>
      <c r="G43" s="5"/>
      <c r="H43" s="5"/>
      <c r="I43" s="5"/>
      <c r="J43" s="5"/>
    </row>
    <row r="44" spans="1:10" s="392" customFormat="1" ht="14.4">
      <c r="A44" s="250" t="s">
        <v>1247</v>
      </c>
      <c r="B44" s="5"/>
      <c r="C44" s="5"/>
      <c r="D44" s="5"/>
      <c r="E44" s="5"/>
      <c r="F44" s="5"/>
      <c r="G44" s="5"/>
      <c r="H44" s="5"/>
      <c r="I44" s="5"/>
      <c r="J44" s="5"/>
    </row>
    <row r="45" spans="1:10" s="392" customFormat="1" ht="13.8">
      <c r="A45" s="1087" t="s">
        <v>1221</v>
      </c>
      <c r="B45" s="1087" t="s">
        <v>1222</v>
      </c>
      <c r="C45" s="1087"/>
      <c r="D45" s="1087" t="s">
        <v>1223</v>
      </c>
      <c r="E45" s="1087"/>
      <c r="F45" s="1087" t="s">
        <v>1224</v>
      </c>
      <c r="G45" s="1087"/>
      <c r="H45" s="1087" t="s">
        <v>1225</v>
      </c>
      <c r="I45" s="1087"/>
      <c r="J45" s="1087" t="s">
        <v>1226</v>
      </c>
    </row>
    <row r="46" spans="1:10" s="392" customFormat="1" ht="14.4">
      <c r="A46" s="1087"/>
      <c r="B46" s="408" t="s">
        <v>1227</v>
      </c>
      <c r="C46" s="408" t="s">
        <v>870</v>
      </c>
      <c r="D46" s="408" t="s">
        <v>1227</v>
      </c>
      <c r="E46" s="408" t="s">
        <v>870</v>
      </c>
      <c r="F46" s="408" t="s">
        <v>1227</v>
      </c>
      <c r="G46" s="408" t="s">
        <v>870</v>
      </c>
      <c r="H46" s="408" t="s">
        <v>1227</v>
      </c>
      <c r="I46" s="408" t="s">
        <v>870</v>
      </c>
      <c r="J46" s="1087"/>
    </row>
    <row r="47" spans="1:10" s="392" customFormat="1" ht="14.4">
      <c r="A47" s="398" t="s">
        <v>1248</v>
      </c>
      <c r="B47" s="399"/>
      <c r="C47" s="399"/>
      <c r="D47" s="399"/>
      <c r="E47" s="399"/>
      <c r="F47" s="399"/>
      <c r="G47" s="399"/>
      <c r="H47" s="399"/>
      <c r="I47" s="399"/>
      <c r="J47" s="399"/>
    </row>
    <row r="48" spans="1:10" s="392" customFormat="1" ht="14.4">
      <c r="A48" s="398" t="s">
        <v>1249</v>
      </c>
      <c r="B48" s="399"/>
      <c r="C48" s="399"/>
      <c r="D48" s="399"/>
      <c r="E48" s="399"/>
      <c r="F48" s="399"/>
      <c r="G48" s="399"/>
      <c r="H48" s="399"/>
      <c r="I48" s="399"/>
      <c r="J48" s="399"/>
    </row>
    <row r="49" spans="1:10" s="392" customFormat="1" ht="14.4">
      <c r="A49" s="400" t="s">
        <v>1250</v>
      </c>
      <c r="B49" s="399"/>
      <c r="C49" s="399"/>
      <c r="D49" s="399"/>
      <c r="E49" s="399"/>
      <c r="F49" s="399"/>
      <c r="G49" s="399"/>
      <c r="H49" s="399"/>
      <c r="I49" s="399"/>
      <c r="J49" s="399"/>
    </row>
    <row r="50" spans="1:10" s="392" customFormat="1" ht="14.4">
      <c r="A50" s="400" t="s">
        <v>1251</v>
      </c>
      <c r="B50" s="399"/>
      <c r="C50" s="399"/>
      <c r="D50" s="399"/>
      <c r="E50" s="399"/>
      <c r="F50" s="399"/>
      <c r="G50" s="399"/>
      <c r="H50" s="399"/>
      <c r="I50" s="399"/>
      <c r="J50" s="399"/>
    </row>
    <row r="51" spans="1:10" s="392" customFormat="1" ht="14.4">
      <c r="A51" s="400" t="s">
        <v>1252</v>
      </c>
      <c r="B51" s="399"/>
      <c r="C51" s="399"/>
      <c r="D51" s="399"/>
      <c r="E51" s="399"/>
      <c r="F51" s="399"/>
      <c r="G51" s="399"/>
      <c r="H51" s="399"/>
      <c r="I51" s="399"/>
      <c r="J51" s="399"/>
    </row>
    <row r="52" spans="1:10" s="392" customFormat="1" ht="14.4">
      <c r="A52" s="400" t="s">
        <v>1253</v>
      </c>
      <c r="B52" s="399"/>
      <c r="C52" s="399"/>
      <c r="D52" s="399"/>
      <c r="E52" s="399"/>
      <c r="F52" s="399"/>
      <c r="G52" s="399"/>
      <c r="H52" s="399"/>
      <c r="I52" s="399"/>
      <c r="J52" s="399"/>
    </row>
    <row r="53" spans="1:10" s="392" customFormat="1" ht="14.4">
      <c r="A53" s="400" t="s">
        <v>1254</v>
      </c>
      <c r="B53" s="399"/>
      <c r="C53" s="399"/>
      <c r="D53" s="399"/>
      <c r="E53" s="399"/>
      <c r="F53" s="399"/>
      <c r="G53" s="399"/>
      <c r="H53" s="399"/>
      <c r="I53" s="399"/>
      <c r="J53" s="399"/>
    </row>
    <row r="54" spans="1:10" s="392" customFormat="1" ht="14.4">
      <c r="A54" s="400" t="s">
        <v>1255</v>
      </c>
      <c r="B54" s="399"/>
      <c r="C54" s="399"/>
      <c r="D54" s="399"/>
      <c r="E54" s="399"/>
      <c r="F54" s="399"/>
      <c r="G54" s="399"/>
      <c r="H54" s="399"/>
      <c r="I54" s="399"/>
      <c r="J54" s="399"/>
    </row>
    <row r="55" spans="1:10" s="392" customFormat="1" ht="13.8">
      <c r="A55" s="400" t="s">
        <v>870</v>
      </c>
      <c r="B55" s="399"/>
      <c r="C55" s="399"/>
      <c r="D55" s="399"/>
      <c r="E55" s="399"/>
      <c r="F55" s="399"/>
      <c r="G55" s="399"/>
      <c r="H55" s="399"/>
      <c r="I55" s="399"/>
      <c r="J55" s="399"/>
    </row>
    <row r="56" spans="1:10" s="392" customFormat="1" ht="14.4">
      <c r="A56" s="398" t="s">
        <v>1256</v>
      </c>
      <c r="B56" s="399"/>
      <c r="C56" s="399"/>
      <c r="D56" s="399"/>
      <c r="E56" s="399"/>
      <c r="F56" s="399"/>
      <c r="G56" s="399"/>
      <c r="H56" s="399"/>
      <c r="I56" s="399"/>
      <c r="J56" s="399"/>
    </row>
    <row r="57" spans="1:10" s="392" customFormat="1" ht="14.4">
      <c r="A57" s="371" t="s">
        <v>1246</v>
      </c>
      <c r="B57" s="403"/>
      <c r="C57" s="399"/>
      <c r="D57" s="399"/>
      <c r="E57" s="399"/>
      <c r="F57" s="399"/>
      <c r="G57" s="399"/>
      <c r="H57" s="399"/>
      <c r="I57" s="399"/>
      <c r="J57" s="411"/>
    </row>
    <row r="58" spans="1:10" s="392" customFormat="1" ht="13.8">
      <c r="A58" s="313"/>
      <c r="B58" s="404"/>
      <c r="C58" s="405"/>
      <c r="D58" s="405"/>
      <c r="E58" s="405"/>
      <c r="F58" s="405"/>
      <c r="G58" s="405"/>
      <c r="H58" s="405"/>
      <c r="I58" s="405"/>
      <c r="J58" s="412">
        <f>J55-J57</f>
        <v>0</v>
      </c>
    </row>
    <row r="59" spans="1:10" s="392" customFormat="1" ht="13.8">
      <c r="A59" s="406"/>
      <c r="C59" s="407"/>
      <c r="D59" s="407"/>
      <c r="E59" s="407"/>
      <c r="F59" s="407"/>
      <c r="G59" s="407"/>
      <c r="H59" s="407"/>
      <c r="I59" s="407"/>
      <c r="J59" s="406" t="str">
        <f>IF(J58=0,"OK","NO")</f>
        <v>OK</v>
      </c>
    </row>
    <row r="60" spans="1:10" s="392" customFormat="1" ht="15.6">
      <c r="A60" s="18"/>
      <c r="B60" s="18"/>
      <c r="C60" s="18"/>
      <c r="D60" s="18"/>
      <c r="E60" s="18"/>
      <c r="F60" s="18"/>
      <c r="G60" s="18"/>
      <c r="H60" s="18"/>
      <c r="I60" s="18"/>
      <c r="J60" s="18"/>
    </row>
    <row r="61" spans="1:10" s="392" customFormat="1" ht="15.6">
      <c r="A61" s="409" t="s">
        <v>1257</v>
      </c>
      <c r="B61" s="18"/>
      <c r="C61" s="18"/>
      <c r="D61" s="18"/>
      <c r="E61" s="18"/>
      <c r="F61" s="18"/>
      <c r="G61" s="18"/>
      <c r="H61" s="18"/>
      <c r="I61" s="18"/>
      <c r="J61" s="18"/>
    </row>
    <row r="62" spans="1:10" s="392" customFormat="1" ht="15.6">
      <c r="A62" s="18"/>
      <c r="B62" s="18"/>
      <c r="C62" s="18"/>
      <c r="D62" s="18"/>
      <c r="E62" s="18"/>
      <c r="F62" s="18"/>
      <c r="G62" s="18"/>
      <c r="H62" s="18"/>
      <c r="I62" s="18"/>
      <c r="J62" s="18"/>
    </row>
    <row r="63" spans="1:10" s="392" customFormat="1" ht="15.6">
      <c r="A63" s="18"/>
      <c r="B63" s="18"/>
      <c r="C63" s="18"/>
      <c r="D63" s="18"/>
      <c r="E63" s="18"/>
      <c r="F63" s="18"/>
      <c r="G63" s="18"/>
      <c r="H63" s="18"/>
      <c r="I63" s="18"/>
      <c r="J63" s="18"/>
    </row>
    <row r="64" spans="1:10" s="392" customFormat="1" ht="15.6">
      <c r="A64" s="18"/>
      <c r="B64" s="18"/>
      <c r="C64" s="18"/>
      <c r="D64" s="18"/>
      <c r="E64" s="18"/>
      <c r="F64" s="18"/>
      <c r="G64" s="18"/>
      <c r="H64" s="18"/>
      <c r="I64" s="18"/>
      <c r="J64" s="18"/>
    </row>
    <row r="65" spans="1:10" s="392" customFormat="1" ht="15.6">
      <c r="A65" s="18"/>
      <c r="B65" s="18"/>
      <c r="C65" s="18"/>
      <c r="D65" s="18"/>
      <c r="E65" s="18"/>
      <c r="F65" s="18"/>
      <c r="G65" s="18"/>
      <c r="H65" s="18"/>
      <c r="I65" s="18"/>
      <c r="J65" s="18"/>
    </row>
    <row r="66" spans="1:10" s="392" customFormat="1" ht="15.6">
      <c r="A66" s="18"/>
      <c r="B66" s="18"/>
      <c r="C66" s="18"/>
      <c r="D66" s="18"/>
      <c r="E66" s="18"/>
      <c r="F66" s="18"/>
      <c r="G66" s="18"/>
      <c r="H66" s="18"/>
      <c r="I66" s="18"/>
      <c r="J66" s="18"/>
    </row>
    <row r="67" spans="1:10" s="392" customFormat="1" ht="15.6">
      <c r="A67" s="18"/>
      <c r="B67" s="18"/>
      <c r="C67" s="18"/>
      <c r="D67" s="18"/>
      <c r="E67" s="18"/>
      <c r="F67" s="18"/>
      <c r="G67" s="18"/>
      <c r="H67" s="18"/>
      <c r="I67" s="18"/>
      <c r="J67" s="18"/>
    </row>
    <row r="68" spans="1:10" s="392" customFormat="1" ht="15.6">
      <c r="A68" s="18"/>
      <c r="B68" s="18"/>
      <c r="C68" s="18"/>
      <c r="D68" s="18"/>
      <c r="E68" s="18"/>
      <c r="F68" s="18"/>
      <c r="G68" s="18"/>
      <c r="H68" s="18"/>
      <c r="I68" s="18"/>
      <c r="J68" s="18"/>
    </row>
    <row r="69" spans="1:10" s="392" customFormat="1" ht="15.6">
      <c r="A69" s="18"/>
      <c r="B69" s="18"/>
      <c r="C69" s="18"/>
      <c r="D69" s="18"/>
      <c r="E69" s="18"/>
      <c r="F69" s="18"/>
      <c r="G69" s="18"/>
      <c r="H69" s="18"/>
      <c r="I69" s="18"/>
      <c r="J69" s="18"/>
    </row>
    <row r="70" spans="1:10" s="392" customFormat="1" ht="13.8"/>
    <row r="71" spans="1:10" s="392" customFormat="1" ht="13.8"/>
    <row r="72" spans="1:10" s="392" customFormat="1" ht="13.8"/>
    <row r="73" spans="1:10" s="392" customFormat="1" ht="13.8"/>
    <row r="74" spans="1:10" s="392" customFormat="1" ht="13.8"/>
    <row r="75" spans="1:10" s="392" customFormat="1" ht="13.8"/>
    <row r="76" spans="1:10" s="392" customFormat="1" ht="13.8"/>
    <row r="77" spans="1:10" s="392" customFormat="1" ht="13.8"/>
    <row r="78" spans="1:10" s="392" customFormat="1" ht="13.8"/>
    <row r="79" spans="1:10" s="392" customFormat="1" ht="13.8"/>
    <row r="80" spans="1:10" s="392" customFormat="1" ht="13.8"/>
  </sheetData>
  <mergeCells count="12">
    <mergeCell ref="A4:A5"/>
    <mergeCell ref="A45:A46"/>
    <mergeCell ref="J4:J5"/>
    <mergeCell ref="J45:J46"/>
    <mergeCell ref="B4:C4"/>
    <mergeCell ref="D4:E4"/>
    <mergeCell ref="F4:G4"/>
    <mergeCell ref="H4:I4"/>
    <mergeCell ref="B45:C45"/>
    <mergeCell ref="D45:E45"/>
    <mergeCell ref="F45:G45"/>
    <mergeCell ref="H45:I45"/>
  </mergeCells>
  <phoneticPr fontId="78" type="noConversion"/>
  <hyperlinks>
    <hyperlink ref="I1" location="目录!A1" display="BACK"/>
  </hyperlinks>
  <pageMargins left="0.70763888888888904" right="0.70763888888888904" top="0.74791666666666701" bottom="0.74791666666666701" header="0.31388888888888899" footer="0.31388888888888899"/>
  <pageSetup paperSize="9" scale="64" orientation="landscape" blackAndWhite="1" horizontalDpi="1200" verticalDpi="1200" r:id="rId1"/>
  <rowBreaks count="1" manualBreakCount="1">
    <brk id="42" max="9" man="1"/>
  </rowBreaks>
  <colBreaks count="1" manualBreakCount="1">
    <brk id="10" max="60"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workbookViewId="0">
      <selection activeCell="E1" sqref="E1"/>
    </sheetView>
  </sheetViews>
  <sheetFormatPr defaultColWidth="9" defaultRowHeight="13.8"/>
  <cols>
    <col min="1" max="1" width="20.69921875" style="5" customWidth="1"/>
    <col min="2" max="2" width="27.19921875" style="5" customWidth="1"/>
    <col min="3" max="6" width="15.69921875" style="5" customWidth="1"/>
    <col min="7" max="7" width="19.8984375" style="110" customWidth="1"/>
    <col min="8" max="11" width="9" style="110"/>
    <col min="12" max="16384" width="9" style="5"/>
  </cols>
  <sheetData>
    <row r="1" spans="1:11" ht="20.100000000000001" customHeight="1">
      <c r="A1" s="48" t="s">
        <v>145</v>
      </c>
      <c r="B1" s="49">
        <f>基础信息!B6</f>
        <v>0</v>
      </c>
      <c r="C1" s="122"/>
      <c r="D1" s="122"/>
      <c r="E1" s="900" t="s">
        <v>146</v>
      </c>
      <c r="F1" s="122"/>
    </row>
    <row r="2" spans="1:11" ht="20.100000000000001" customHeight="1">
      <c r="A2" s="48" t="s">
        <v>147</v>
      </c>
      <c r="B2" s="49">
        <f>基础信息!B9</f>
        <v>0</v>
      </c>
      <c r="C2" s="122"/>
      <c r="D2" s="122"/>
      <c r="E2" s="122"/>
      <c r="F2" s="122"/>
    </row>
    <row r="3" spans="1:11" ht="20.100000000000001" customHeight="1">
      <c r="A3" s="91" t="s">
        <v>148</v>
      </c>
      <c r="B3" s="307" t="s">
        <v>2306</v>
      </c>
      <c r="C3" s="122"/>
      <c r="D3" s="122"/>
      <c r="E3" s="122"/>
      <c r="F3" s="122"/>
    </row>
    <row r="4" spans="1:11" ht="20.100000000000001" customHeight="1">
      <c r="F4" s="110"/>
      <c r="K4" s="5"/>
    </row>
    <row r="5" spans="1:11" ht="20.100000000000001" customHeight="1">
      <c r="F5" s="110"/>
      <c r="K5" s="5"/>
    </row>
    <row r="6" spans="1:11" ht="20.100000000000001" customHeight="1">
      <c r="F6" s="110"/>
      <c r="K6" s="5"/>
    </row>
    <row r="7" spans="1:11" ht="20.100000000000001" customHeight="1">
      <c r="F7" s="110"/>
      <c r="K7" s="5"/>
    </row>
    <row r="8" spans="1:11" ht="20.100000000000001" customHeight="1">
      <c r="F8" s="110"/>
      <c r="K8" s="5"/>
    </row>
    <row r="9" spans="1:11" ht="20.100000000000001" customHeight="1">
      <c r="F9" s="110"/>
      <c r="K9" s="5"/>
    </row>
    <row r="10" spans="1:11" ht="20.100000000000001" customHeight="1">
      <c r="F10" s="110"/>
      <c r="K10" s="5"/>
    </row>
    <row r="11" spans="1:11" ht="20.100000000000001" customHeight="1">
      <c r="F11" s="110"/>
      <c r="K11" s="5"/>
    </row>
    <row r="12" spans="1:11" ht="20.100000000000001" customHeight="1">
      <c r="F12" s="110"/>
      <c r="K12" s="5"/>
    </row>
    <row r="13" spans="1:11" ht="20.100000000000001" customHeight="1">
      <c r="F13" s="110"/>
      <c r="K13" s="5"/>
    </row>
    <row r="14" spans="1:11" ht="20.100000000000001" customHeight="1">
      <c r="F14" s="110"/>
      <c r="K14" s="5"/>
    </row>
    <row r="15" spans="1:11" ht="20.100000000000001" customHeight="1">
      <c r="F15" s="110"/>
      <c r="K15" s="5"/>
    </row>
    <row r="16" spans="1:11" ht="20.100000000000001" customHeight="1">
      <c r="F16" s="110"/>
      <c r="K16" s="5"/>
    </row>
    <row r="17" spans="6:11" ht="20.100000000000001" customHeight="1">
      <c r="F17" s="110"/>
      <c r="K17" s="5"/>
    </row>
    <row r="18" spans="6:11" ht="20.100000000000001" customHeight="1">
      <c r="F18" s="110"/>
      <c r="K18" s="5"/>
    </row>
    <row r="19" spans="6:11" ht="20.100000000000001" customHeight="1">
      <c r="F19" s="110"/>
      <c r="K19" s="5"/>
    </row>
    <row r="20" spans="6:11" ht="20.100000000000001" customHeight="1">
      <c r="F20" s="110"/>
      <c r="K20" s="5"/>
    </row>
    <row r="21" spans="6:11" ht="20.100000000000001" customHeight="1">
      <c r="F21" s="110"/>
      <c r="K21" s="5"/>
    </row>
    <row r="22" spans="6:11" ht="20.100000000000001" customHeight="1">
      <c r="F22" s="110"/>
      <c r="K22" s="5"/>
    </row>
    <row r="23" spans="6:11" ht="20.100000000000001" customHeight="1">
      <c r="F23" s="110"/>
      <c r="K23" s="5"/>
    </row>
    <row r="24" spans="6:11" ht="20.100000000000001" customHeight="1">
      <c r="F24" s="110"/>
      <c r="K24" s="5"/>
    </row>
    <row r="25" spans="6:11" ht="20.100000000000001" customHeight="1">
      <c r="F25" s="110"/>
      <c r="K25" s="5"/>
    </row>
    <row r="26" spans="6:11" ht="20.100000000000001" customHeight="1">
      <c r="F26" s="110"/>
      <c r="K26" s="5"/>
    </row>
    <row r="27" spans="6:11" ht="20.100000000000001" customHeight="1">
      <c r="F27" s="110"/>
      <c r="K27" s="5"/>
    </row>
    <row r="28" spans="6:11" ht="20.100000000000001" customHeight="1">
      <c r="F28" s="110"/>
      <c r="K28" s="5"/>
    </row>
    <row r="29" spans="6:11" ht="20.100000000000001" customHeight="1">
      <c r="F29" s="110"/>
      <c r="K29" s="5"/>
    </row>
    <row r="30" spans="6:11" ht="20.100000000000001" customHeight="1">
      <c r="F30" s="110"/>
      <c r="K30" s="5"/>
    </row>
    <row r="31" spans="6:11" ht="20.100000000000001" customHeight="1">
      <c r="F31" s="110"/>
      <c r="K31" s="5"/>
    </row>
    <row r="32" spans="6:11" ht="20.100000000000001" customHeight="1">
      <c r="F32" s="110"/>
      <c r="K32" s="5"/>
    </row>
    <row r="33" spans="6:11" ht="20.100000000000001" customHeight="1">
      <c r="F33" s="110"/>
      <c r="K33" s="5"/>
    </row>
    <row r="34" spans="6:11" ht="20.100000000000001" customHeight="1">
      <c r="F34" s="110"/>
      <c r="K34" s="5"/>
    </row>
    <row r="35" spans="6:11" ht="20.100000000000001" customHeight="1">
      <c r="F35" s="110"/>
      <c r="K35" s="5"/>
    </row>
    <row r="36" spans="6:11" ht="20.100000000000001" customHeight="1">
      <c r="F36" s="110"/>
      <c r="K36" s="5"/>
    </row>
    <row r="37" spans="6:11" ht="20.100000000000001" customHeight="1">
      <c r="F37" s="110"/>
      <c r="K37" s="5"/>
    </row>
    <row r="38" spans="6:11" ht="20.100000000000001" customHeight="1">
      <c r="F38" s="110"/>
      <c r="K38" s="5"/>
    </row>
    <row r="39" spans="6:11" ht="20.100000000000001" customHeight="1">
      <c r="F39" s="110"/>
      <c r="K39" s="5"/>
    </row>
    <row r="40" spans="6:11" ht="20.100000000000001" customHeight="1">
      <c r="F40" s="110"/>
      <c r="K40" s="5"/>
    </row>
    <row r="41" spans="6:11" ht="20.100000000000001" customHeight="1">
      <c r="F41" s="110"/>
      <c r="K41" s="5"/>
    </row>
    <row r="42" spans="6:11" ht="20.100000000000001" customHeight="1">
      <c r="F42" s="110"/>
      <c r="K42" s="5"/>
    </row>
    <row r="43" spans="6:11" ht="20.100000000000001" customHeight="1">
      <c r="F43" s="110"/>
      <c r="K43" s="5"/>
    </row>
    <row r="44" spans="6:11" ht="20.100000000000001" customHeight="1">
      <c r="F44" s="110"/>
      <c r="K44" s="5"/>
    </row>
    <row r="45" spans="6:11" ht="20.100000000000001" customHeight="1">
      <c r="F45" s="110"/>
      <c r="K45" s="5"/>
    </row>
    <row r="46" spans="6:11" ht="20.100000000000001" customHeight="1">
      <c r="F46" s="110"/>
      <c r="K46" s="5"/>
    </row>
    <row r="47" spans="6:11" ht="20.100000000000001" customHeight="1">
      <c r="F47" s="110"/>
      <c r="K47" s="5"/>
    </row>
    <row r="48" spans="6:11" ht="20.100000000000001" customHeight="1">
      <c r="F48" s="110"/>
      <c r="K48" s="5"/>
    </row>
    <row r="49" spans="6:11" ht="20.100000000000001" customHeight="1">
      <c r="F49" s="110"/>
      <c r="K49" s="5"/>
    </row>
    <row r="50" spans="6:11" ht="20.100000000000001" customHeight="1">
      <c r="F50" s="110"/>
      <c r="K50" s="5"/>
    </row>
    <row r="51" spans="6:11" ht="20.100000000000001" customHeight="1">
      <c r="F51" s="110"/>
      <c r="K51" s="5"/>
    </row>
    <row r="52" spans="6:11" ht="20.100000000000001" customHeight="1">
      <c r="F52" s="110"/>
      <c r="K52" s="5"/>
    </row>
    <row r="53" spans="6:11" ht="20.100000000000001" customHeight="1">
      <c r="F53" s="110"/>
      <c r="K53" s="5"/>
    </row>
    <row r="54" spans="6:11" ht="20.100000000000001" customHeight="1">
      <c r="F54" s="110"/>
      <c r="K54" s="5"/>
    </row>
    <row r="55" spans="6:11" ht="20.100000000000001" customHeight="1">
      <c r="F55" s="110"/>
      <c r="K55" s="5"/>
    </row>
    <row r="56" spans="6:11" ht="20.100000000000001" customHeight="1">
      <c r="F56" s="110"/>
      <c r="K56" s="5"/>
    </row>
  </sheetData>
  <phoneticPr fontId="78" type="noConversion"/>
  <hyperlinks>
    <hyperlink ref="E1" location="目录!A1" display="BACK"/>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56"/>
  <sheetViews>
    <sheetView workbookViewId="0">
      <selection activeCell="B9" sqref="B9"/>
    </sheetView>
  </sheetViews>
  <sheetFormatPr defaultColWidth="9" defaultRowHeight="13.8"/>
  <cols>
    <col min="1" max="1" width="20.69921875" style="5" customWidth="1"/>
    <col min="2" max="2" width="27.19921875" style="5" customWidth="1"/>
    <col min="3" max="6" width="15.69921875" style="5" customWidth="1"/>
    <col min="7" max="7" width="19.8984375" style="110" customWidth="1"/>
    <col min="8" max="11" width="9" style="110"/>
    <col min="12" max="16384" width="9" style="5"/>
  </cols>
  <sheetData>
    <row r="1" spans="1:11" ht="20.100000000000001" customHeight="1">
      <c r="A1" s="48" t="s">
        <v>145</v>
      </c>
      <c r="B1" s="49">
        <f>基础信息!B6</f>
        <v>0</v>
      </c>
      <c r="C1" s="122"/>
      <c r="D1" s="122"/>
      <c r="E1" s="900" t="s">
        <v>146</v>
      </c>
      <c r="F1" s="122"/>
    </row>
    <row r="2" spans="1:11" ht="20.100000000000001" customHeight="1">
      <c r="A2" s="48" t="s">
        <v>147</v>
      </c>
      <c r="B2" s="49">
        <f>基础信息!B9</f>
        <v>0</v>
      </c>
      <c r="C2" s="122"/>
      <c r="D2" s="122"/>
      <c r="E2" s="122"/>
      <c r="F2" s="122"/>
    </row>
    <row r="3" spans="1:11" ht="20.100000000000001" customHeight="1">
      <c r="A3" s="91" t="s">
        <v>148</v>
      </c>
      <c r="B3" s="307" t="s">
        <v>2149</v>
      </c>
      <c r="C3" s="122"/>
      <c r="D3" s="122"/>
      <c r="E3" s="122"/>
      <c r="F3" s="122"/>
    </row>
    <row r="4" spans="1:11" ht="20.100000000000001" customHeight="1">
      <c r="F4" s="110"/>
      <c r="K4" s="5"/>
    </row>
    <row r="5" spans="1:11" ht="20.100000000000001" customHeight="1">
      <c r="F5" s="110"/>
      <c r="K5" s="5"/>
    </row>
    <row r="6" spans="1:11" ht="20.100000000000001" customHeight="1">
      <c r="F6" s="110"/>
      <c r="K6" s="5"/>
    </row>
    <row r="7" spans="1:11" ht="20.100000000000001" customHeight="1">
      <c r="F7" s="110"/>
      <c r="K7" s="5"/>
    </row>
    <row r="8" spans="1:11" customFormat="1" ht="15.6">
      <c r="A8" s="1008" t="s">
        <v>632</v>
      </c>
      <c r="B8" s="524">
        <f>SUM(B4:B7)</f>
        <v>0</v>
      </c>
    </row>
    <row r="9" spans="1:11" customFormat="1" ht="15.6">
      <c r="A9" s="1007" t="s">
        <v>650</v>
      </c>
      <c r="B9" s="524"/>
    </row>
    <row r="10" spans="1:11" customFormat="1" ht="15.6">
      <c r="A10" s="1007"/>
      <c r="B10" s="524">
        <f>B8-B9</f>
        <v>0</v>
      </c>
    </row>
    <row r="11" spans="1:11" customFormat="1" ht="15.6">
      <c r="B11" s="221" t="str">
        <f>IF(B10=0,"OK","NO")</f>
        <v>OK</v>
      </c>
    </row>
    <row r="12" spans="1:11" ht="20.100000000000001" customHeight="1">
      <c r="F12" s="110"/>
      <c r="K12" s="5"/>
    </row>
    <row r="13" spans="1:11" ht="20.100000000000001" customHeight="1">
      <c r="F13" s="110"/>
      <c r="K13" s="5"/>
    </row>
    <row r="14" spans="1:11" ht="20.100000000000001" customHeight="1">
      <c r="F14" s="110"/>
      <c r="K14" s="5"/>
    </row>
    <row r="15" spans="1:11" ht="20.100000000000001" customHeight="1">
      <c r="F15" s="110"/>
      <c r="K15" s="5"/>
    </row>
    <row r="16" spans="1:11" ht="20.100000000000001" customHeight="1">
      <c r="F16" s="110"/>
      <c r="K16" s="5"/>
    </row>
    <row r="17" spans="6:11" ht="20.100000000000001" customHeight="1">
      <c r="F17" s="110"/>
      <c r="K17" s="5"/>
    </row>
    <row r="18" spans="6:11" ht="20.100000000000001" customHeight="1">
      <c r="F18" s="110"/>
      <c r="K18" s="5"/>
    </row>
    <row r="19" spans="6:11" ht="20.100000000000001" customHeight="1">
      <c r="F19" s="110"/>
      <c r="K19" s="5"/>
    </row>
    <row r="20" spans="6:11" ht="20.100000000000001" customHeight="1">
      <c r="F20" s="110"/>
      <c r="K20" s="5"/>
    </row>
    <row r="21" spans="6:11" ht="20.100000000000001" customHeight="1">
      <c r="F21" s="110"/>
      <c r="K21" s="5"/>
    </row>
    <row r="22" spans="6:11" ht="20.100000000000001" customHeight="1">
      <c r="F22" s="110"/>
      <c r="K22" s="5"/>
    </row>
    <row r="23" spans="6:11" ht="20.100000000000001" customHeight="1">
      <c r="F23" s="110"/>
      <c r="K23" s="5"/>
    </row>
    <row r="24" spans="6:11" ht="20.100000000000001" customHeight="1">
      <c r="F24" s="110"/>
      <c r="K24" s="5"/>
    </row>
    <row r="25" spans="6:11" ht="20.100000000000001" customHeight="1">
      <c r="F25" s="110"/>
      <c r="K25" s="5"/>
    </row>
    <row r="26" spans="6:11" ht="20.100000000000001" customHeight="1">
      <c r="F26" s="110"/>
      <c r="K26" s="5"/>
    </row>
    <row r="27" spans="6:11" ht="20.100000000000001" customHeight="1">
      <c r="F27" s="110"/>
      <c r="K27" s="5"/>
    </row>
    <row r="28" spans="6:11" ht="20.100000000000001" customHeight="1">
      <c r="F28" s="110"/>
      <c r="K28" s="5"/>
    </row>
    <row r="29" spans="6:11" ht="20.100000000000001" customHeight="1">
      <c r="F29" s="110"/>
      <c r="K29" s="5"/>
    </row>
    <row r="30" spans="6:11" ht="20.100000000000001" customHeight="1">
      <c r="F30" s="110"/>
      <c r="K30" s="5"/>
    </row>
    <row r="31" spans="6:11" ht="20.100000000000001" customHeight="1">
      <c r="F31" s="110"/>
      <c r="K31" s="5"/>
    </row>
    <row r="32" spans="6:11" ht="20.100000000000001" customHeight="1">
      <c r="F32" s="110"/>
      <c r="K32" s="5"/>
    </row>
    <row r="33" spans="6:11" ht="20.100000000000001" customHeight="1">
      <c r="F33" s="110"/>
      <c r="K33" s="5"/>
    </row>
    <row r="34" spans="6:11" ht="20.100000000000001" customHeight="1">
      <c r="F34" s="110"/>
      <c r="K34" s="5"/>
    </row>
    <row r="35" spans="6:11" ht="20.100000000000001" customHeight="1">
      <c r="F35" s="110"/>
      <c r="K35" s="5"/>
    </row>
    <row r="36" spans="6:11" ht="20.100000000000001" customHeight="1">
      <c r="F36" s="110"/>
      <c r="K36" s="5"/>
    </row>
    <row r="37" spans="6:11" ht="20.100000000000001" customHeight="1">
      <c r="F37" s="110"/>
      <c r="K37" s="5"/>
    </row>
    <row r="38" spans="6:11" ht="20.100000000000001" customHeight="1">
      <c r="F38" s="110"/>
      <c r="K38" s="5"/>
    </row>
    <row r="39" spans="6:11" ht="20.100000000000001" customHeight="1">
      <c r="F39" s="110"/>
      <c r="K39" s="5"/>
    </row>
    <row r="40" spans="6:11" ht="20.100000000000001" customHeight="1">
      <c r="F40" s="110"/>
      <c r="K40" s="5"/>
    </row>
    <row r="41" spans="6:11" ht="20.100000000000001" customHeight="1">
      <c r="F41" s="110"/>
      <c r="K41" s="5"/>
    </row>
    <row r="42" spans="6:11" ht="20.100000000000001" customHeight="1">
      <c r="F42" s="110"/>
      <c r="K42" s="5"/>
    </row>
    <row r="43" spans="6:11" ht="20.100000000000001" customHeight="1">
      <c r="F43" s="110"/>
      <c r="K43" s="5"/>
    </row>
    <row r="44" spans="6:11" ht="20.100000000000001" customHeight="1">
      <c r="F44" s="110"/>
      <c r="K44" s="5"/>
    </row>
    <row r="45" spans="6:11" ht="20.100000000000001" customHeight="1">
      <c r="F45" s="110"/>
      <c r="K45" s="5"/>
    </row>
    <row r="46" spans="6:11" ht="20.100000000000001" customHeight="1">
      <c r="F46" s="110"/>
      <c r="K46" s="5"/>
    </row>
    <row r="47" spans="6:11" ht="20.100000000000001" customHeight="1">
      <c r="F47" s="110"/>
      <c r="K47" s="5"/>
    </row>
    <row r="48" spans="6:11" ht="20.100000000000001" customHeight="1">
      <c r="F48" s="110"/>
      <c r="K48" s="5"/>
    </row>
    <row r="49" spans="6:11" ht="20.100000000000001" customHeight="1">
      <c r="F49" s="110"/>
      <c r="K49" s="5"/>
    </row>
    <row r="50" spans="6:11" ht="20.100000000000001" customHeight="1">
      <c r="F50" s="110"/>
      <c r="K50" s="5"/>
    </row>
    <row r="51" spans="6:11" ht="20.100000000000001" customHeight="1">
      <c r="F51" s="110"/>
      <c r="K51" s="5"/>
    </row>
    <row r="52" spans="6:11" ht="20.100000000000001" customHeight="1">
      <c r="F52" s="110"/>
      <c r="K52" s="5"/>
    </row>
    <row r="53" spans="6:11" ht="20.100000000000001" customHeight="1">
      <c r="F53" s="110"/>
      <c r="K53" s="5"/>
    </row>
    <row r="54" spans="6:11" ht="20.100000000000001" customHeight="1">
      <c r="F54" s="110"/>
      <c r="K54" s="5"/>
    </row>
    <row r="55" spans="6:11" ht="20.100000000000001" customHeight="1">
      <c r="F55" s="110"/>
      <c r="K55" s="5"/>
    </row>
    <row r="56" spans="6:11" ht="20.100000000000001" customHeight="1">
      <c r="F56" s="110"/>
      <c r="K56" s="5"/>
    </row>
  </sheetData>
  <phoneticPr fontId="78" type="noConversion"/>
  <hyperlinks>
    <hyperlink ref="E1" location="目录!A1" display="BACK"/>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K215"/>
  <sheetViews>
    <sheetView view="pageBreakPreview" zoomScaleNormal="100" zoomScaleSheetLayoutView="100" workbookViewId="0">
      <selection activeCell="F2" sqref="F2"/>
    </sheetView>
  </sheetViews>
  <sheetFormatPr defaultColWidth="9" defaultRowHeight="20.100000000000001" customHeight="1"/>
  <cols>
    <col min="1" max="1" width="20.69921875" style="5" customWidth="1"/>
    <col min="2" max="2" width="27.19921875" style="5" customWidth="1"/>
    <col min="3" max="6" width="15.69921875" style="5" customWidth="1"/>
    <col min="7" max="7" width="19.8984375" style="110" customWidth="1"/>
    <col min="8" max="11" width="9" style="110"/>
    <col min="12" max="16384" width="9" style="5"/>
  </cols>
  <sheetData>
    <row r="1" spans="1:7" ht="20.100000000000001" customHeight="1">
      <c r="A1" s="48" t="s">
        <v>145</v>
      </c>
      <c r="B1" s="49">
        <f>基础信息!B6</f>
        <v>0</v>
      </c>
      <c r="C1" s="122"/>
      <c r="D1" s="122"/>
      <c r="E1" s="900" t="s">
        <v>146</v>
      </c>
      <c r="F1" s="122"/>
    </row>
    <row r="2" spans="1:7" ht="20.100000000000001" customHeight="1">
      <c r="A2" s="48" t="s">
        <v>147</v>
      </c>
      <c r="B2" s="49">
        <f>基础信息!B9</f>
        <v>0</v>
      </c>
      <c r="C2" s="122"/>
      <c r="D2" s="122"/>
      <c r="E2" s="122"/>
      <c r="F2" s="122"/>
    </row>
    <row r="3" spans="1:7" ht="20.100000000000001" customHeight="1">
      <c r="A3" s="91" t="s">
        <v>148</v>
      </c>
      <c r="B3" s="91" t="s">
        <v>1258</v>
      </c>
      <c r="C3" s="122"/>
      <c r="D3" s="122"/>
      <c r="E3" s="122"/>
      <c r="F3" s="122"/>
    </row>
    <row r="4" spans="1:7" s="373" customFormat="1" ht="18" customHeight="1">
      <c r="A4" s="210" t="s">
        <v>1259</v>
      </c>
      <c r="B4" s="210"/>
      <c r="C4" s="210"/>
      <c r="D4" s="210"/>
      <c r="E4" s="210"/>
      <c r="F4" s="210"/>
    </row>
    <row r="5" spans="1:7" s="212" customFormat="1" ht="18" customHeight="1">
      <c r="A5" s="225" t="s">
        <v>1260</v>
      </c>
      <c r="B5" s="225" t="s">
        <v>1120</v>
      </c>
      <c r="C5" s="225" t="s">
        <v>1261</v>
      </c>
      <c r="D5" s="225" t="s">
        <v>1262</v>
      </c>
      <c r="E5" s="225" t="s">
        <v>870</v>
      </c>
      <c r="F5" s="225" t="s">
        <v>1122</v>
      </c>
    </row>
    <row r="6" spans="1:7" s="213" customFormat="1" ht="18" customHeight="1">
      <c r="A6" s="384" t="s">
        <v>1263</v>
      </c>
      <c r="B6" s="385"/>
      <c r="C6" s="385"/>
      <c r="D6" s="385"/>
      <c r="E6" s="385"/>
      <c r="F6" s="386">
        <f>SUM(B6:E6)</f>
        <v>0</v>
      </c>
    </row>
    <row r="7" spans="1:7" s="213" customFormat="1" ht="18" customHeight="1">
      <c r="A7" s="227" t="s">
        <v>1264</v>
      </c>
      <c r="B7" s="385"/>
      <c r="C7" s="385"/>
      <c r="D7" s="385"/>
      <c r="E7" s="385"/>
      <c r="F7" s="386">
        <f t="shared" ref="F7:F43" si="0">SUM(B7:E7)</f>
        <v>0</v>
      </c>
    </row>
    <row r="8" spans="1:7" s="213" customFormat="1" ht="18" customHeight="1">
      <c r="A8" s="227" t="s">
        <v>1265</v>
      </c>
      <c r="B8" s="386">
        <f>SUM(B9:B13)</f>
        <v>0</v>
      </c>
      <c r="C8" s="386">
        <f t="shared" ref="C8:E8" si="1">SUM(C9:C13)</f>
        <v>0</v>
      </c>
      <c r="D8" s="386">
        <f t="shared" si="1"/>
        <v>0</v>
      </c>
      <c r="E8" s="386">
        <f t="shared" si="1"/>
        <v>0</v>
      </c>
      <c r="F8" s="386">
        <f t="shared" si="0"/>
        <v>0</v>
      </c>
    </row>
    <row r="9" spans="1:7" s="213" customFormat="1" ht="18" customHeight="1">
      <c r="A9" s="227" t="s">
        <v>1266</v>
      </c>
      <c r="B9" s="385"/>
      <c r="C9" s="385"/>
      <c r="D9" s="385"/>
      <c r="E9" s="385"/>
      <c r="F9" s="386">
        <f t="shared" si="0"/>
        <v>0</v>
      </c>
      <c r="G9" s="5"/>
    </row>
    <row r="10" spans="1:7" s="213" customFormat="1" ht="18" customHeight="1">
      <c r="A10" s="227" t="s">
        <v>1267</v>
      </c>
      <c r="B10" s="385"/>
      <c r="C10" s="385"/>
      <c r="D10" s="385"/>
      <c r="E10" s="385"/>
      <c r="F10" s="386">
        <f t="shared" si="0"/>
        <v>0</v>
      </c>
    </row>
    <row r="11" spans="1:7" s="213" customFormat="1" ht="18" customHeight="1">
      <c r="A11" s="227" t="s">
        <v>1268</v>
      </c>
      <c r="B11" s="385"/>
      <c r="C11" s="385"/>
      <c r="D11" s="385"/>
      <c r="E11" s="385"/>
      <c r="F11" s="386">
        <f t="shared" si="0"/>
        <v>0</v>
      </c>
    </row>
    <row r="12" spans="1:7" s="213" customFormat="1" ht="18" customHeight="1">
      <c r="A12" s="227" t="s">
        <v>1269</v>
      </c>
      <c r="B12" s="385"/>
      <c r="C12" s="385"/>
      <c r="D12" s="385"/>
      <c r="E12" s="385"/>
      <c r="F12" s="386">
        <f t="shared" si="0"/>
        <v>0</v>
      </c>
    </row>
    <row r="13" spans="1:7" s="213" customFormat="1" ht="18" customHeight="1">
      <c r="A13" s="227" t="s">
        <v>1270</v>
      </c>
      <c r="B13" s="385"/>
      <c r="C13" s="385"/>
      <c r="D13" s="385"/>
      <c r="E13" s="385"/>
      <c r="F13" s="386">
        <f t="shared" si="0"/>
        <v>0</v>
      </c>
    </row>
    <row r="14" spans="1:7" s="213" customFormat="1" ht="18" customHeight="1">
      <c r="A14" s="227" t="s">
        <v>1271</v>
      </c>
      <c r="B14" s="386">
        <f>SUM(B15:B17)</f>
        <v>0</v>
      </c>
      <c r="C14" s="386">
        <f t="shared" ref="C14:F14" si="2">SUM(C15:C17)</f>
        <v>0</v>
      </c>
      <c r="D14" s="386">
        <f t="shared" si="2"/>
        <v>0</v>
      </c>
      <c r="E14" s="386">
        <f t="shared" si="2"/>
        <v>0</v>
      </c>
      <c r="F14" s="386">
        <f t="shared" si="2"/>
        <v>0</v>
      </c>
    </row>
    <row r="15" spans="1:7" s="213" customFormat="1" ht="18" customHeight="1">
      <c r="A15" s="227" t="s">
        <v>1272</v>
      </c>
      <c r="B15" s="385"/>
      <c r="C15" s="385"/>
      <c r="D15" s="385"/>
      <c r="E15" s="385"/>
      <c r="F15" s="386">
        <f t="shared" si="0"/>
        <v>0</v>
      </c>
    </row>
    <row r="16" spans="1:7" s="213" customFormat="1" ht="18" customHeight="1">
      <c r="A16" s="227" t="s">
        <v>1273</v>
      </c>
      <c r="B16" s="385"/>
      <c r="C16" s="385"/>
      <c r="D16" s="385"/>
      <c r="E16" s="385"/>
      <c r="F16" s="386">
        <f t="shared" si="0"/>
        <v>0</v>
      </c>
    </row>
    <row r="17" spans="1:6" s="213" customFormat="1" ht="18" customHeight="1">
      <c r="A17" s="227" t="s">
        <v>870</v>
      </c>
      <c r="B17" s="385"/>
      <c r="C17" s="385"/>
      <c r="D17" s="385"/>
      <c r="E17" s="385"/>
      <c r="F17" s="386">
        <f t="shared" si="0"/>
        <v>0</v>
      </c>
    </row>
    <row r="18" spans="1:6" s="213" customFormat="1" ht="18" customHeight="1">
      <c r="A18" s="227" t="s">
        <v>1274</v>
      </c>
      <c r="B18" s="386">
        <f>B7+B8-B14</f>
        <v>0</v>
      </c>
      <c r="C18" s="386">
        <f t="shared" ref="C18:E18" si="3">C7+C8-C14</f>
        <v>0</v>
      </c>
      <c r="D18" s="386">
        <f t="shared" si="3"/>
        <v>0</v>
      </c>
      <c r="E18" s="386">
        <f t="shared" si="3"/>
        <v>0</v>
      </c>
      <c r="F18" s="386">
        <f t="shared" si="0"/>
        <v>0</v>
      </c>
    </row>
    <row r="19" spans="1:6" s="213" customFormat="1" ht="18" customHeight="1">
      <c r="A19" s="384" t="s">
        <v>1275</v>
      </c>
      <c r="B19" s="385"/>
      <c r="C19" s="385"/>
      <c r="D19" s="385"/>
      <c r="E19" s="385"/>
      <c r="F19" s="386">
        <f t="shared" si="0"/>
        <v>0</v>
      </c>
    </row>
    <row r="20" spans="1:6" s="213" customFormat="1" ht="18" customHeight="1">
      <c r="A20" s="227" t="s">
        <v>1264</v>
      </c>
      <c r="B20" s="385"/>
      <c r="C20" s="385"/>
      <c r="D20" s="385"/>
      <c r="E20" s="385"/>
      <c r="F20" s="386">
        <f t="shared" si="0"/>
        <v>0</v>
      </c>
    </row>
    <row r="21" spans="1:6" s="213" customFormat="1" ht="18" customHeight="1">
      <c r="A21" s="227" t="s">
        <v>1265</v>
      </c>
      <c r="B21" s="386">
        <f>SUM(B22:B24)</f>
        <v>0</v>
      </c>
      <c r="C21" s="386">
        <f t="shared" ref="C21:E21" si="4">SUM(C22:C24)</f>
        <v>0</v>
      </c>
      <c r="D21" s="386">
        <f t="shared" si="4"/>
        <v>0</v>
      </c>
      <c r="E21" s="386">
        <f t="shared" si="4"/>
        <v>0</v>
      </c>
      <c r="F21" s="386">
        <f t="shared" si="0"/>
        <v>0</v>
      </c>
    </row>
    <row r="22" spans="1:6" s="213" customFormat="1" ht="18" customHeight="1">
      <c r="A22" s="227" t="s">
        <v>1276</v>
      </c>
      <c r="B22" s="385"/>
      <c r="C22" s="385"/>
      <c r="D22" s="385"/>
      <c r="E22" s="385"/>
      <c r="F22" s="386">
        <f t="shared" si="0"/>
        <v>0</v>
      </c>
    </row>
    <row r="23" spans="1:6" s="213" customFormat="1" ht="18" customHeight="1">
      <c r="A23" s="227" t="s">
        <v>1277</v>
      </c>
      <c r="B23" s="385"/>
      <c r="C23" s="385"/>
      <c r="D23" s="385"/>
      <c r="E23" s="385"/>
      <c r="F23" s="386">
        <f t="shared" si="0"/>
        <v>0</v>
      </c>
    </row>
    <row r="24" spans="1:6" s="213" customFormat="1" ht="18" customHeight="1">
      <c r="A24" s="227" t="s">
        <v>1270</v>
      </c>
      <c r="B24" s="385"/>
      <c r="C24" s="385"/>
      <c r="D24" s="385"/>
      <c r="E24" s="385"/>
      <c r="F24" s="386">
        <f t="shared" si="0"/>
        <v>0</v>
      </c>
    </row>
    <row r="25" spans="1:6" s="213" customFormat="1" ht="18" customHeight="1">
      <c r="A25" s="227" t="s">
        <v>1271</v>
      </c>
      <c r="B25" s="386">
        <f>SUM(B26:B28)</f>
        <v>0</v>
      </c>
      <c r="C25" s="386">
        <f t="shared" ref="C25:E25" si="5">SUM(C26:C28)</f>
        <v>0</v>
      </c>
      <c r="D25" s="386">
        <f t="shared" si="5"/>
        <v>0</v>
      </c>
      <c r="E25" s="386">
        <f t="shared" si="5"/>
        <v>0</v>
      </c>
      <c r="F25" s="386">
        <f t="shared" si="0"/>
        <v>0</v>
      </c>
    </row>
    <row r="26" spans="1:6" s="213" customFormat="1" ht="18" customHeight="1">
      <c r="A26" s="227" t="s">
        <v>1272</v>
      </c>
      <c r="B26" s="385"/>
      <c r="C26" s="385"/>
      <c r="D26" s="385"/>
      <c r="E26" s="385"/>
      <c r="F26" s="386">
        <f t="shared" si="0"/>
        <v>0</v>
      </c>
    </row>
    <row r="27" spans="1:6" s="213" customFormat="1" ht="18" customHeight="1">
      <c r="A27" s="227" t="s">
        <v>1273</v>
      </c>
      <c r="B27" s="385"/>
      <c r="C27" s="385"/>
      <c r="D27" s="385"/>
      <c r="E27" s="385"/>
      <c r="F27" s="386">
        <f t="shared" si="0"/>
        <v>0</v>
      </c>
    </row>
    <row r="28" spans="1:6" s="213" customFormat="1" ht="18" customHeight="1">
      <c r="A28" s="227" t="s">
        <v>870</v>
      </c>
      <c r="B28" s="385"/>
      <c r="C28" s="385"/>
      <c r="D28" s="385"/>
      <c r="E28" s="385"/>
      <c r="F28" s="386">
        <f t="shared" si="0"/>
        <v>0</v>
      </c>
    </row>
    <row r="29" spans="1:6" s="213" customFormat="1" ht="18" customHeight="1">
      <c r="A29" s="227" t="s">
        <v>1278</v>
      </c>
      <c r="B29" s="386">
        <f>B7+B8-B14</f>
        <v>0</v>
      </c>
      <c r="C29" s="386">
        <f t="shared" ref="C29:E29" si="6">C7+C8-C14</f>
        <v>0</v>
      </c>
      <c r="D29" s="386">
        <f t="shared" si="6"/>
        <v>0</v>
      </c>
      <c r="E29" s="386">
        <f t="shared" si="6"/>
        <v>0</v>
      </c>
      <c r="F29" s="386">
        <f t="shared" si="0"/>
        <v>0</v>
      </c>
    </row>
    <row r="30" spans="1:6" s="213" customFormat="1" ht="18" customHeight="1">
      <c r="A30" s="384" t="s">
        <v>1159</v>
      </c>
      <c r="B30" s="385"/>
      <c r="C30" s="385"/>
      <c r="D30" s="385"/>
      <c r="E30" s="385"/>
      <c r="F30" s="386">
        <f t="shared" si="0"/>
        <v>0</v>
      </c>
    </row>
    <row r="31" spans="1:6" s="213" customFormat="1" ht="18" customHeight="1">
      <c r="A31" s="227" t="s">
        <v>1264</v>
      </c>
      <c r="B31" s="385"/>
      <c r="C31" s="385"/>
      <c r="D31" s="385"/>
      <c r="E31" s="385"/>
      <c r="F31" s="386">
        <f t="shared" si="0"/>
        <v>0</v>
      </c>
    </row>
    <row r="32" spans="1:6" s="213" customFormat="1" ht="18" customHeight="1">
      <c r="A32" s="227" t="s">
        <v>1265</v>
      </c>
      <c r="B32" s="386">
        <f>SUM(B33:B35)</f>
        <v>0</v>
      </c>
      <c r="C32" s="386">
        <f t="shared" ref="C32:E32" si="7">SUM(C33:C35)</f>
        <v>0</v>
      </c>
      <c r="D32" s="386">
        <f t="shared" si="7"/>
        <v>0</v>
      </c>
      <c r="E32" s="386">
        <f t="shared" si="7"/>
        <v>0</v>
      </c>
      <c r="F32" s="386">
        <f t="shared" si="0"/>
        <v>0</v>
      </c>
    </row>
    <row r="33" spans="1:11" s="213" customFormat="1" ht="18" customHeight="1">
      <c r="A33" s="227" t="s">
        <v>1279</v>
      </c>
      <c r="B33" s="385"/>
      <c r="C33" s="385"/>
      <c r="D33" s="385"/>
      <c r="E33" s="385"/>
      <c r="F33" s="386">
        <f t="shared" si="0"/>
        <v>0</v>
      </c>
    </row>
    <row r="34" spans="1:11" s="213" customFormat="1" ht="18" customHeight="1">
      <c r="A34" s="227" t="s">
        <v>1277</v>
      </c>
      <c r="B34" s="385"/>
      <c r="C34" s="385"/>
      <c r="D34" s="385"/>
      <c r="E34" s="385"/>
      <c r="F34" s="386">
        <f t="shared" si="0"/>
        <v>0</v>
      </c>
    </row>
    <row r="35" spans="1:11" s="213" customFormat="1" ht="18" customHeight="1">
      <c r="A35" s="227" t="s">
        <v>1270</v>
      </c>
      <c r="B35" s="385"/>
      <c r="C35" s="385"/>
      <c r="D35" s="385"/>
      <c r="E35" s="385"/>
      <c r="F35" s="386">
        <f t="shared" si="0"/>
        <v>0</v>
      </c>
    </row>
    <row r="36" spans="1:11" s="213" customFormat="1" ht="18" customHeight="1">
      <c r="A36" s="227" t="s">
        <v>1271</v>
      </c>
      <c r="B36" s="386">
        <f>SUM(B37:B39)</f>
        <v>0</v>
      </c>
      <c r="C36" s="386">
        <f t="shared" ref="C36:E36" si="8">SUM(C37:C39)</f>
        <v>0</v>
      </c>
      <c r="D36" s="386">
        <f t="shared" si="8"/>
        <v>0</v>
      </c>
      <c r="E36" s="386">
        <f t="shared" si="8"/>
        <v>0</v>
      </c>
      <c r="F36" s="386">
        <f t="shared" si="0"/>
        <v>0</v>
      </c>
    </row>
    <row r="37" spans="1:11" s="213" customFormat="1" ht="18" customHeight="1">
      <c r="A37" s="227" t="s">
        <v>1272</v>
      </c>
      <c r="B37" s="385"/>
      <c r="C37" s="385"/>
      <c r="D37" s="385"/>
      <c r="E37" s="385"/>
      <c r="F37" s="386">
        <f t="shared" si="0"/>
        <v>0</v>
      </c>
    </row>
    <row r="38" spans="1:11" s="213" customFormat="1" ht="18" customHeight="1">
      <c r="A38" s="227" t="s">
        <v>1273</v>
      </c>
      <c r="B38" s="385"/>
      <c r="C38" s="385"/>
      <c r="D38" s="385"/>
      <c r="E38" s="385"/>
      <c r="F38" s="386">
        <f t="shared" si="0"/>
        <v>0</v>
      </c>
    </row>
    <row r="39" spans="1:11" s="213" customFormat="1" ht="18" customHeight="1">
      <c r="A39" s="227" t="s">
        <v>870</v>
      </c>
      <c r="B39" s="385"/>
      <c r="C39" s="385"/>
      <c r="D39" s="385"/>
      <c r="E39" s="385"/>
      <c r="F39" s="386">
        <f t="shared" si="0"/>
        <v>0</v>
      </c>
    </row>
    <row r="40" spans="1:11" s="213" customFormat="1" ht="18" customHeight="1">
      <c r="A40" s="227" t="s">
        <v>1278</v>
      </c>
      <c r="B40" s="386">
        <f>B31+B32-B36</f>
        <v>0</v>
      </c>
      <c r="C40" s="386">
        <f t="shared" ref="C40:F40" si="9">C31+C32-C36</f>
        <v>0</v>
      </c>
      <c r="D40" s="386">
        <f t="shared" si="9"/>
        <v>0</v>
      </c>
      <c r="E40" s="386">
        <f t="shared" si="9"/>
        <v>0</v>
      </c>
      <c r="F40" s="386">
        <f t="shared" si="9"/>
        <v>0</v>
      </c>
    </row>
    <row r="41" spans="1:11" s="213" customFormat="1" ht="18" customHeight="1">
      <c r="A41" s="384" t="s">
        <v>1161</v>
      </c>
      <c r="B41" s="385"/>
      <c r="C41" s="385"/>
      <c r="D41" s="385"/>
      <c r="E41" s="385"/>
      <c r="F41" s="386">
        <f t="shared" si="0"/>
        <v>0</v>
      </c>
    </row>
    <row r="42" spans="1:11" s="213" customFormat="1" ht="18" customHeight="1">
      <c r="A42" s="227" t="s">
        <v>1280</v>
      </c>
      <c r="B42" s="386">
        <f>B18-B29-B40</f>
        <v>0</v>
      </c>
      <c r="C42" s="386">
        <f t="shared" ref="C42:E42" si="10">C18-C29-C40</f>
        <v>0</v>
      </c>
      <c r="D42" s="386">
        <f t="shared" si="10"/>
        <v>0</v>
      </c>
      <c r="E42" s="386">
        <f t="shared" si="10"/>
        <v>0</v>
      </c>
      <c r="F42" s="386">
        <f t="shared" si="0"/>
        <v>0</v>
      </c>
    </row>
    <row r="43" spans="1:11" s="213" customFormat="1" ht="18" customHeight="1">
      <c r="A43" s="227" t="s">
        <v>1281</v>
      </c>
      <c r="B43" s="386">
        <f>B7-B20-B31</f>
        <v>0</v>
      </c>
      <c r="C43" s="386">
        <f t="shared" ref="C43:E43" si="11">C7-C20-C31</f>
        <v>0</v>
      </c>
      <c r="D43" s="386">
        <f t="shared" si="11"/>
        <v>0</v>
      </c>
      <c r="E43" s="386">
        <f t="shared" si="11"/>
        <v>0</v>
      </c>
      <c r="F43" s="386">
        <f t="shared" si="0"/>
        <v>0</v>
      </c>
    </row>
    <row r="44" spans="1:11" s="383" customFormat="1" ht="14.4">
      <c r="A44" s="219" t="s">
        <v>623</v>
      </c>
      <c r="B44" s="365"/>
      <c r="C44" s="133"/>
      <c r="D44" s="192"/>
      <c r="E44" s="192"/>
      <c r="F44" s="279"/>
      <c r="G44" s="5"/>
      <c r="H44" s="387"/>
      <c r="I44" s="387"/>
      <c r="J44" s="387"/>
      <c r="K44" s="387"/>
    </row>
    <row r="45" spans="1:11" s="383" customFormat="1" ht="14.4">
      <c r="A45" s="366"/>
      <c r="B45" s="367"/>
      <c r="C45" s="381"/>
      <c r="D45" s="193"/>
      <c r="E45" s="193"/>
      <c r="F45" s="271">
        <f>E42-F44</f>
        <v>0</v>
      </c>
      <c r="G45" s="5"/>
      <c r="H45" s="387"/>
      <c r="I45" s="387"/>
      <c r="J45" s="387"/>
      <c r="K45" s="387"/>
    </row>
    <row r="46" spans="1:11" s="383" customFormat="1" ht="14.4">
      <c r="A46" s="221"/>
      <c r="B46" s="221"/>
      <c r="C46" s="376"/>
      <c r="D46" s="363"/>
      <c r="E46" s="363"/>
      <c r="F46" s="221" t="str">
        <f>IF(F45=0,"OK","NO")</f>
        <v>OK</v>
      </c>
      <c r="G46" s="5"/>
      <c r="H46" s="387"/>
      <c r="I46" s="387"/>
      <c r="J46" s="387"/>
      <c r="K46" s="387"/>
    </row>
    <row r="47" spans="1:11" s="213" customFormat="1" ht="18" customHeight="1">
      <c r="A47" s="212" t="s">
        <v>1282</v>
      </c>
      <c r="B47" s="212"/>
      <c r="C47" s="212"/>
      <c r="D47" s="212"/>
      <c r="E47" s="212"/>
      <c r="F47" s="212"/>
    </row>
    <row r="48" spans="1:11" s="213" customFormat="1" ht="18" customHeight="1">
      <c r="A48" s="1089" t="s">
        <v>1283</v>
      </c>
      <c r="B48" s="1089"/>
      <c r="C48" s="1089"/>
      <c r="D48" s="1089"/>
      <c r="E48" s="1089"/>
      <c r="F48" s="1089"/>
    </row>
    <row r="49" spans="1:11" s="213" customFormat="1" ht="18" customHeight="1">
      <c r="A49" s="1076" t="s">
        <v>1284</v>
      </c>
      <c r="B49" s="1076"/>
      <c r="C49" s="1076"/>
      <c r="D49" s="1076"/>
      <c r="E49" s="1076"/>
      <c r="F49" s="1076"/>
    </row>
    <row r="50" spans="1:11" s="213" customFormat="1" ht="18" customHeight="1">
      <c r="A50" s="1076" t="s">
        <v>1285</v>
      </c>
      <c r="B50" s="1076"/>
      <c r="C50" s="1076"/>
      <c r="D50" s="1076"/>
      <c r="E50" s="1076"/>
      <c r="F50" s="1076"/>
    </row>
    <row r="51" spans="1:11" s="213" customFormat="1" ht="18" customHeight="1">
      <c r="A51" s="1076" t="s">
        <v>1286</v>
      </c>
      <c r="B51" s="1076"/>
      <c r="C51" s="1076"/>
      <c r="D51" s="1076"/>
      <c r="E51" s="1076"/>
      <c r="F51" s="1076"/>
    </row>
    <row r="52" spans="1:11" s="213" customFormat="1" ht="31.5" customHeight="1">
      <c r="A52" s="1077" t="s">
        <v>1287</v>
      </c>
      <c r="B52" s="1077"/>
      <c r="C52" s="1077"/>
      <c r="D52" s="1077"/>
      <c r="E52" s="1077"/>
      <c r="F52" s="1077"/>
    </row>
    <row r="53" spans="1:11" s="213" customFormat="1" ht="17.25" customHeight="1">
      <c r="A53" s="235"/>
      <c r="B53" s="235"/>
      <c r="C53" s="235"/>
      <c r="D53" s="235"/>
      <c r="E53" s="235"/>
      <c r="F53" s="235"/>
    </row>
    <row r="54" spans="1:11" s="213" customFormat="1" ht="17.25" customHeight="1">
      <c r="A54" s="235"/>
      <c r="B54" s="235"/>
      <c r="C54" s="235"/>
      <c r="D54" s="235"/>
      <c r="E54" s="235"/>
      <c r="F54" s="235"/>
    </row>
    <row r="55" spans="1:11" s="213" customFormat="1" ht="18" customHeight="1">
      <c r="A55" s="1088" t="s">
        <v>1288</v>
      </c>
      <c r="B55" s="1088"/>
      <c r="C55" s="1088"/>
      <c r="D55" s="1088"/>
      <c r="E55" s="1088"/>
      <c r="F55" s="1088"/>
    </row>
    <row r="56" spans="1:11" s="213" customFormat="1" ht="18" customHeight="1">
      <c r="A56" s="1076" t="s">
        <v>1289</v>
      </c>
      <c r="B56" s="1076"/>
      <c r="C56" s="1076"/>
      <c r="D56" s="1076"/>
      <c r="E56" s="1076"/>
      <c r="F56" s="1076"/>
    </row>
    <row r="57" spans="1:11" s="213" customFormat="1" ht="30" customHeight="1">
      <c r="A57" s="225" t="s">
        <v>1290</v>
      </c>
      <c r="B57" s="225" t="s">
        <v>896</v>
      </c>
      <c r="C57" s="169" t="s">
        <v>1291</v>
      </c>
      <c r="D57" s="212"/>
      <c r="E57" s="212"/>
      <c r="F57" s="212"/>
    </row>
    <row r="58" spans="1:11" s="213" customFormat="1" ht="18" customHeight="1">
      <c r="A58" s="388"/>
      <c r="B58" s="388"/>
      <c r="C58" s="388"/>
    </row>
    <row r="59" spans="1:11" s="213" customFormat="1" ht="18" customHeight="1">
      <c r="A59" s="388"/>
      <c r="B59" s="388"/>
      <c r="C59" s="388"/>
    </row>
    <row r="60" spans="1:11" s="213" customFormat="1" ht="18" customHeight="1">
      <c r="A60" s="388"/>
      <c r="B60" s="389"/>
      <c r="C60" s="388"/>
    </row>
    <row r="61" spans="1:11" s="213" customFormat="1" ht="13.8">
      <c r="A61" s="390"/>
      <c r="B61" s="390"/>
      <c r="C61" s="390"/>
    </row>
    <row r="62" spans="1:11" ht="20.100000000000001" customHeight="1">
      <c r="A62" s="99"/>
      <c r="B62" s="99"/>
      <c r="C62" s="99"/>
      <c r="F62" s="110"/>
      <c r="K62" s="5"/>
    </row>
    <row r="63" spans="1:11" ht="20.100000000000001" customHeight="1">
      <c r="A63" s="99"/>
      <c r="B63" s="99"/>
      <c r="C63" s="99"/>
      <c r="F63" s="110"/>
      <c r="K63" s="5"/>
    </row>
    <row r="64" spans="1:11" ht="20.100000000000001" customHeight="1">
      <c r="A64" s="99"/>
      <c r="B64" s="99"/>
      <c r="C64" s="99"/>
      <c r="F64" s="110"/>
      <c r="K64" s="5"/>
    </row>
    <row r="65" spans="6:11" ht="20.100000000000001" customHeight="1">
      <c r="F65" s="110"/>
      <c r="K65" s="5"/>
    </row>
    <row r="66" spans="6:11" ht="20.100000000000001" customHeight="1">
      <c r="F66" s="110"/>
      <c r="K66" s="5"/>
    </row>
    <row r="67" spans="6:11" ht="20.100000000000001" customHeight="1">
      <c r="F67" s="110"/>
      <c r="K67" s="5"/>
    </row>
    <row r="68" spans="6:11" ht="20.100000000000001" customHeight="1">
      <c r="F68" s="110"/>
      <c r="K68" s="5"/>
    </row>
    <row r="69" spans="6:11" ht="20.100000000000001" customHeight="1">
      <c r="F69" s="110"/>
      <c r="K69" s="5"/>
    </row>
    <row r="70" spans="6:11" ht="20.100000000000001" customHeight="1">
      <c r="F70" s="110"/>
      <c r="K70" s="5"/>
    </row>
    <row r="71" spans="6:11" ht="20.100000000000001" customHeight="1">
      <c r="F71" s="110"/>
      <c r="K71" s="5"/>
    </row>
    <row r="72" spans="6:11" ht="20.100000000000001" customHeight="1">
      <c r="F72" s="110"/>
      <c r="K72" s="5"/>
    </row>
    <row r="73" spans="6:11" ht="20.100000000000001" customHeight="1">
      <c r="F73" s="110"/>
      <c r="K73" s="5"/>
    </row>
    <row r="74" spans="6:11" ht="20.100000000000001" customHeight="1">
      <c r="F74" s="110"/>
      <c r="K74" s="5"/>
    </row>
    <row r="75" spans="6:11" ht="20.100000000000001" customHeight="1">
      <c r="F75" s="110"/>
      <c r="K75" s="5"/>
    </row>
    <row r="76" spans="6:11" ht="20.100000000000001" customHeight="1">
      <c r="F76" s="110"/>
      <c r="K76" s="5"/>
    </row>
    <row r="77" spans="6:11" ht="20.100000000000001" customHeight="1">
      <c r="F77" s="110"/>
      <c r="K77" s="5"/>
    </row>
    <row r="78" spans="6:11" ht="20.100000000000001" customHeight="1">
      <c r="F78" s="110"/>
      <c r="K78" s="5"/>
    </row>
    <row r="79" spans="6:11" ht="20.100000000000001" customHeight="1">
      <c r="F79" s="110"/>
      <c r="K79" s="5"/>
    </row>
    <row r="80" spans="6:11" ht="20.100000000000001" customHeight="1">
      <c r="F80" s="110"/>
      <c r="K80" s="5"/>
    </row>
    <row r="81" spans="6:11" ht="20.100000000000001" customHeight="1">
      <c r="F81" s="110"/>
      <c r="K81" s="5"/>
    </row>
    <row r="82" spans="6:11" ht="20.100000000000001" customHeight="1">
      <c r="F82" s="110"/>
      <c r="K82" s="5"/>
    </row>
    <row r="83" spans="6:11" ht="20.100000000000001" customHeight="1">
      <c r="F83" s="110"/>
      <c r="K83" s="5"/>
    </row>
    <row r="84" spans="6:11" ht="20.100000000000001" customHeight="1">
      <c r="F84" s="110"/>
      <c r="K84" s="5"/>
    </row>
    <row r="85" spans="6:11" ht="20.100000000000001" customHeight="1">
      <c r="F85" s="110"/>
      <c r="K85" s="5"/>
    </row>
    <row r="86" spans="6:11" ht="20.100000000000001" customHeight="1">
      <c r="F86" s="110"/>
      <c r="K86" s="5"/>
    </row>
    <row r="87" spans="6:11" ht="20.100000000000001" customHeight="1">
      <c r="F87" s="110"/>
      <c r="K87" s="5"/>
    </row>
    <row r="88" spans="6:11" ht="20.100000000000001" customHeight="1">
      <c r="F88" s="110"/>
      <c r="K88" s="5"/>
    </row>
    <row r="89" spans="6:11" ht="20.100000000000001" customHeight="1">
      <c r="F89" s="110"/>
      <c r="K89" s="5"/>
    </row>
    <row r="90" spans="6:11" ht="20.100000000000001" customHeight="1">
      <c r="F90" s="110"/>
      <c r="K90" s="5"/>
    </row>
    <row r="91" spans="6:11" ht="20.100000000000001" customHeight="1">
      <c r="F91" s="110"/>
      <c r="K91" s="5"/>
    </row>
    <row r="92" spans="6:11" ht="20.100000000000001" customHeight="1">
      <c r="F92" s="110"/>
      <c r="K92" s="5"/>
    </row>
    <row r="93" spans="6:11" ht="20.100000000000001" customHeight="1">
      <c r="F93" s="110"/>
      <c r="K93" s="5"/>
    </row>
    <row r="94" spans="6:11" ht="20.100000000000001" customHeight="1">
      <c r="F94" s="110"/>
      <c r="K94" s="5"/>
    </row>
    <row r="95" spans="6:11" ht="20.100000000000001" customHeight="1">
      <c r="F95" s="110"/>
      <c r="K95" s="5"/>
    </row>
    <row r="96" spans="6:11" ht="20.100000000000001" customHeight="1">
      <c r="F96" s="110"/>
      <c r="K96" s="5"/>
    </row>
    <row r="97" spans="6:11" ht="20.100000000000001" customHeight="1">
      <c r="F97" s="110"/>
      <c r="K97" s="5"/>
    </row>
    <row r="98" spans="6:11" ht="20.100000000000001" customHeight="1">
      <c r="F98" s="110"/>
      <c r="K98" s="5"/>
    </row>
    <row r="99" spans="6:11" ht="20.100000000000001" customHeight="1">
      <c r="F99" s="110"/>
      <c r="K99" s="5"/>
    </row>
    <row r="100" spans="6:11" ht="20.100000000000001" customHeight="1">
      <c r="F100" s="110"/>
      <c r="K100" s="5"/>
    </row>
    <row r="101" spans="6:11" ht="20.100000000000001" customHeight="1">
      <c r="F101" s="110"/>
      <c r="K101" s="5"/>
    </row>
    <row r="102" spans="6:11" ht="20.100000000000001" customHeight="1">
      <c r="F102" s="110"/>
      <c r="K102" s="5"/>
    </row>
    <row r="103" spans="6:11" ht="20.100000000000001" customHeight="1">
      <c r="F103" s="110"/>
      <c r="K103" s="5"/>
    </row>
    <row r="104" spans="6:11" ht="20.100000000000001" customHeight="1">
      <c r="F104" s="110"/>
      <c r="K104" s="5"/>
    </row>
    <row r="105" spans="6:11" ht="20.100000000000001" customHeight="1">
      <c r="F105" s="110"/>
      <c r="K105" s="5"/>
    </row>
    <row r="106" spans="6:11" ht="20.100000000000001" customHeight="1">
      <c r="F106" s="110"/>
      <c r="K106" s="5"/>
    </row>
    <row r="107" spans="6:11" ht="20.100000000000001" customHeight="1">
      <c r="F107" s="110"/>
      <c r="K107" s="5"/>
    </row>
    <row r="108" spans="6:11" ht="20.100000000000001" customHeight="1">
      <c r="F108" s="110"/>
      <c r="K108" s="5"/>
    </row>
    <row r="109" spans="6:11" ht="20.100000000000001" customHeight="1">
      <c r="F109" s="110"/>
      <c r="K109" s="5"/>
    </row>
    <row r="110" spans="6:11" ht="20.100000000000001" customHeight="1">
      <c r="F110" s="110"/>
      <c r="K110" s="5"/>
    </row>
    <row r="111" spans="6:11" ht="20.100000000000001" customHeight="1">
      <c r="F111" s="110"/>
      <c r="K111" s="5"/>
    </row>
    <row r="112" spans="6:11" ht="20.100000000000001" customHeight="1">
      <c r="F112" s="110"/>
      <c r="K112" s="5"/>
    </row>
    <row r="113" spans="6:11" ht="20.100000000000001" customHeight="1">
      <c r="F113" s="110"/>
      <c r="K113" s="5"/>
    </row>
    <row r="114" spans="6:11" ht="20.100000000000001" customHeight="1">
      <c r="F114" s="110"/>
      <c r="K114" s="5"/>
    </row>
    <row r="115" spans="6:11" ht="20.100000000000001" customHeight="1">
      <c r="F115" s="110"/>
      <c r="K115" s="5"/>
    </row>
    <row r="116" spans="6:11" ht="20.100000000000001" customHeight="1">
      <c r="F116" s="110"/>
      <c r="K116" s="5"/>
    </row>
    <row r="117" spans="6:11" ht="20.100000000000001" customHeight="1">
      <c r="F117" s="110"/>
      <c r="K117" s="5"/>
    </row>
    <row r="118" spans="6:11" ht="20.100000000000001" customHeight="1">
      <c r="F118" s="110"/>
      <c r="K118" s="5"/>
    </row>
    <row r="119" spans="6:11" ht="20.100000000000001" customHeight="1">
      <c r="F119" s="110"/>
      <c r="K119" s="5"/>
    </row>
    <row r="120" spans="6:11" ht="20.100000000000001" customHeight="1">
      <c r="F120" s="110"/>
      <c r="K120" s="5"/>
    </row>
    <row r="121" spans="6:11" ht="20.100000000000001" customHeight="1">
      <c r="F121" s="110"/>
      <c r="K121" s="5"/>
    </row>
    <row r="122" spans="6:11" ht="20.100000000000001" customHeight="1">
      <c r="F122" s="110"/>
      <c r="K122" s="5"/>
    </row>
    <row r="123" spans="6:11" ht="20.100000000000001" customHeight="1">
      <c r="F123" s="110"/>
      <c r="K123" s="5"/>
    </row>
    <row r="124" spans="6:11" ht="20.100000000000001" customHeight="1">
      <c r="F124" s="110"/>
      <c r="K124" s="5"/>
    </row>
    <row r="125" spans="6:11" ht="20.100000000000001" customHeight="1">
      <c r="F125" s="110"/>
      <c r="K125" s="5"/>
    </row>
    <row r="126" spans="6:11" ht="20.100000000000001" customHeight="1">
      <c r="F126" s="110"/>
      <c r="K126" s="5"/>
    </row>
    <row r="127" spans="6:11" ht="20.100000000000001" customHeight="1">
      <c r="F127" s="110"/>
      <c r="K127" s="5"/>
    </row>
    <row r="128" spans="6:11" ht="20.100000000000001" customHeight="1">
      <c r="F128" s="110"/>
      <c r="K128" s="5"/>
    </row>
    <row r="129" spans="6:11" ht="20.100000000000001" customHeight="1">
      <c r="F129" s="110"/>
      <c r="K129" s="5"/>
    </row>
    <row r="130" spans="6:11" ht="20.100000000000001" customHeight="1">
      <c r="F130" s="110"/>
      <c r="K130" s="5"/>
    </row>
    <row r="131" spans="6:11" ht="20.100000000000001" customHeight="1">
      <c r="F131" s="110"/>
      <c r="K131" s="5"/>
    </row>
    <row r="132" spans="6:11" ht="20.100000000000001" customHeight="1">
      <c r="F132" s="110"/>
      <c r="K132" s="5"/>
    </row>
    <row r="133" spans="6:11" ht="20.100000000000001" customHeight="1">
      <c r="F133" s="110"/>
      <c r="K133" s="5"/>
    </row>
    <row r="134" spans="6:11" ht="20.100000000000001" customHeight="1">
      <c r="F134" s="110"/>
      <c r="K134" s="5"/>
    </row>
    <row r="135" spans="6:11" ht="20.100000000000001" customHeight="1">
      <c r="F135" s="110"/>
      <c r="K135" s="5"/>
    </row>
    <row r="136" spans="6:11" ht="20.100000000000001" customHeight="1">
      <c r="F136" s="110"/>
      <c r="K136" s="5"/>
    </row>
    <row r="137" spans="6:11" ht="20.100000000000001" customHeight="1">
      <c r="F137" s="110"/>
      <c r="K137" s="5"/>
    </row>
    <row r="138" spans="6:11" ht="20.100000000000001" customHeight="1">
      <c r="F138" s="110"/>
      <c r="K138" s="5"/>
    </row>
    <row r="139" spans="6:11" ht="20.100000000000001" customHeight="1">
      <c r="F139" s="110"/>
      <c r="K139" s="5"/>
    </row>
    <row r="140" spans="6:11" ht="20.100000000000001" customHeight="1">
      <c r="F140" s="110"/>
      <c r="K140" s="5"/>
    </row>
    <row r="141" spans="6:11" ht="20.100000000000001" customHeight="1">
      <c r="F141" s="110"/>
      <c r="K141" s="5"/>
    </row>
    <row r="142" spans="6:11" ht="20.100000000000001" customHeight="1">
      <c r="F142" s="110"/>
      <c r="K142" s="5"/>
    </row>
    <row r="143" spans="6:11" ht="20.100000000000001" customHeight="1">
      <c r="F143" s="110"/>
      <c r="K143" s="5"/>
    </row>
    <row r="144" spans="6:11" ht="20.100000000000001" customHeight="1">
      <c r="F144" s="110"/>
      <c r="K144" s="5"/>
    </row>
    <row r="145" spans="6:11" ht="20.100000000000001" customHeight="1">
      <c r="F145" s="110"/>
      <c r="K145" s="5"/>
    </row>
    <row r="146" spans="6:11" ht="20.100000000000001" customHeight="1">
      <c r="F146" s="110"/>
      <c r="K146" s="5"/>
    </row>
    <row r="147" spans="6:11" ht="20.100000000000001" customHeight="1">
      <c r="F147" s="110"/>
      <c r="K147" s="5"/>
    </row>
    <row r="148" spans="6:11" ht="20.100000000000001" customHeight="1">
      <c r="F148" s="110"/>
      <c r="K148" s="5"/>
    </row>
    <row r="149" spans="6:11" ht="20.100000000000001" customHeight="1">
      <c r="F149" s="110"/>
      <c r="K149" s="5"/>
    </row>
    <row r="150" spans="6:11" ht="20.100000000000001" customHeight="1">
      <c r="F150" s="110"/>
      <c r="K150" s="5"/>
    </row>
    <row r="151" spans="6:11" ht="20.100000000000001" customHeight="1">
      <c r="F151" s="110"/>
      <c r="K151" s="5"/>
    </row>
    <row r="152" spans="6:11" ht="20.100000000000001" customHeight="1">
      <c r="F152" s="110"/>
      <c r="K152" s="5"/>
    </row>
    <row r="153" spans="6:11" ht="20.100000000000001" customHeight="1">
      <c r="F153" s="110"/>
      <c r="K153" s="5"/>
    </row>
    <row r="154" spans="6:11" ht="20.100000000000001" customHeight="1">
      <c r="F154" s="110"/>
      <c r="K154" s="5"/>
    </row>
    <row r="155" spans="6:11" ht="20.100000000000001" customHeight="1">
      <c r="F155" s="110"/>
      <c r="K155" s="5"/>
    </row>
    <row r="156" spans="6:11" ht="20.100000000000001" customHeight="1">
      <c r="F156" s="110"/>
      <c r="K156" s="5"/>
    </row>
    <row r="157" spans="6:11" ht="20.100000000000001" customHeight="1">
      <c r="F157" s="110"/>
      <c r="K157" s="5"/>
    </row>
    <row r="158" spans="6:11" ht="20.100000000000001" customHeight="1">
      <c r="F158" s="110"/>
      <c r="K158" s="5"/>
    </row>
    <row r="159" spans="6:11" ht="20.100000000000001" customHeight="1">
      <c r="F159" s="110"/>
      <c r="K159" s="5"/>
    </row>
    <row r="160" spans="6:11" ht="20.100000000000001" customHeight="1">
      <c r="F160" s="110"/>
      <c r="K160" s="5"/>
    </row>
    <row r="161" spans="6:11" ht="20.100000000000001" customHeight="1">
      <c r="F161" s="110"/>
      <c r="K161" s="5"/>
    </row>
    <row r="162" spans="6:11" ht="20.100000000000001" customHeight="1">
      <c r="F162" s="110"/>
      <c r="K162" s="5"/>
    </row>
    <row r="163" spans="6:11" ht="20.100000000000001" customHeight="1">
      <c r="F163" s="110"/>
      <c r="K163" s="5"/>
    </row>
    <row r="164" spans="6:11" ht="20.100000000000001" customHeight="1">
      <c r="F164" s="110"/>
      <c r="K164" s="5"/>
    </row>
    <row r="165" spans="6:11" ht="20.100000000000001" customHeight="1">
      <c r="F165" s="110"/>
      <c r="K165" s="5"/>
    </row>
    <row r="166" spans="6:11" ht="20.100000000000001" customHeight="1">
      <c r="F166" s="110"/>
      <c r="K166" s="5"/>
    </row>
    <row r="167" spans="6:11" ht="20.100000000000001" customHeight="1">
      <c r="F167" s="110"/>
      <c r="K167" s="5"/>
    </row>
    <row r="168" spans="6:11" ht="20.100000000000001" customHeight="1">
      <c r="F168" s="110"/>
      <c r="K168" s="5"/>
    </row>
    <row r="169" spans="6:11" ht="20.100000000000001" customHeight="1">
      <c r="F169" s="110"/>
      <c r="K169" s="5"/>
    </row>
    <row r="170" spans="6:11" ht="20.100000000000001" customHeight="1">
      <c r="F170" s="110"/>
      <c r="K170" s="5"/>
    </row>
    <row r="171" spans="6:11" ht="20.100000000000001" customHeight="1">
      <c r="F171" s="110"/>
      <c r="K171" s="5"/>
    </row>
    <row r="172" spans="6:11" ht="20.100000000000001" customHeight="1">
      <c r="F172" s="110"/>
      <c r="K172" s="5"/>
    </row>
    <row r="173" spans="6:11" ht="20.100000000000001" customHeight="1">
      <c r="F173" s="110"/>
      <c r="K173" s="5"/>
    </row>
    <row r="174" spans="6:11" ht="20.100000000000001" customHeight="1">
      <c r="F174" s="110"/>
      <c r="K174" s="5"/>
    </row>
    <row r="175" spans="6:11" ht="20.100000000000001" customHeight="1">
      <c r="F175" s="110"/>
      <c r="K175" s="5"/>
    </row>
    <row r="176" spans="6:11" ht="20.100000000000001" customHeight="1">
      <c r="F176" s="110"/>
      <c r="K176" s="5"/>
    </row>
    <row r="177" spans="6:11" ht="20.100000000000001" customHeight="1">
      <c r="F177" s="110"/>
      <c r="K177" s="5"/>
    </row>
    <row r="178" spans="6:11" ht="20.100000000000001" customHeight="1">
      <c r="F178" s="110"/>
      <c r="K178" s="5"/>
    </row>
    <row r="179" spans="6:11" ht="20.100000000000001" customHeight="1">
      <c r="F179" s="110"/>
      <c r="K179" s="5"/>
    </row>
    <row r="180" spans="6:11" ht="20.100000000000001" customHeight="1">
      <c r="F180" s="110"/>
      <c r="K180" s="5"/>
    </row>
    <row r="181" spans="6:11" ht="20.100000000000001" customHeight="1">
      <c r="F181" s="110"/>
      <c r="K181" s="5"/>
    </row>
    <row r="182" spans="6:11" ht="20.100000000000001" customHeight="1">
      <c r="F182" s="110"/>
      <c r="K182" s="5"/>
    </row>
    <row r="183" spans="6:11" ht="20.100000000000001" customHeight="1">
      <c r="F183" s="110"/>
      <c r="K183" s="5"/>
    </row>
    <row r="184" spans="6:11" ht="20.100000000000001" customHeight="1">
      <c r="F184" s="110"/>
      <c r="K184" s="5"/>
    </row>
    <row r="185" spans="6:11" ht="20.100000000000001" customHeight="1">
      <c r="F185" s="110"/>
      <c r="K185" s="5"/>
    </row>
    <row r="186" spans="6:11" ht="20.100000000000001" customHeight="1">
      <c r="F186" s="110"/>
      <c r="K186" s="5"/>
    </row>
    <row r="187" spans="6:11" ht="20.100000000000001" customHeight="1">
      <c r="F187" s="110"/>
      <c r="K187" s="5"/>
    </row>
    <row r="188" spans="6:11" ht="20.100000000000001" customHeight="1">
      <c r="F188" s="110"/>
      <c r="K188" s="5"/>
    </row>
    <row r="189" spans="6:11" ht="20.100000000000001" customHeight="1">
      <c r="F189" s="110"/>
      <c r="K189" s="5"/>
    </row>
    <row r="190" spans="6:11" ht="20.100000000000001" customHeight="1">
      <c r="F190" s="110"/>
      <c r="K190" s="5"/>
    </row>
    <row r="191" spans="6:11" ht="20.100000000000001" customHeight="1">
      <c r="F191" s="110"/>
      <c r="K191" s="5"/>
    </row>
    <row r="192" spans="6:11" ht="20.100000000000001" customHeight="1">
      <c r="F192" s="110"/>
      <c r="K192" s="5"/>
    </row>
    <row r="193" spans="6:11" ht="20.100000000000001" customHeight="1">
      <c r="F193" s="110"/>
      <c r="K193" s="5"/>
    </row>
    <row r="194" spans="6:11" ht="20.100000000000001" customHeight="1">
      <c r="F194" s="110"/>
      <c r="K194" s="5"/>
    </row>
    <row r="195" spans="6:11" ht="20.100000000000001" customHeight="1">
      <c r="F195" s="110"/>
      <c r="K195" s="5"/>
    </row>
    <row r="196" spans="6:11" ht="20.100000000000001" customHeight="1">
      <c r="F196" s="110"/>
      <c r="K196" s="5"/>
    </row>
    <row r="197" spans="6:11" ht="20.100000000000001" customHeight="1">
      <c r="F197" s="110"/>
      <c r="K197" s="5"/>
    </row>
    <row r="198" spans="6:11" ht="20.100000000000001" customHeight="1">
      <c r="F198" s="110"/>
      <c r="K198" s="5"/>
    </row>
    <row r="199" spans="6:11" ht="20.100000000000001" customHeight="1">
      <c r="F199" s="110"/>
      <c r="K199" s="5"/>
    </row>
    <row r="200" spans="6:11" ht="20.100000000000001" customHeight="1">
      <c r="F200" s="110"/>
      <c r="K200" s="5"/>
    </row>
    <row r="201" spans="6:11" ht="20.100000000000001" customHeight="1">
      <c r="F201" s="110"/>
      <c r="K201" s="5"/>
    </row>
    <row r="202" spans="6:11" ht="20.100000000000001" customHeight="1">
      <c r="F202" s="110"/>
      <c r="K202" s="5"/>
    </row>
    <row r="203" spans="6:11" ht="20.100000000000001" customHeight="1">
      <c r="F203" s="110"/>
      <c r="K203" s="5"/>
    </row>
    <row r="204" spans="6:11" ht="20.100000000000001" customHeight="1">
      <c r="F204" s="110"/>
      <c r="K204" s="5"/>
    </row>
    <row r="205" spans="6:11" ht="20.100000000000001" customHeight="1">
      <c r="F205" s="110"/>
      <c r="K205" s="5"/>
    </row>
    <row r="206" spans="6:11" ht="20.100000000000001" customHeight="1">
      <c r="F206" s="110"/>
      <c r="K206" s="5"/>
    </row>
    <row r="207" spans="6:11" ht="20.100000000000001" customHeight="1">
      <c r="F207" s="110"/>
      <c r="K207" s="5"/>
    </row>
    <row r="208" spans="6:11" ht="20.100000000000001" customHeight="1">
      <c r="F208" s="110"/>
      <c r="K208" s="5"/>
    </row>
    <row r="209" spans="6:11" ht="20.100000000000001" customHeight="1">
      <c r="F209" s="110"/>
      <c r="K209" s="5"/>
    </row>
    <row r="210" spans="6:11" ht="20.100000000000001" customHeight="1">
      <c r="F210" s="110"/>
      <c r="K210" s="5"/>
    </row>
    <row r="211" spans="6:11" ht="20.100000000000001" customHeight="1">
      <c r="F211" s="110"/>
      <c r="K211" s="5"/>
    </row>
    <row r="212" spans="6:11" ht="20.100000000000001" customHeight="1">
      <c r="F212" s="110"/>
      <c r="K212" s="5"/>
    </row>
    <row r="213" spans="6:11" ht="20.100000000000001" customHeight="1">
      <c r="F213" s="110"/>
      <c r="K213" s="5"/>
    </row>
    <row r="214" spans="6:11" ht="20.100000000000001" customHeight="1">
      <c r="F214" s="110"/>
      <c r="K214" s="5"/>
    </row>
    <row r="215" spans="6:11" ht="20.100000000000001" customHeight="1">
      <c r="F215" s="110"/>
      <c r="K215" s="5"/>
    </row>
  </sheetData>
  <mergeCells count="7">
    <mergeCell ref="A55:F55"/>
    <mergeCell ref="A56:F56"/>
    <mergeCell ref="A48:F48"/>
    <mergeCell ref="A49:F49"/>
    <mergeCell ref="A50:F50"/>
    <mergeCell ref="A51:F51"/>
    <mergeCell ref="A52:F52"/>
  </mergeCells>
  <phoneticPr fontId="78" type="noConversion"/>
  <hyperlinks>
    <hyperlink ref="E1" location="目录!A1" display="BACK"/>
  </hyperlinks>
  <pageMargins left="0.27500000000000002" right="0.27500000000000002" top="0.51180555555555596" bottom="0.51180555555555596" header="0.27500000000000002" footer="0.27500000000000002"/>
  <pageSetup paperSize="9" orientation="landscape" blackAndWhite="1" r:id="rId1"/>
  <headerFooter alignWithMargins="0"/>
  <rowBreaks count="2" manualBreakCount="2">
    <brk id="25" max="5" man="1"/>
    <brk id="51" max="5"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K22"/>
  <sheetViews>
    <sheetView view="pageBreakPreview" zoomScaleNormal="100" zoomScaleSheetLayoutView="100" workbookViewId="0">
      <selection activeCell="G10" sqref="G10"/>
    </sheetView>
  </sheetViews>
  <sheetFormatPr defaultColWidth="9" defaultRowHeight="20.100000000000001" customHeight="1"/>
  <cols>
    <col min="1" max="3" width="16.59765625" style="18" customWidth="1"/>
    <col min="4" max="4" width="21.09765625" style="18" customWidth="1"/>
    <col min="5" max="5" width="16.59765625" style="18" customWidth="1"/>
    <col min="6" max="6" width="18.5" style="18" customWidth="1"/>
    <col min="7" max="7" width="18.69921875" style="18" customWidth="1"/>
    <col min="8" max="8" width="15.09765625" style="18" customWidth="1"/>
    <col min="9" max="16384" width="9" style="18"/>
  </cols>
  <sheetData>
    <row r="1" spans="1:11" ht="24.9" customHeight="1">
      <c r="A1" s="48" t="s">
        <v>145</v>
      </c>
      <c r="B1" s="49">
        <f>基础信息!B6</f>
        <v>0</v>
      </c>
      <c r="C1" s="16"/>
      <c r="D1" s="16"/>
      <c r="E1" s="19"/>
      <c r="F1" s="900" t="s">
        <v>146</v>
      </c>
      <c r="G1" s="16"/>
    </row>
    <row r="2" spans="1:11" ht="24.9" customHeight="1">
      <c r="A2" s="48" t="s">
        <v>147</v>
      </c>
      <c r="B2" s="49">
        <f>基础信息!B9</f>
        <v>0</v>
      </c>
      <c r="C2" s="16"/>
      <c r="D2" s="16"/>
      <c r="E2" s="16"/>
      <c r="F2" s="16"/>
      <c r="G2" s="16"/>
    </row>
    <row r="3" spans="1:11" s="1" customFormat="1" ht="24.9" customHeight="1">
      <c r="A3" s="379" t="s">
        <v>1292</v>
      </c>
      <c r="B3" s="379" t="s">
        <v>1293</v>
      </c>
      <c r="C3" s="121"/>
      <c r="D3" s="121"/>
      <c r="E3" s="121"/>
      <c r="F3" s="121"/>
      <c r="G3" s="121"/>
      <c r="H3" s="3"/>
      <c r="I3" s="3"/>
    </row>
    <row r="4" spans="1:11" s="212" customFormat="1" ht="24.9" customHeight="1">
      <c r="A4" s="1068" t="s">
        <v>1290</v>
      </c>
      <c r="B4" s="1068" t="s">
        <v>1294</v>
      </c>
      <c r="C4" s="1068" t="s">
        <v>1191</v>
      </c>
      <c r="D4" s="1068"/>
      <c r="E4" s="1068" t="s">
        <v>1295</v>
      </c>
      <c r="F4" s="1068"/>
      <c r="G4" s="1068" t="s">
        <v>773</v>
      </c>
    </row>
    <row r="5" spans="1:11" s="212" customFormat="1" ht="24.9" customHeight="1">
      <c r="A5" s="1068"/>
      <c r="B5" s="1068"/>
      <c r="C5" s="225" t="s">
        <v>1296</v>
      </c>
      <c r="D5" s="225" t="s">
        <v>1297</v>
      </c>
      <c r="E5" s="225" t="s">
        <v>1298</v>
      </c>
      <c r="F5" s="225" t="s">
        <v>1299</v>
      </c>
      <c r="G5" s="1068"/>
    </row>
    <row r="6" spans="1:11" s="212" customFormat="1" ht="20.100000000000001" customHeight="1">
      <c r="A6" s="227"/>
      <c r="B6" s="133"/>
      <c r="C6" s="133"/>
      <c r="D6" s="133"/>
      <c r="E6" s="133"/>
      <c r="F6" s="133"/>
      <c r="G6" s="133"/>
    </row>
    <row r="7" spans="1:11" s="212" customFormat="1" ht="20.100000000000001" customHeight="1">
      <c r="A7" s="227"/>
      <c r="B7" s="133"/>
      <c r="C7" s="133"/>
      <c r="D7" s="133"/>
      <c r="E7" s="133"/>
      <c r="F7" s="133"/>
      <c r="G7" s="133"/>
    </row>
    <row r="8" spans="1:11" s="212" customFormat="1" ht="20.100000000000001" customHeight="1">
      <c r="A8" s="227"/>
      <c r="B8" s="171"/>
      <c r="C8" s="133"/>
      <c r="D8" s="133"/>
      <c r="E8" s="133"/>
      <c r="F8" s="171"/>
      <c r="G8" s="12"/>
    </row>
    <row r="9" spans="1:11" s="212" customFormat="1" ht="20.100000000000001" customHeight="1">
      <c r="A9" s="227" t="s">
        <v>1300</v>
      </c>
      <c r="B9" s="279">
        <f>SUM(B6:B8)</f>
        <v>0</v>
      </c>
      <c r="C9" s="279">
        <f t="shared" ref="C9:G9" si="0">SUM(C6:C8)</f>
        <v>0</v>
      </c>
      <c r="D9" s="279">
        <f t="shared" si="0"/>
        <v>0</v>
      </c>
      <c r="E9" s="279">
        <f t="shared" si="0"/>
        <v>0</v>
      </c>
      <c r="F9" s="279">
        <f t="shared" si="0"/>
        <v>0</v>
      </c>
      <c r="G9" s="279">
        <f t="shared" si="0"/>
        <v>0</v>
      </c>
    </row>
    <row r="10" spans="1:11" s="363" customFormat="1" ht="20.100000000000001" customHeight="1">
      <c r="A10" s="219" t="s">
        <v>623</v>
      </c>
      <c r="B10" s="220"/>
      <c r="C10" s="279"/>
      <c r="D10" s="380"/>
      <c r="E10" s="380"/>
      <c r="F10" s="380"/>
      <c r="G10" s="279"/>
      <c r="H10" s="217"/>
      <c r="I10" s="217"/>
      <c r="J10" s="217"/>
      <c r="K10" s="217"/>
    </row>
    <row r="11" spans="1:11" s="363" customFormat="1" ht="20.100000000000001" customHeight="1">
      <c r="A11" s="366"/>
      <c r="B11" s="367"/>
      <c r="C11" s="381"/>
      <c r="D11" s="193"/>
      <c r="E11" s="193"/>
      <c r="F11" s="193"/>
      <c r="G11" s="271">
        <f>G9-G10</f>
        <v>0</v>
      </c>
      <c r="H11" s="217"/>
      <c r="I11" s="217"/>
      <c r="J11" s="217"/>
      <c r="K11" s="217"/>
    </row>
    <row r="12" spans="1:11" s="363" customFormat="1" ht="20.100000000000001" customHeight="1">
      <c r="A12" s="221"/>
      <c r="B12" s="221"/>
      <c r="C12" s="376"/>
      <c r="G12" s="221" t="str">
        <f>IF(G11=0,"OK","NO")</f>
        <v>OK</v>
      </c>
      <c r="H12" s="217"/>
      <c r="I12" s="217"/>
      <c r="J12" s="217"/>
      <c r="K12" s="217"/>
    </row>
    <row r="13" spans="1:11" s="212" customFormat="1" ht="20.100000000000001" customHeight="1">
      <c r="A13" s="234" t="s">
        <v>1301</v>
      </c>
      <c r="B13" s="281"/>
      <c r="C13" s="281"/>
      <c r="D13" s="281"/>
      <c r="E13" s="281"/>
      <c r="F13" s="281"/>
    </row>
    <row r="14" spans="1:11" s="212" customFormat="1" ht="20.100000000000001" customHeight="1">
      <c r="A14" s="212" t="s">
        <v>1302</v>
      </c>
    </row>
    <row r="15" spans="1:11" s="212" customFormat="1" ht="20.100000000000001" customHeight="1">
      <c r="A15" s="382" t="s">
        <v>1303</v>
      </c>
      <c r="B15" s="382" t="s">
        <v>1304</v>
      </c>
      <c r="C15" s="382" t="s">
        <v>1305</v>
      </c>
      <c r="D15" s="382" t="s">
        <v>1306</v>
      </c>
    </row>
    <row r="16" spans="1:11" s="212" customFormat="1" ht="20.100000000000001" customHeight="1">
      <c r="A16" s="227"/>
      <c r="B16" s="227"/>
      <c r="C16" s="227"/>
      <c r="D16" s="227"/>
    </row>
    <row r="17" spans="1:4" s="212" customFormat="1" ht="20.100000000000001" customHeight="1">
      <c r="A17" s="227"/>
      <c r="B17" s="227"/>
      <c r="C17" s="227"/>
      <c r="D17" s="227"/>
    </row>
    <row r="18" spans="1:4" s="212" customFormat="1" ht="20.100000000000001" customHeight="1">
      <c r="A18" s="227"/>
      <c r="B18" s="244"/>
      <c r="C18" s="244"/>
      <c r="D18" s="244"/>
    </row>
    <row r="19" spans="1:4" s="212" customFormat="1" ht="20.100000000000001" customHeight="1">
      <c r="A19" s="227" t="s">
        <v>1300</v>
      </c>
      <c r="B19" s="244"/>
      <c r="C19" s="244"/>
      <c r="D19" s="227"/>
    </row>
    <row r="20" spans="1:4" s="212" customFormat="1" ht="20.100000000000001" customHeight="1">
      <c r="A20" s="281" t="s">
        <v>1307</v>
      </c>
    </row>
    <row r="21" spans="1:4" s="212" customFormat="1" ht="18" customHeight="1"/>
    <row r="22" spans="1:4" s="3" customFormat="1" ht="20.100000000000001" customHeight="1"/>
  </sheetData>
  <mergeCells count="5">
    <mergeCell ref="C4:D4"/>
    <mergeCell ref="E4:F4"/>
    <mergeCell ref="A4:A5"/>
    <mergeCell ref="B4:B5"/>
    <mergeCell ref="G4:G5"/>
  </mergeCells>
  <phoneticPr fontId="78" type="noConversion"/>
  <hyperlinks>
    <hyperlink ref="F1" location="目录!A1" display="BACK"/>
  </hyperlinks>
  <pageMargins left="0.27500000000000002" right="0.27500000000000002" top="0.51180555555555596" bottom="0.51180555555555596" header="0.27500000000000002" footer="0.27500000000000002"/>
  <pageSetup paperSize="9" orientation="landscape" blackAndWhite="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K24"/>
  <sheetViews>
    <sheetView view="pageBreakPreview" zoomScaleNormal="100" zoomScaleSheetLayoutView="100" workbookViewId="0">
      <selection activeCell="G3" sqref="G3"/>
    </sheetView>
  </sheetViews>
  <sheetFormatPr defaultColWidth="9" defaultRowHeight="20.100000000000001" customHeight="1"/>
  <cols>
    <col min="1" max="1" width="26.19921875" style="312" customWidth="1"/>
    <col min="2" max="7" width="15.59765625" style="312" customWidth="1"/>
    <col min="8" max="8" width="19" style="312" customWidth="1"/>
    <col min="9" max="9" width="11.8984375" style="312" customWidth="1"/>
    <col min="10" max="16384" width="9" style="312"/>
  </cols>
  <sheetData>
    <row r="1" spans="1:8" ht="24.9" customHeight="1">
      <c r="A1" s="48" t="s">
        <v>145</v>
      </c>
      <c r="B1" s="49">
        <f>基础信息!B6</f>
        <v>0</v>
      </c>
      <c r="C1" s="314"/>
      <c r="D1" s="314"/>
      <c r="E1" s="315"/>
      <c r="F1" s="900" t="s">
        <v>146</v>
      </c>
      <c r="G1" s="314"/>
    </row>
    <row r="2" spans="1:8" ht="24.9" customHeight="1">
      <c r="A2" s="48" t="s">
        <v>147</v>
      </c>
      <c r="B2" s="49">
        <f>基础信息!B9</f>
        <v>0</v>
      </c>
      <c r="C2" s="314"/>
      <c r="D2" s="314"/>
      <c r="E2" s="314"/>
      <c r="F2" s="314"/>
      <c r="G2" s="314"/>
    </row>
    <row r="3" spans="1:8" s="313" customFormat="1" ht="24.9" customHeight="1">
      <c r="A3" s="341" t="s">
        <v>148</v>
      </c>
      <c r="B3" s="341" t="s">
        <v>1308</v>
      </c>
      <c r="C3" s="314"/>
      <c r="D3" s="314"/>
      <c r="E3" s="314"/>
      <c r="F3" s="314"/>
      <c r="G3" s="314"/>
      <c r="H3" s="312"/>
    </row>
    <row r="4" spans="1:8" s="373" customFormat="1" ht="24.9" customHeight="1">
      <c r="A4" s="210" t="s">
        <v>1309</v>
      </c>
      <c r="B4" s="210"/>
      <c r="C4" s="210"/>
      <c r="D4" s="210"/>
      <c r="E4" s="210"/>
      <c r="F4" s="210"/>
      <c r="G4" s="210"/>
    </row>
    <row r="5" spans="1:8" s="374" customFormat="1" ht="24.9" customHeight="1">
      <c r="A5" s="1090" t="s">
        <v>1310</v>
      </c>
      <c r="B5" s="1090" t="s">
        <v>1311</v>
      </c>
      <c r="C5" s="1090" t="s">
        <v>1312</v>
      </c>
      <c r="D5" s="1090"/>
      <c r="E5" s="1090" t="s">
        <v>1313</v>
      </c>
      <c r="F5" s="1090"/>
      <c r="G5" s="1090" t="s">
        <v>1314</v>
      </c>
    </row>
    <row r="6" spans="1:8" s="374" customFormat="1" ht="24.9" customHeight="1">
      <c r="A6" s="1090"/>
      <c r="B6" s="1090"/>
      <c r="C6" s="169" t="s">
        <v>1315</v>
      </c>
      <c r="D6" s="375" t="s">
        <v>1316</v>
      </c>
      <c r="E6" s="169" t="s">
        <v>1317</v>
      </c>
      <c r="F6" s="375" t="s">
        <v>1316</v>
      </c>
      <c r="G6" s="1090"/>
    </row>
    <row r="7" spans="1:8" s="212" customFormat="1" ht="20.100000000000001" customHeight="1">
      <c r="A7" s="278" t="s">
        <v>712</v>
      </c>
      <c r="B7" s="171"/>
      <c r="C7" s="171"/>
      <c r="D7" s="171"/>
      <c r="E7" s="171"/>
      <c r="F7" s="171"/>
      <c r="G7" s="113">
        <f>B7+C7+D7-E7-F7</f>
        <v>0</v>
      </c>
    </row>
    <row r="8" spans="1:8" s="212" customFormat="1" ht="20.100000000000001" customHeight="1">
      <c r="A8" s="244"/>
      <c r="B8" s="171"/>
      <c r="C8" s="171"/>
      <c r="D8" s="171"/>
      <c r="E8" s="171"/>
      <c r="F8" s="171"/>
      <c r="G8" s="113">
        <f t="shared" ref="G8:G9" si="0">B8+C8+D8-E8-F8</f>
        <v>0</v>
      </c>
    </row>
    <row r="9" spans="1:8" s="212" customFormat="1" ht="20.100000000000001" customHeight="1">
      <c r="A9" s="244"/>
      <c r="B9" s="171"/>
      <c r="C9" s="171"/>
      <c r="D9" s="171"/>
      <c r="E9" s="171"/>
      <c r="F9" s="171"/>
      <c r="G9" s="14">
        <f t="shared" si="0"/>
        <v>0</v>
      </c>
    </row>
    <row r="10" spans="1:8" s="212" customFormat="1" ht="20.100000000000001" customHeight="1">
      <c r="A10" s="244" t="s">
        <v>621</v>
      </c>
      <c r="B10" s="113">
        <f>SUM(B7:B9)</f>
        <v>0</v>
      </c>
      <c r="C10" s="113">
        <f t="shared" ref="C10" si="1">SUM(C7:C9)</f>
        <v>0</v>
      </c>
      <c r="D10" s="113">
        <f t="shared" ref="D10" si="2">SUM(D7:D9)</f>
        <v>0</v>
      </c>
      <c r="E10" s="113">
        <f t="shared" ref="E10" si="3">SUM(E7:E9)</f>
        <v>0</v>
      </c>
      <c r="F10" s="113">
        <f t="shared" ref="F10" si="4">SUM(F7:F9)</f>
        <v>0</v>
      </c>
      <c r="G10" s="113">
        <f t="shared" ref="G10" si="5">SUM(G7:G9)</f>
        <v>0</v>
      </c>
    </row>
    <row r="11" spans="1:8" s="212" customFormat="1" ht="20.100000000000001" customHeight="1">
      <c r="A11" s="1091" t="s">
        <v>1318</v>
      </c>
      <c r="B11" s="1091"/>
      <c r="C11" s="1091"/>
      <c r="D11" s="1091"/>
      <c r="E11" s="1091"/>
      <c r="F11" s="1091"/>
      <c r="G11" s="1091"/>
    </row>
    <row r="12" spans="1:8" s="212" customFormat="1" ht="20.100000000000001" customHeight="1">
      <c r="A12" s="212" t="s">
        <v>1319</v>
      </c>
    </row>
    <row r="13" spans="1:8" s="212" customFormat="1" ht="20.100000000000001" customHeight="1">
      <c r="A13" s="1090" t="s">
        <v>1310</v>
      </c>
      <c r="B13" s="1090" t="s">
        <v>1311</v>
      </c>
      <c r="C13" s="1090" t="s">
        <v>1312</v>
      </c>
      <c r="D13" s="1090"/>
      <c r="E13" s="1090" t="s">
        <v>1313</v>
      </c>
      <c r="F13" s="1090"/>
      <c r="G13" s="1090" t="s">
        <v>1314</v>
      </c>
    </row>
    <row r="14" spans="1:8" s="212" customFormat="1" ht="20.100000000000001" customHeight="1">
      <c r="A14" s="1090"/>
      <c r="B14" s="1090"/>
      <c r="C14" s="169" t="s">
        <v>1320</v>
      </c>
      <c r="D14" s="375" t="s">
        <v>1321</v>
      </c>
      <c r="E14" s="169" t="s">
        <v>1317</v>
      </c>
      <c r="F14" s="375" t="s">
        <v>1321</v>
      </c>
      <c r="G14" s="1090"/>
    </row>
    <row r="15" spans="1:8" s="212" customFormat="1" ht="20.100000000000001" customHeight="1">
      <c r="A15" s="278" t="s">
        <v>712</v>
      </c>
      <c r="B15" s="171"/>
      <c r="C15" s="171"/>
      <c r="D15" s="171"/>
      <c r="E15" s="171"/>
      <c r="F15" s="171"/>
      <c r="G15" s="113">
        <f>B15+C15+D15-E15-F15</f>
        <v>0</v>
      </c>
    </row>
    <row r="16" spans="1:8" s="212" customFormat="1" ht="20.100000000000001" customHeight="1">
      <c r="A16" s="244"/>
      <c r="B16" s="171"/>
      <c r="C16" s="171"/>
      <c r="D16" s="171"/>
      <c r="E16" s="171"/>
      <c r="F16" s="171"/>
      <c r="G16" s="113">
        <f t="shared" ref="G16:G17" si="6">B16+C16+D16-E16-F16</f>
        <v>0</v>
      </c>
    </row>
    <row r="17" spans="1:11" s="212" customFormat="1" ht="20.100000000000001" customHeight="1">
      <c r="A17" s="244"/>
      <c r="B17" s="171"/>
      <c r="C17" s="171"/>
      <c r="D17" s="171"/>
      <c r="E17" s="171"/>
      <c r="F17" s="171"/>
      <c r="G17" s="113">
        <f t="shared" si="6"/>
        <v>0</v>
      </c>
    </row>
    <row r="18" spans="1:11" s="212" customFormat="1" ht="20.100000000000001" customHeight="1">
      <c r="A18" s="244" t="s">
        <v>621</v>
      </c>
      <c r="B18" s="113">
        <f>SUM(B15:B17)</f>
        <v>0</v>
      </c>
      <c r="C18" s="113">
        <f t="shared" ref="C18:G18" si="7">SUM(C15:C17)</f>
        <v>0</v>
      </c>
      <c r="D18" s="113">
        <f t="shared" si="7"/>
        <v>0</v>
      </c>
      <c r="E18" s="113">
        <f t="shared" si="7"/>
        <v>0</v>
      </c>
      <c r="F18" s="113">
        <f t="shared" si="7"/>
        <v>0</v>
      </c>
      <c r="G18" s="113">
        <f t="shared" si="7"/>
        <v>0</v>
      </c>
    </row>
    <row r="19" spans="1:11" s="212" customFormat="1" ht="21" customHeight="1">
      <c r="A19" s="1089" t="s">
        <v>1322</v>
      </c>
      <c r="B19" s="1089"/>
      <c r="C19" s="1089"/>
      <c r="D19" s="1089"/>
      <c r="E19" s="1089"/>
      <c r="F19" s="1089"/>
      <c r="G19" s="1089"/>
    </row>
    <row r="20" spans="1:11" s="212" customFormat="1" ht="73.5" customHeight="1">
      <c r="A20" s="1077" t="s">
        <v>1323</v>
      </c>
      <c r="B20" s="1077"/>
      <c r="C20" s="1077"/>
      <c r="D20" s="1077"/>
      <c r="E20" s="1077"/>
      <c r="F20" s="1077"/>
      <c r="G20" s="1077"/>
    </row>
    <row r="21" spans="1:11" s="363" customFormat="1" ht="20.100000000000001" customHeight="1">
      <c r="A21" s="270" t="s">
        <v>623</v>
      </c>
      <c r="B21" s="270"/>
      <c r="C21" s="376"/>
      <c r="G21" s="377"/>
      <c r="H21" s="217"/>
      <c r="I21" s="217"/>
      <c r="J21" s="217"/>
      <c r="K21" s="217"/>
    </row>
    <row r="22" spans="1:11" s="363" customFormat="1" ht="20.100000000000001" customHeight="1">
      <c r="A22" s="366"/>
      <c r="B22" s="270"/>
      <c r="C22" s="376"/>
      <c r="G22" s="378">
        <f>G10-G18-G21</f>
        <v>0</v>
      </c>
      <c r="H22" s="217"/>
      <c r="I22" s="217"/>
      <c r="J22" s="217"/>
      <c r="K22" s="217"/>
    </row>
    <row r="23" spans="1:11" s="363" customFormat="1" ht="20.100000000000001" customHeight="1">
      <c r="A23" s="221"/>
      <c r="B23" s="221"/>
      <c r="C23" s="376"/>
      <c r="G23" s="221" t="str">
        <f>IF(G22=0,"OK","NO")</f>
        <v>OK</v>
      </c>
      <c r="H23" s="217"/>
      <c r="I23" s="217"/>
      <c r="J23" s="217"/>
      <c r="K23" s="217"/>
    </row>
    <row r="24" spans="1:11" s="213" customFormat="1" ht="18" customHeight="1"/>
  </sheetData>
  <mergeCells count="13">
    <mergeCell ref="A19:G19"/>
    <mergeCell ref="A20:G20"/>
    <mergeCell ref="A5:A6"/>
    <mergeCell ref="A13:A14"/>
    <mergeCell ref="B5:B6"/>
    <mergeCell ref="B13:B14"/>
    <mergeCell ref="G5:G6"/>
    <mergeCell ref="G13:G14"/>
    <mergeCell ref="C5:D5"/>
    <mergeCell ref="E5:F5"/>
    <mergeCell ref="A11:G11"/>
    <mergeCell ref="C13:D13"/>
    <mergeCell ref="E13:F13"/>
  </mergeCells>
  <phoneticPr fontId="78" type="noConversion"/>
  <hyperlinks>
    <hyperlink ref="F1" location="目录!A1" display="BACK"/>
  </hyperlinks>
  <pageMargins left="0.62916666666666698" right="0.74791666666666701" top="0.98402777777777795" bottom="0.98402777777777795" header="0.51180555555555596" footer="0.51180555555555596"/>
  <pageSetup paperSize="9" orientation="landscape" blackAndWhite="1" r:id="rId1"/>
  <headerFooter alignWithMargins="0"/>
  <colBreaks count="1" manualBreakCount="1">
    <brk id="8" max="1048575"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K16"/>
  <sheetViews>
    <sheetView view="pageBreakPreview" zoomScaleNormal="100" zoomScaleSheetLayoutView="100" workbookViewId="0">
      <selection activeCell="F10" sqref="F10"/>
    </sheetView>
  </sheetViews>
  <sheetFormatPr defaultColWidth="9" defaultRowHeight="20.100000000000001" customHeight="1"/>
  <cols>
    <col min="1" max="1" width="16.19921875" style="324" customWidth="1"/>
    <col min="2" max="2" width="17.19921875" style="324" customWidth="1"/>
    <col min="3" max="3" width="15.5" style="324" customWidth="1"/>
    <col min="4" max="4" width="18" style="324" customWidth="1"/>
    <col min="5" max="5" width="16.3984375" style="324" customWidth="1"/>
    <col min="6" max="6" width="16.5" style="324" customWidth="1"/>
    <col min="7" max="7" width="16" style="324" customWidth="1"/>
    <col min="8" max="8" width="15.8984375" style="324" customWidth="1"/>
    <col min="9" max="16384" width="9" style="324"/>
  </cols>
  <sheetData>
    <row r="1" spans="1:11" ht="24.9" customHeight="1">
      <c r="A1" s="48" t="s">
        <v>145</v>
      </c>
      <c r="B1" s="49">
        <f>基础信息!B6</f>
        <v>0</v>
      </c>
      <c r="C1" s="314"/>
      <c r="D1" s="314"/>
      <c r="E1" s="900" t="s">
        <v>146</v>
      </c>
      <c r="F1" s="314"/>
      <c r="G1" s="325"/>
    </row>
    <row r="2" spans="1:11" ht="24.9" customHeight="1">
      <c r="A2" s="48" t="s">
        <v>147</v>
      </c>
      <c r="B2" s="49">
        <f>基础信息!B9</f>
        <v>0</v>
      </c>
      <c r="C2" s="314"/>
      <c r="D2" s="314"/>
      <c r="E2" s="314"/>
      <c r="F2" s="314"/>
      <c r="G2" s="325"/>
    </row>
    <row r="3" spans="1:11" s="321" customFormat="1" ht="24.9" customHeight="1">
      <c r="A3" s="341" t="s">
        <v>148</v>
      </c>
      <c r="B3" s="369" t="s">
        <v>1324</v>
      </c>
      <c r="C3" s="370"/>
      <c r="D3" s="370"/>
      <c r="E3" s="370"/>
      <c r="F3" s="370"/>
      <c r="G3" s="325"/>
      <c r="H3" s="324"/>
      <c r="I3" s="324"/>
    </row>
    <row r="4" spans="1:11" s="21" customFormat="1" ht="24.9" customHeight="1">
      <c r="A4" s="1068" t="s">
        <v>1290</v>
      </c>
      <c r="B4" s="1068" t="s">
        <v>1294</v>
      </c>
      <c r="C4" s="1068" t="s">
        <v>1191</v>
      </c>
      <c r="D4" s="1068" t="s">
        <v>1295</v>
      </c>
      <c r="E4" s="1068"/>
      <c r="F4" s="1068" t="s">
        <v>773</v>
      </c>
    </row>
    <row r="5" spans="1:11" s="21" customFormat="1" ht="24.9" customHeight="1">
      <c r="A5" s="1068"/>
      <c r="B5" s="1068"/>
      <c r="C5" s="1068"/>
      <c r="D5" s="225" t="s">
        <v>1325</v>
      </c>
      <c r="E5" s="225" t="s">
        <v>1193</v>
      </c>
      <c r="F5" s="1068"/>
    </row>
    <row r="6" spans="1:11" s="21" customFormat="1" ht="20.100000000000001" customHeight="1">
      <c r="A6" s="227"/>
      <c r="B6" s="133"/>
      <c r="C6" s="133"/>
      <c r="D6" s="133"/>
      <c r="E6" s="133"/>
      <c r="F6" s="279">
        <f>B6+C6-D6-E6</f>
        <v>0</v>
      </c>
    </row>
    <row r="7" spans="1:11" s="21" customFormat="1" ht="20.100000000000001" customHeight="1">
      <c r="A7" s="227"/>
      <c r="B7" s="133"/>
      <c r="C7" s="133"/>
      <c r="D7" s="133"/>
      <c r="E7" s="133"/>
      <c r="F7" s="279">
        <f t="shared" ref="F7:F8" si="0">B7+C7-D7-E7</f>
        <v>0</v>
      </c>
    </row>
    <row r="8" spans="1:11" s="47" customFormat="1" ht="20.100000000000001" customHeight="1">
      <c r="A8" s="227"/>
      <c r="B8" s="171"/>
      <c r="C8" s="171"/>
      <c r="D8" s="171"/>
      <c r="E8" s="171"/>
      <c r="F8" s="279">
        <f t="shared" si="0"/>
        <v>0</v>
      </c>
    </row>
    <row r="9" spans="1:11" s="47" customFormat="1" ht="20.100000000000001" customHeight="1">
      <c r="A9" s="227" t="s">
        <v>1300</v>
      </c>
      <c r="B9" s="279">
        <f>SUM(B6:B8)</f>
        <v>0</v>
      </c>
      <c r="C9" s="279">
        <f t="shared" ref="C9:F9" si="1">SUM(C6:C8)</f>
        <v>0</v>
      </c>
      <c r="D9" s="279">
        <f t="shared" si="1"/>
        <v>0</v>
      </c>
      <c r="E9" s="279">
        <f t="shared" si="1"/>
        <v>0</v>
      </c>
      <c r="F9" s="279">
        <f t="shared" si="1"/>
        <v>0</v>
      </c>
      <c r="G9" s="99"/>
    </row>
    <row r="10" spans="1:11" s="350" customFormat="1" ht="20.100000000000001" customHeight="1">
      <c r="A10" s="219" t="s">
        <v>623</v>
      </c>
      <c r="B10" s="365"/>
      <c r="C10" s="133"/>
      <c r="D10" s="192"/>
      <c r="E10" s="192"/>
      <c r="F10" s="279"/>
      <c r="H10" s="354"/>
      <c r="I10" s="354"/>
      <c r="J10" s="354"/>
      <c r="K10" s="354"/>
    </row>
    <row r="11" spans="1:11" s="350" customFormat="1" ht="20.100000000000001" customHeight="1">
      <c r="A11" s="328"/>
      <c r="B11" s="365"/>
      <c r="C11" s="133"/>
      <c r="D11" s="192"/>
      <c r="E11" s="192"/>
      <c r="F11" s="220">
        <f>F9-F10</f>
        <v>0</v>
      </c>
      <c r="H11" s="354"/>
      <c r="I11" s="354"/>
      <c r="J11" s="354"/>
      <c r="K11" s="354"/>
    </row>
    <row r="12" spans="1:11" s="350" customFormat="1" ht="20.100000000000001" customHeight="1">
      <c r="A12" s="305"/>
      <c r="B12" s="305"/>
      <c r="C12" s="227"/>
      <c r="D12" s="347"/>
      <c r="E12" s="347"/>
      <c r="F12" s="305" t="str">
        <f>IF(F11=0,"OK","NO")</f>
        <v>OK</v>
      </c>
      <c r="H12" s="354"/>
      <c r="I12" s="354"/>
      <c r="J12" s="354"/>
      <c r="K12" s="354"/>
    </row>
    <row r="13" spans="1:11" s="47" customFormat="1" ht="20.100000000000001" customHeight="1">
      <c r="A13" s="1092" t="s">
        <v>1326</v>
      </c>
      <c r="B13" s="1092"/>
      <c r="C13" s="1092"/>
      <c r="D13" s="1092"/>
      <c r="E13" s="1092"/>
      <c r="F13" s="1092"/>
    </row>
    <row r="14" spans="1:11" s="368" customFormat="1" ht="20.100000000000001" customHeight="1"/>
    <row r="15" spans="1:11" s="321" customFormat="1" ht="20.100000000000001" customHeight="1">
      <c r="A15" s="371"/>
      <c r="B15" s="371"/>
      <c r="C15" s="371"/>
      <c r="D15" s="371"/>
      <c r="E15" s="371"/>
      <c r="F15" s="371"/>
      <c r="G15" s="371"/>
      <c r="H15" s="371"/>
    </row>
    <row r="16" spans="1:11" s="321" customFormat="1" ht="20.100000000000001" customHeight="1">
      <c r="A16" s="372"/>
      <c r="B16" s="372"/>
      <c r="C16" s="372"/>
      <c r="D16" s="372"/>
      <c r="E16" s="372"/>
      <c r="F16" s="372"/>
      <c r="G16" s="372"/>
      <c r="H16" s="372"/>
    </row>
  </sheetData>
  <mergeCells count="6">
    <mergeCell ref="D4:E4"/>
    <mergeCell ref="A13:F13"/>
    <mergeCell ref="A4:A5"/>
    <mergeCell ref="B4:B5"/>
    <mergeCell ref="C4:C5"/>
    <mergeCell ref="F4:F5"/>
  </mergeCells>
  <phoneticPr fontId="78" type="noConversion"/>
  <hyperlinks>
    <hyperlink ref="E1" location="目录!A1" display="BACK"/>
  </hyperlinks>
  <pageMargins left="0.27500000000000002" right="0.27500000000000002" top="0.51180555555555596" bottom="0.51180555555555596" header="0.27500000000000002" footer="0.27500000000000002"/>
  <pageSetup paperSize="9" orientation="landscape" blackAndWhite="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K49"/>
  <sheetViews>
    <sheetView view="pageBreakPreview" zoomScaleNormal="100" zoomScaleSheetLayoutView="100" workbookViewId="0">
      <selection activeCell="C23" sqref="C23:E23"/>
    </sheetView>
  </sheetViews>
  <sheetFormatPr defaultColWidth="9" defaultRowHeight="20.100000000000001" customHeight="1"/>
  <cols>
    <col min="1" max="1" width="35.8984375" style="5" customWidth="1"/>
    <col min="2" max="3" width="16.69921875" style="5" customWidth="1"/>
    <col min="4" max="4" width="15.59765625" style="5" customWidth="1"/>
    <col min="5" max="5" width="16.3984375" style="5" customWidth="1"/>
    <col min="6" max="7" width="15.59765625" style="5" customWidth="1"/>
    <col min="8" max="8" width="14.09765625" style="5" customWidth="1"/>
    <col min="9" max="16384" width="9" style="5"/>
  </cols>
  <sheetData>
    <row r="1" spans="1:11" s="68" customFormat="1" ht="24.9" customHeight="1">
      <c r="A1" s="48" t="s">
        <v>145</v>
      </c>
      <c r="B1" s="49">
        <f>基础信息!B6</f>
        <v>0</v>
      </c>
      <c r="C1" s="122"/>
      <c r="D1" s="122"/>
      <c r="E1" s="364"/>
      <c r="G1" s="900" t="s">
        <v>146</v>
      </c>
    </row>
    <row r="2" spans="1:11" s="68" customFormat="1" ht="24.9" customHeight="1">
      <c r="A2" s="48" t="s">
        <v>147</v>
      </c>
      <c r="B2" s="49">
        <f>基础信息!B9</f>
        <v>0</v>
      </c>
      <c r="C2" s="122"/>
      <c r="D2" s="122"/>
      <c r="E2" s="122"/>
    </row>
    <row r="3" spans="1:11" s="68" customFormat="1" ht="24.9" customHeight="1">
      <c r="A3" s="91" t="s">
        <v>148</v>
      </c>
      <c r="B3" s="1095" t="s">
        <v>1327</v>
      </c>
      <c r="C3" s="1096"/>
      <c r="D3" s="122"/>
      <c r="E3" s="122"/>
    </row>
    <row r="4" spans="1:11" s="9" customFormat="1" ht="24.9" customHeight="1">
      <c r="A4" s="210" t="s">
        <v>1328</v>
      </c>
      <c r="B4" s="210"/>
      <c r="C4" s="210"/>
      <c r="D4" s="210"/>
      <c r="E4" s="210"/>
      <c r="F4" s="210"/>
      <c r="G4" s="210"/>
    </row>
    <row r="5" spans="1:11" s="17" customFormat="1" ht="24.9" customHeight="1">
      <c r="A5" s="1059" t="s">
        <v>729</v>
      </c>
      <c r="B5" s="1059" t="s">
        <v>737</v>
      </c>
      <c r="C5" s="1059"/>
      <c r="D5" s="1059" t="s">
        <v>1004</v>
      </c>
      <c r="E5" s="1059"/>
    </row>
    <row r="6" spans="1:11" s="17" customFormat="1" ht="33" customHeight="1">
      <c r="A6" s="1059"/>
      <c r="B6" s="10" t="s">
        <v>1329</v>
      </c>
      <c r="C6" s="10" t="s">
        <v>1330</v>
      </c>
      <c r="D6" s="10" t="s">
        <v>1329</v>
      </c>
      <c r="E6" s="10" t="s">
        <v>1330</v>
      </c>
    </row>
    <row r="7" spans="1:11" s="3" customFormat="1" ht="20.100000000000001" customHeight="1">
      <c r="A7" s="1097" t="s">
        <v>1331</v>
      </c>
      <c r="B7" s="1098"/>
      <c r="C7" s="1098"/>
      <c r="D7" s="1098"/>
      <c r="E7" s="1099"/>
    </row>
    <row r="8" spans="1:11" s="3" customFormat="1" ht="20.100000000000001" customHeight="1">
      <c r="A8" s="26" t="s">
        <v>71</v>
      </c>
      <c r="B8" s="12"/>
      <c r="C8" s="12"/>
      <c r="D8" s="12"/>
      <c r="E8" s="12"/>
    </row>
    <row r="9" spans="1:11" s="3" customFormat="1" ht="20.100000000000001" customHeight="1">
      <c r="A9" s="26" t="s">
        <v>1332</v>
      </c>
      <c r="B9" s="12"/>
      <c r="C9" s="12"/>
      <c r="D9" s="12"/>
      <c r="E9" s="12"/>
    </row>
    <row r="10" spans="1:11" s="3" customFormat="1" ht="20.100000000000001" customHeight="1">
      <c r="A10" s="26" t="s">
        <v>1333</v>
      </c>
      <c r="B10" s="12"/>
      <c r="C10" s="12"/>
      <c r="D10" s="12"/>
      <c r="E10" s="12"/>
    </row>
    <row r="11" spans="1:11" s="3" customFormat="1" ht="20.100000000000001" customHeight="1">
      <c r="A11" s="26"/>
      <c r="B11" s="12"/>
      <c r="C11" s="12"/>
      <c r="D11" s="12"/>
      <c r="E11" s="12"/>
    </row>
    <row r="12" spans="1:11" s="3" customFormat="1" ht="20.100000000000001" customHeight="1">
      <c r="A12" s="26" t="s">
        <v>1334</v>
      </c>
      <c r="B12" s="279">
        <f>SUM(B8:B11)</f>
        <v>0</v>
      </c>
      <c r="C12" s="279">
        <f t="shared" ref="C12:E12" si="0">SUM(C8:C11)</f>
        <v>0</v>
      </c>
      <c r="D12" s="279">
        <f t="shared" si="0"/>
        <v>0</v>
      </c>
      <c r="E12" s="279">
        <f t="shared" si="0"/>
        <v>0</v>
      </c>
    </row>
    <row r="13" spans="1:11" s="363" customFormat="1" ht="20.100000000000001" customHeight="1">
      <c r="A13" s="219" t="s">
        <v>623</v>
      </c>
      <c r="B13" s="365"/>
      <c r="C13" s="279"/>
      <c r="D13" s="192"/>
      <c r="E13" s="279"/>
      <c r="H13" s="217"/>
      <c r="I13" s="217"/>
      <c r="J13" s="217"/>
      <c r="K13" s="217"/>
    </row>
    <row r="14" spans="1:11" s="363" customFormat="1" ht="20.100000000000001" customHeight="1">
      <c r="A14" s="366"/>
      <c r="B14" s="367"/>
      <c r="C14" s="271">
        <f>D12-C13</f>
        <v>0</v>
      </c>
      <c r="D14" s="193"/>
      <c r="E14" s="271">
        <f>F12-E13</f>
        <v>0</v>
      </c>
      <c r="H14" s="217"/>
      <c r="I14" s="217"/>
      <c r="J14" s="217"/>
      <c r="K14" s="217"/>
    </row>
    <row r="15" spans="1:11" s="363" customFormat="1" ht="20.100000000000001" customHeight="1">
      <c r="A15" s="221"/>
      <c r="B15" s="221"/>
      <c r="C15" s="221" t="str">
        <f>IF(C14=0,"OK","NO")</f>
        <v>OK</v>
      </c>
      <c r="E15" s="221" t="str">
        <f>IF(E14=0,"OK","NO")</f>
        <v>OK</v>
      </c>
      <c r="H15" s="217"/>
      <c r="I15" s="217"/>
      <c r="J15" s="217"/>
      <c r="K15" s="217"/>
    </row>
    <row r="16" spans="1:11" s="3" customFormat="1" ht="20.100000000000001" customHeight="1">
      <c r="A16" s="1059" t="s">
        <v>729</v>
      </c>
      <c r="B16" s="1059" t="s">
        <v>737</v>
      </c>
      <c r="C16" s="1059"/>
      <c r="D16" s="1059" t="s">
        <v>1004</v>
      </c>
      <c r="E16" s="1059"/>
    </row>
    <row r="17" spans="1:11" s="3" customFormat="1" ht="31.5" customHeight="1">
      <c r="A17" s="1059"/>
      <c r="B17" s="10" t="s">
        <v>1329</v>
      </c>
      <c r="C17" s="10" t="s">
        <v>1330</v>
      </c>
      <c r="D17" s="10" t="s">
        <v>1329</v>
      </c>
      <c r="E17" s="10" t="s">
        <v>1330</v>
      </c>
    </row>
    <row r="18" spans="1:11" s="3" customFormat="1" ht="20.100000000000001" customHeight="1">
      <c r="A18" s="1094" t="s">
        <v>1335</v>
      </c>
      <c r="B18" s="1094"/>
      <c r="C18" s="1094"/>
      <c r="D18" s="1094"/>
      <c r="E18" s="1094"/>
    </row>
    <row r="19" spans="1:11" s="3" customFormat="1" ht="20.100000000000001" customHeight="1">
      <c r="A19" s="26" t="s">
        <v>1336</v>
      </c>
      <c r="B19" s="12"/>
      <c r="C19" s="12"/>
      <c r="D19" s="12"/>
      <c r="E19" s="12"/>
    </row>
    <row r="20" spans="1:11" s="3" customFormat="1" ht="20.100000000000001" customHeight="1">
      <c r="A20" s="26" t="s">
        <v>1337</v>
      </c>
      <c r="B20" s="12"/>
      <c r="C20" s="12"/>
      <c r="D20" s="12"/>
      <c r="E20" s="12"/>
    </row>
    <row r="21" spans="1:11" s="3" customFormat="1" ht="20.100000000000001" customHeight="1">
      <c r="A21" s="26"/>
      <c r="B21" s="12"/>
      <c r="C21" s="12"/>
      <c r="D21" s="12"/>
      <c r="E21" s="12"/>
    </row>
    <row r="22" spans="1:11" s="3" customFormat="1" ht="20.100000000000001" customHeight="1">
      <c r="A22" s="88" t="s">
        <v>1334</v>
      </c>
      <c r="B22" s="280">
        <f>SUM(B19:B21)</f>
        <v>0</v>
      </c>
      <c r="C22" s="280">
        <f t="shared" ref="C22:E22" si="1">SUM(C19:C21)</f>
        <v>0</v>
      </c>
      <c r="D22" s="280">
        <f t="shared" si="1"/>
        <v>0</v>
      </c>
      <c r="E22" s="280">
        <f t="shared" si="1"/>
        <v>0</v>
      </c>
    </row>
    <row r="23" spans="1:11" s="363" customFormat="1" ht="20.100000000000001" customHeight="1">
      <c r="A23" s="219" t="s">
        <v>623</v>
      </c>
      <c r="B23" s="365"/>
      <c r="C23" s="279"/>
      <c r="D23" s="192"/>
      <c r="E23" s="279"/>
      <c r="H23" s="217"/>
      <c r="I23" s="217"/>
      <c r="J23" s="217"/>
      <c r="K23" s="217"/>
    </row>
    <row r="24" spans="1:11" s="363" customFormat="1" ht="20.100000000000001" customHeight="1">
      <c r="A24" s="328"/>
      <c r="B24" s="365"/>
      <c r="C24" s="220">
        <f>D22-C23</f>
        <v>0</v>
      </c>
      <c r="D24" s="192"/>
      <c r="E24" s="220">
        <f>F22-E23</f>
        <v>0</v>
      </c>
      <c r="H24" s="217"/>
      <c r="I24" s="217"/>
      <c r="J24" s="217"/>
      <c r="K24" s="217"/>
    </row>
    <row r="25" spans="1:11" s="363" customFormat="1" ht="20.100000000000001" customHeight="1">
      <c r="A25" s="221"/>
      <c r="B25" s="221"/>
      <c r="C25" s="221" t="str">
        <f>IF(C24=0,"OK","NO")</f>
        <v>OK</v>
      </c>
      <c r="E25" s="221" t="str">
        <f>IF(E24=0,"OK","NO")</f>
        <v>OK</v>
      </c>
      <c r="H25" s="217"/>
      <c r="I25" s="217"/>
      <c r="J25" s="217"/>
      <c r="K25" s="217"/>
    </row>
    <row r="26" spans="1:11" s="3" customFormat="1" ht="20.100000000000001" customHeight="1"/>
    <row r="27" spans="1:11" s="3" customFormat="1" ht="20.100000000000001" customHeight="1">
      <c r="A27" s="1093" t="s">
        <v>1338</v>
      </c>
      <c r="B27" s="1093"/>
      <c r="C27" s="1093"/>
      <c r="D27" s="1093"/>
      <c r="E27" s="1093"/>
      <c r="F27" s="1093"/>
    </row>
    <row r="28" spans="1:11" s="3" customFormat="1" ht="20.100000000000001" customHeight="1">
      <c r="A28" s="1093" t="s">
        <v>1339</v>
      </c>
      <c r="B28" s="1093"/>
      <c r="C28" s="1093"/>
      <c r="D28" s="1093"/>
      <c r="E28" s="1093"/>
      <c r="F28" s="1093"/>
    </row>
    <row r="29" spans="1:11" s="3" customFormat="1" ht="46.5" customHeight="1">
      <c r="A29" s="10" t="s">
        <v>729</v>
      </c>
      <c r="B29" s="10" t="s">
        <v>1340</v>
      </c>
      <c r="C29" s="10" t="s">
        <v>1341</v>
      </c>
      <c r="D29" s="10" t="s">
        <v>1342</v>
      </c>
      <c r="E29" s="10" t="s">
        <v>1343</v>
      </c>
    </row>
    <row r="30" spans="1:11" s="3" customFormat="1" ht="20.100000000000001" customHeight="1">
      <c r="A30" s="88" t="s">
        <v>190</v>
      </c>
      <c r="B30" s="88"/>
      <c r="C30" s="88"/>
      <c r="D30" s="88"/>
      <c r="E30" s="88"/>
    </row>
    <row r="31" spans="1:11" s="3" customFormat="1" ht="20.100000000000001" customHeight="1">
      <c r="A31" s="88" t="s">
        <v>204</v>
      </c>
      <c r="B31" s="88"/>
      <c r="C31" s="88"/>
      <c r="D31" s="88"/>
      <c r="E31" s="88"/>
    </row>
    <row r="32" spans="1:11" s="3" customFormat="1" ht="20.100000000000001" customHeight="1">
      <c r="A32" s="88"/>
      <c r="B32" s="88"/>
      <c r="C32" s="88"/>
      <c r="D32" s="88"/>
      <c r="E32" s="88"/>
    </row>
    <row r="33" spans="1:6" s="3" customFormat="1" ht="20.100000000000001" customHeight="1">
      <c r="A33" s="1093" t="s">
        <v>1344</v>
      </c>
      <c r="B33" s="1093"/>
      <c r="C33" s="1093"/>
      <c r="D33" s="1093"/>
      <c r="E33" s="1093"/>
      <c r="F33" s="1093"/>
    </row>
    <row r="34" spans="1:6" s="3" customFormat="1" ht="20.100000000000001" customHeight="1">
      <c r="A34" s="82" t="s">
        <v>729</v>
      </c>
      <c r="B34" s="82" t="s">
        <v>737</v>
      </c>
      <c r="C34" s="82" t="s">
        <v>1004</v>
      </c>
    </row>
    <row r="35" spans="1:6" s="3" customFormat="1" ht="20.100000000000001" customHeight="1">
      <c r="A35" s="88" t="s">
        <v>1345</v>
      </c>
      <c r="B35" s="88"/>
      <c r="C35" s="88"/>
    </row>
    <row r="36" spans="1:6" s="3" customFormat="1" ht="20.100000000000001" customHeight="1">
      <c r="A36" s="88" t="s">
        <v>1333</v>
      </c>
      <c r="B36" s="88"/>
      <c r="C36" s="88"/>
    </row>
    <row r="37" spans="1:6" s="3" customFormat="1" ht="20.100000000000001" customHeight="1">
      <c r="A37" s="88"/>
      <c r="B37" s="88"/>
      <c r="C37" s="88"/>
    </row>
    <row r="38" spans="1:6" s="3" customFormat="1" ht="20.100000000000001" customHeight="1">
      <c r="A38" s="88" t="s">
        <v>632</v>
      </c>
      <c r="B38" s="282" t="s">
        <v>740</v>
      </c>
      <c r="C38" s="282" t="s">
        <v>740</v>
      </c>
    </row>
    <row r="39" spans="1:6" s="3" customFormat="1" ht="20.100000000000001" customHeight="1">
      <c r="A39" s="1093" t="s">
        <v>1346</v>
      </c>
      <c r="B39" s="1093"/>
      <c r="C39" s="1093"/>
      <c r="D39" s="1093"/>
      <c r="E39" s="1093"/>
      <c r="F39" s="1093"/>
    </row>
    <row r="40" spans="1:6" s="3" customFormat="1" ht="20.100000000000001" customHeight="1">
      <c r="A40" s="1093" t="s">
        <v>1347</v>
      </c>
      <c r="B40" s="1093"/>
      <c r="C40" s="1093"/>
      <c r="D40" s="1093"/>
      <c r="E40" s="1093"/>
      <c r="F40" s="1093"/>
    </row>
    <row r="41" spans="1:6" s="3" customFormat="1" ht="20.100000000000001" customHeight="1">
      <c r="A41" s="82" t="s">
        <v>1348</v>
      </c>
      <c r="B41" s="82" t="s">
        <v>737</v>
      </c>
      <c r="C41" s="82" t="s">
        <v>1004</v>
      </c>
      <c r="D41" s="82" t="s">
        <v>363</v>
      </c>
    </row>
    <row r="42" spans="1:6" s="3" customFormat="1" ht="20.100000000000001" customHeight="1">
      <c r="A42" s="88" t="s">
        <v>1349</v>
      </c>
      <c r="B42" s="88" t="s">
        <v>322</v>
      </c>
      <c r="C42" s="88"/>
      <c r="D42" s="88"/>
    </row>
    <row r="43" spans="1:6" s="3" customFormat="1" ht="20.100000000000001" customHeight="1">
      <c r="A43" s="88" t="s">
        <v>1350</v>
      </c>
      <c r="B43" s="88"/>
      <c r="C43" s="88"/>
      <c r="D43" s="88"/>
    </row>
    <row r="44" spans="1:6" s="3" customFormat="1" ht="20.100000000000001" customHeight="1">
      <c r="A44" s="88" t="s">
        <v>1351</v>
      </c>
      <c r="B44" s="88"/>
      <c r="C44" s="88"/>
      <c r="D44" s="88"/>
    </row>
    <row r="45" spans="1:6" s="3" customFormat="1" ht="20.100000000000001" customHeight="1">
      <c r="A45" s="88" t="s">
        <v>1352</v>
      </c>
      <c r="B45" s="88"/>
      <c r="C45" s="88"/>
      <c r="D45" s="88"/>
    </row>
    <row r="46" spans="1:6" s="3" customFormat="1" ht="20.100000000000001" customHeight="1">
      <c r="A46" s="88" t="s">
        <v>1353</v>
      </c>
      <c r="B46" s="88"/>
      <c r="C46" s="88"/>
      <c r="D46" s="88"/>
    </row>
    <row r="47" spans="1:6" s="3" customFormat="1" ht="20.100000000000001" customHeight="1">
      <c r="A47" s="88" t="s">
        <v>1354</v>
      </c>
      <c r="B47" s="88"/>
      <c r="C47" s="88" t="s">
        <v>322</v>
      </c>
      <c r="D47" s="88"/>
    </row>
    <row r="48" spans="1:6" s="3" customFormat="1" ht="20.100000000000001" customHeight="1">
      <c r="A48" s="88" t="s">
        <v>632</v>
      </c>
      <c r="B48" s="282" t="s">
        <v>740</v>
      </c>
      <c r="C48" s="282" t="s">
        <v>740</v>
      </c>
      <c r="D48" s="88"/>
    </row>
    <row r="49" spans="1:6" s="3" customFormat="1" ht="20.100000000000001" customHeight="1">
      <c r="A49" s="1093" t="s">
        <v>1355</v>
      </c>
      <c r="B49" s="1093"/>
      <c r="C49" s="1093"/>
      <c r="D49" s="1093"/>
      <c r="E49" s="1093"/>
      <c r="F49" s="1093"/>
    </row>
  </sheetData>
  <mergeCells count="15">
    <mergeCell ref="B3:C3"/>
    <mergeCell ref="B5:C5"/>
    <mergeCell ref="D5:E5"/>
    <mergeCell ref="A7:E7"/>
    <mergeCell ref="B16:C16"/>
    <mergeCell ref="D16:E16"/>
    <mergeCell ref="A40:F40"/>
    <mergeCell ref="A49:F49"/>
    <mergeCell ref="A5:A6"/>
    <mergeCell ref="A16:A17"/>
    <mergeCell ref="A18:E18"/>
    <mergeCell ref="A27:F27"/>
    <mergeCell ref="A28:F28"/>
    <mergeCell ref="A33:F33"/>
    <mergeCell ref="A39:F39"/>
  </mergeCells>
  <phoneticPr fontId="78" type="noConversion"/>
  <hyperlinks>
    <hyperlink ref="G1" location="目录!A1" display="BACK"/>
  </hyperlinks>
  <pageMargins left="0.27500000000000002" right="0.27500000000000002" top="0.51180555555555596" bottom="0.51180555555555596" header="0.27500000000000002" footer="0.27500000000000002"/>
  <pageSetup paperSize="9" scale="81" orientation="landscape" blackAndWhite="1" r:id="rId1"/>
  <headerFooter alignWithMargins="0">
    <oddFooter>&amp;C&amp;P/&amp;N</oddFooter>
  </headerFooter>
  <rowBreaks count="1" manualBreakCount="1">
    <brk id="27" max="4"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A1:I21"/>
  <sheetViews>
    <sheetView view="pageBreakPreview" zoomScaleNormal="100" zoomScaleSheetLayoutView="100" workbookViewId="0">
      <selection activeCell="B16" sqref="B16"/>
    </sheetView>
  </sheetViews>
  <sheetFormatPr defaultColWidth="9" defaultRowHeight="20.100000000000001" customHeight="1"/>
  <cols>
    <col min="1" max="1" width="18.3984375" style="99" customWidth="1"/>
    <col min="2" max="2" width="24.59765625" style="99" customWidth="1"/>
    <col min="3" max="3" width="21.09765625" style="99" customWidth="1"/>
    <col min="4" max="4" width="24.59765625" style="99" customWidth="1"/>
    <col min="5" max="5" width="22.09765625" style="99" customWidth="1"/>
    <col min="6" max="6" width="18.19921875" style="99" customWidth="1"/>
    <col min="7" max="9" width="9" style="98"/>
    <col min="10" max="16384" width="9" style="99"/>
  </cols>
  <sheetData>
    <row r="1" spans="1:9" s="158" customFormat="1" ht="24.9" customHeight="1">
      <c r="A1" s="48" t="s">
        <v>145</v>
      </c>
      <c r="B1" s="49">
        <f>基础信息!B6</f>
        <v>0</v>
      </c>
      <c r="E1" s="900" t="s">
        <v>146</v>
      </c>
    </row>
    <row r="2" spans="1:9" s="158" customFormat="1" ht="24.9" customHeight="1">
      <c r="A2" s="48" t="s">
        <v>147</v>
      </c>
      <c r="B2" s="49">
        <f>基础信息!B9</f>
        <v>0</v>
      </c>
    </row>
    <row r="3" spans="1:9" s="158" customFormat="1" ht="24.9" customHeight="1">
      <c r="A3" s="91" t="s">
        <v>148</v>
      </c>
      <c r="B3" s="91" t="s">
        <v>1356</v>
      </c>
    </row>
    <row r="4" spans="1:9" s="46" customFormat="1" ht="24.9" customHeight="1">
      <c r="A4" s="82" t="s">
        <v>729</v>
      </c>
      <c r="B4" s="82" t="s">
        <v>737</v>
      </c>
      <c r="C4" s="362"/>
      <c r="D4" s="362"/>
    </row>
    <row r="5" spans="1:9" s="21" customFormat="1" ht="20.100000000000001" customHeight="1">
      <c r="A5" s="358" t="s">
        <v>1357</v>
      </c>
      <c r="B5" s="88"/>
      <c r="C5" s="94"/>
      <c r="D5" s="94"/>
      <c r="F5" s="96"/>
      <c r="G5" s="96"/>
      <c r="H5" s="96"/>
    </row>
    <row r="6" spans="1:9" s="21" customFormat="1" ht="20.100000000000001" customHeight="1">
      <c r="A6" s="358" t="s">
        <v>1358</v>
      </c>
      <c r="B6" s="88"/>
      <c r="C6" s="94"/>
      <c r="D6" s="94"/>
      <c r="F6" s="96"/>
      <c r="G6" s="96"/>
      <c r="H6" s="96"/>
    </row>
    <row r="7" spans="1:9" s="21" customFormat="1" ht="20.100000000000001" customHeight="1">
      <c r="A7" s="358" t="s">
        <v>1359</v>
      </c>
      <c r="B7" s="88"/>
      <c r="C7" s="94"/>
      <c r="D7" s="94"/>
      <c r="G7" s="96"/>
      <c r="H7" s="96"/>
      <c r="I7" s="96"/>
    </row>
    <row r="8" spans="1:9" s="21" customFormat="1" ht="20.100000000000001" customHeight="1">
      <c r="A8" s="358" t="s">
        <v>1360</v>
      </c>
      <c r="B8" s="88"/>
      <c r="C8" s="94"/>
      <c r="D8" s="94"/>
      <c r="G8" s="96"/>
      <c r="H8" s="96"/>
      <c r="I8" s="96"/>
    </row>
    <row r="9" spans="1:9" s="21" customFormat="1" ht="20.100000000000001" customHeight="1">
      <c r="A9" s="358" t="s">
        <v>1361</v>
      </c>
      <c r="B9" s="88"/>
      <c r="C9" s="94"/>
      <c r="D9" s="94"/>
      <c r="G9" s="96"/>
      <c r="H9" s="96"/>
      <c r="I9" s="96"/>
    </row>
    <row r="10" spans="1:9" s="21" customFormat="1" ht="20.100000000000001" customHeight="1">
      <c r="A10" s="358" t="s">
        <v>1362</v>
      </c>
      <c r="B10" s="88"/>
      <c r="C10" s="94"/>
      <c r="D10" s="94"/>
      <c r="G10" s="96"/>
      <c r="H10" s="96"/>
      <c r="I10" s="96"/>
    </row>
    <row r="11" spans="1:9" s="979" customFormat="1" ht="20.100000000000001" customHeight="1">
      <c r="A11" s="986" t="s">
        <v>2128</v>
      </c>
      <c r="B11" s="88"/>
      <c r="C11" s="94"/>
      <c r="D11" s="94"/>
      <c r="G11" s="96"/>
      <c r="H11" s="96"/>
      <c r="I11" s="96"/>
    </row>
    <row r="12" spans="1:9" s="979" customFormat="1" ht="20.100000000000001" customHeight="1">
      <c r="A12" s="986" t="s">
        <v>2131</v>
      </c>
      <c r="B12" s="88"/>
      <c r="C12" s="94"/>
      <c r="D12" s="94"/>
      <c r="G12" s="96"/>
      <c r="H12" s="96"/>
      <c r="I12" s="96"/>
    </row>
    <row r="13" spans="1:9" s="21" customFormat="1" ht="20.100000000000001" customHeight="1">
      <c r="A13" s="346" t="s">
        <v>2132</v>
      </c>
      <c r="B13" s="88"/>
      <c r="C13" s="94"/>
      <c r="D13" s="94"/>
      <c r="G13" s="96"/>
      <c r="H13" s="96"/>
      <c r="I13" s="96"/>
    </row>
    <row r="14" spans="1:9" s="979" customFormat="1" ht="20.100000000000001" customHeight="1">
      <c r="A14" s="346" t="s">
        <v>2133</v>
      </c>
      <c r="B14" s="88"/>
      <c r="C14" s="94"/>
      <c r="D14" s="94"/>
      <c r="G14" s="96"/>
      <c r="H14" s="96"/>
      <c r="I14" s="96"/>
    </row>
    <row r="15" spans="1:9" s="21" customFormat="1" ht="20.100000000000001" customHeight="1">
      <c r="A15" s="88" t="s">
        <v>632</v>
      </c>
      <c r="B15" s="84">
        <f>SUM(B5:B14)</f>
        <v>0</v>
      </c>
      <c r="C15" s="94"/>
      <c r="D15" s="94"/>
      <c r="G15" s="96"/>
      <c r="H15" s="96"/>
      <c r="I15" s="96"/>
    </row>
    <row r="16" spans="1:9" s="112" customFormat="1" ht="20.100000000000001" customHeight="1">
      <c r="A16" s="112" t="s">
        <v>623</v>
      </c>
      <c r="B16" s="113"/>
      <c r="C16" s="94"/>
      <c r="D16" s="94"/>
    </row>
    <row r="17" spans="1:9" s="112" customFormat="1" ht="20.100000000000001" customHeight="1">
      <c r="B17" s="113">
        <f>B15-B16</f>
        <v>0</v>
      </c>
      <c r="C17" s="94"/>
      <c r="D17" s="94"/>
    </row>
    <row r="18" spans="1:9" s="94" customFormat="1" ht="20.100000000000001" customHeight="1">
      <c r="B18" s="94" t="str">
        <f>IF(B17=0,"OK","NO")</f>
        <v>OK</v>
      </c>
    </row>
    <row r="19" spans="1:9" s="21" customFormat="1" ht="20.100000000000001" customHeight="1">
      <c r="A19" s="310" t="s">
        <v>651</v>
      </c>
      <c r="C19" s="94"/>
      <c r="D19" s="94"/>
      <c r="G19" s="96"/>
      <c r="H19" s="96"/>
      <c r="I19" s="96"/>
    </row>
    <row r="21" spans="1:9" ht="62.25" customHeight="1">
      <c r="A21" s="1100" t="s">
        <v>2130</v>
      </c>
      <c r="B21" s="1101"/>
      <c r="C21" s="1101"/>
      <c r="D21" s="1101"/>
      <c r="E21" s="1102"/>
    </row>
  </sheetData>
  <mergeCells count="1">
    <mergeCell ref="A21:E21"/>
  </mergeCells>
  <phoneticPr fontId="78" type="noConversion"/>
  <hyperlinks>
    <hyperlink ref="E1" location="目录!A1" display="BACK"/>
  </hyperlinks>
  <pageMargins left="0.43263888888888902" right="0.59027777777777801" top="0.98402777777777795" bottom="0.98402777777777795" header="0.51180555555555596" footer="0.51180555555555596"/>
  <pageSetup paperSize="9" orientation="landscape" blackAndWhite="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I20"/>
  <sheetViews>
    <sheetView view="pageBreakPreview" zoomScaleNormal="100" zoomScaleSheetLayoutView="100" workbookViewId="0">
      <selection activeCell="H1" sqref="H1"/>
    </sheetView>
  </sheetViews>
  <sheetFormatPr defaultColWidth="9" defaultRowHeight="20.100000000000001" customHeight="1"/>
  <cols>
    <col min="1" max="1" width="25.09765625" style="47" customWidth="1"/>
    <col min="2" max="6" width="16.59765625" style="47" customWidth="1"/>
    <col min="7" max="7" width="16.09765625" style="47" customWidth="1"/>
    <col min="8" max="16384" width="9" style="47"/>
  </cols>
  <sheetData>
    <row r="1" spans="1:9" ht="24.9" customHeight="1">
      <c r="A1" s="48" t="s">
        <v>145</v>
      </c>
      <c r="B1" s="49">
        <f>基础信息!B6</f>
        <v>0</v>
      </c>
      <c r="C1" s="50"/>
      <c r="D1" s="16"/>
      <c r="E1" s="19"/>
      <c r="F1" s="16"/>
      <c r="G1" s="52"/>
      <c r="H1" s="900" t="s">
        <v>146</v>
      </c>
    </row>
    <row r="2" spans="1:9" ht="24.9" customHeight="1">
      <c r="A2" s="48" t="s">
        <v>147</v>
      </c>
      <c r="B2" s="49">
        <f>基础信息!B9</f>
        <v>0</v>
      </c>
      <c r="C2" s="50"/>
      <c r="D2" s="16"/>
      <c r="E2" s="16"/>
      <c r="F2" s="16"/>
      <c r="G2" s="52"/>
    </row>
    <row r="3" spans="1:9" s="89" customFormat="1" ht="24.9" customHeight="1">
      <c r="A3" s="91" t="s">
        <v>148</v>
      </c>
      <c r="B3" s="91" t="s">
        <v>1363</v>
      </c>
      <c r="C3" s="53"/>
      <c r="D3" s="54"/>
      <c r="E3" s="54"/>
      <c r="F3" s="54"/>
      <c r="G3" s="52"/>
      <c r="H3" s="47"/>
      <c r="I3" s="47"/>
    </row>
    <row r="4" spans="1:9" s="96" customFormat="1" ht="24.9" customHeight="1">
      <c r="A4" s="1059" t="s">
        <v>1043</v>
      </c>
      <c r="B4" s="1059" t="s">
        <v>1364</v>
      </c>
      <c r="C4" s="1059" t="s">
        <v>1365</v>
      </c>
      <c r="D4" s="1059" t="s">
        <v>1366</v>
      </c>
      <c r="E4" s="1059"/>
      <c r="F4" s="1059" t="s">
        <v>683</v>
      </c>
      <c r="G4" s="21"/>
      <c r="H4" s="21"/>
    </row>
    <row r="5" spans="1:9" s="96" customFormat="1" ht="24.9" customHeight="1">
      <c r="A5" s="1059"/>
      <c r="B5" s="1059"/>
      <c r="C5" s="1059"/>
      <c r="D5" s="10" t="s">
        <v>1367</v>
      </c>
      <c r="E5" s="10" t="s">
        <v>1368</v>
      </c>
      <c r="F5" s="1059"/>
      <c r="G5" s="21"/>
      <c r="H5" s="21"/>
    </row>
    <row r="6" spans="1:9" s="96" customFormat="1" ht="20.100000000000001" customHeight="1">
      <c r="A6" s="11" t="s">
        <v>1369</v>
      </c>
      <c r="B6" s="12"/>
      <c r="C6" s="12"/>
      <c r="D6" s="12"/>
      <c r="E6" s="12"/>
      <c r="F6" s="14">
        <f>B6+C6-D6-E6</f>
        <v>0</v>
      </c>
      <c r="G6" s="21"/>
      <c r="H6" s="21"/>
    </row>
    <row r="7" spans="1:9" s="96" customFormat="1" ht="20.100000000000001" customHeight="1">
      <c r="A7" s="11" t="s">
        <v>1370</v>
      </c>
      <c r="B7" s="12"/>
      <c r="C7" s="12"/>
      <c r="D7" s="12"/>
      <c r="E7" s="12"/>
      <c r="F7" s="14">
        <f t="shared" ref="F7:F16" si="0">B7+C7-D7-E7</f>
        <v>0</v>
      </c>
      <c r="G7" s="21"/>
      <c r="H7" s="21"/>
    </row>
    <row r="8" spans="1:9" s="96" customFormat="1" ht="20.100000000000001" customHeight="1">
      <c r="A8" s="11" t="s">
        <v>1371</v>
      </c>
      <c r="B8" s="12"/>
      <c r="C8" s="12"/>
      <c r="D8" s="12"/>
      <c r="E8" s="12"/>
      <c r="F8" s="14">
        <f t="shared" si="0"/>
        <v>0</v>
      </c>
      <c r="G8" s="21"/>
      <c r="H8" s="21"/>
    </row>
    <row r="9" spans="1:9" s="96" customFormat="1" ht="20.100000000000001" customHeight="1">
      <c r="A9" s="11" t="s">
        <v>1372</v>
      </c>
      <c r="B9" s="12"/>
      <c r="C9" s="12"/>
      <c r="D9" s="12"/>
      <c r="E9" s="12"/>
      <c r="F9" s="14">
        <f t="shared" si="0"/>
        <v>0</v>
      </c>
      <c r="G9" s="21"/>
      <c r="H9" s="21"/>
    </row>
    <row r="10" spans="1:9" s="96" customFormat="1" ht="20.100000000000001" customHeight="1">
      <c r="A10" s="11" t="s">
        <v>1373</v>
      </c>
      <c r="B10" s="12"/>
      <c r="C10" s="12"/>
      <c r="D10" s="12"/>
      <c r="E10" s="12"/>
      <c r="F10" s="14">
        <f t="shared" si="0"/>
        <v>0</v>
      </c>
      <c r="G10" s="21"/>
      <c r="H10" s="21"/>
    </row>
    <row r="11" spans="1:9" s="96" customFormat="1" ht="20.100000000000001" customHeight="1">
      <c r="A11" s="361" t="s">
        <v>382</v>
      </c>
      <c r="B11" s="246"/>
      <c r="C11" s="246"/>
      <c r="D11" s="246"/>
      <c r="E11" s="246"/>
      <c r="F11" s="14">
        <f t="shared" si="0"/>
        <v>0</v>
      </c>
    </row>
    <row r="12" spans="1:9" s="96" customFormat="1" ht="20.100000000000001" customHeight="1">
      <c r="A12" s="361" t="s">
        <v>387</v>
      </c>
      <c r="B12" s="246"/>
      <c r="C12" s="246"/>
      <c r="D12" s="246"/>
      <c r="E12" s="246"/>
      <c r="F12" s="14">
        <f t="shared" si="0"/>
        <v>0</v>
      </c>
    </row>
    <row r="13" spans="1:9" s="96" customFormat="1" ht="20.100000000000001" customHeight="1">
      <c r="A13" s="361" t="s">
        <v>1374</v>
      </c>
      <c r="B13" s="246"/>
      <c r="C13" s="246"/>
      <c r="D13" s="246"/>
      <c r="E13" s="246"/>
      <c r="F13" s="14">
        <f t="shared" si="0"/>
        <v>0</v>
      </c>
    </row>
    <row r="14" spans="1:9" s="96" customFormat="1" ht="20.100000000000001" customHeight="1">
      <c r="A14" s="361" t="s">
        <v>1375</v>
      </c>
      <c r="B14" s="246"/>
      <c r="C14" s="246"/>
      <c r="D14" s="246"/>
      <c r="E14" s="246"/>
      <c r="F14" s="14">
        <f t="shared" si="0"/>
        <v>0</v>
      </c>
    </row>
    <row r="15" spans="1:9" s="96" customFormat="1" ht="20.100000000000001" customHeight="1">
      <c r="A15" s="361" t="s">
        <v>389</v>
      </c>
      <c r="B15" s="246"/>
      <c r="C15" s="246"/>
      <c r="D15" s="246"/>
      <c r="E15" s="246"/>
      <c r="F15" s="14">
        <f t="shared" si="0"/>
        <v>0</v>
      </c>
    </row>
    <row r="16" spans="1:9" s="96" customFormat="1" ht="20.100000000000001" customHeight="1">
      <c r="A16" s="361" t="s">
        <v>1376</v>
      </c>
      <c r="B16" s="246"/>
      <c r="C16" s="246"/>
      <c r="D16" s="246"/>
      <c r="E16" s="246"/>
      <c r="F16" s="14">
        <f t="shared" si="0"/>
        <v>0</v>
      </c>
    </row>
    <row r="17" spans="1:6" s="96" customFormat="1" ht="20.100000000000001" customHeight="1">
      <c r="A17" s="361" t="s">
        <v>1377</v>
      </c>
      <c r="B17" s="246"/>
      <c r="C17" s="246"/>
      <c r="D17" s="246"/>
      <c r="E17" s="246"/>
      <c r="F17" s="14">
        <f t="shared" ref="F17" si="1">B17+C17-D17-E17</f>
        <v>0</v>
      </c>
    </row>
    <row r="18" spans="1:6" s="96" customFormat="1" ht="20.100000000000001" customHeight="1">
      <c r="A18" s="59" t="s">
        <v>632</v>
      </c>
      <c r="B18" s="14">
        <f>SUM(B6:B17)</f>
        <v>0</v>
      </c>
      <c r="C18" s="14">
        <f>SUM(C6:C17)</f>
        <v>0</v>
      </c>
      <c r="D18" s="14">
        <f>SUM(D6:D17)</f>
        <v>0</v>
      </c>
      <c r="E18" s="14">
        <f>SUM(E6:E17)</f>
        <v>0</v>
      </c>
      <c r="F18" s="14">
        <f>SUM(F6:F17)</f>
        <v>0</v>
      </c>
    </row>
    <row r="19" spans="1:6" s="96" customFormat="1" ht="20.100000000000001" customHeight="1">
      <c r="A19" s="59"/>
      <c r="B19" s="59"/>
      <c r="C19" s="59"/>
      <c r="D19" s="59"/>
      <c r="E19" s="59"/>
      <c r="F19" s="59"/>
    </row>
    <row r="20" spans="1:6" s="96" customFormat="1" ht="20.100000000000001" customHeight="1">
      <c r="A20" s="59"/>
      <c r="B20" s="59"/>
      <c r="C20" s="59"/>
      <c r="D20" s="59"/>
      <c r="E20" s="59"/>
      <c r="F20" s="59"/>
    </row>
  </sheetData>
  <mergeCells count="5">
    <mergeCell ref="D4:E4"/>
    <mergeCell ref="A4:A5"/>
    <mergeCell ref="B4:B5"/>
    <mergeCell ref="C4:C5"/>
    <mergeCell ref="F4:F5"/>
  </mergeCells>
  <phoneticPr fontId="78" type="noConversion"/>
  <hyperlinks>
    <hyperlink ref="H1" location="目录!A1" display="BACK"/>
  </hyperlinks>
  <pageMargins left="0.59027777777777801" right="0.43263888888888902" top="0.98402777777777795" bottom="0.98402777777777795" header="0.51180555555555596" footer="0.51180555555555596"/>
  <pageSetup paperSize="9" orientation="landscape" blackAndWhite="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E11"/>
  <sheetViews>
    <sheetView view="pageBreakPreview" zoomScaleNormal="100" zoomScaleSheetLayoutView="100" workbookViewId="0">
      <selection activeCell="E1" sqref="E1"/>
    </sheetView>
  </sheetViews>
  <sheetFormatPr defaultColWidth="9" defaultRowHeight="20.100000000000001" customHeight="1"/>
  <cols>
    <col min="1" max="1" width="27.3984375" style="99" customWidth="1"/>
    <col min="2" max="2" width="26.8984375" style="99" customWidth="1"/>
    <col min="3" max="5" width="24.59765625" style="99" customWidth="1"/>
    <col min="6" max="6" width="20.3984375" style="99" customWidth="1"/>
    <col min="7" max="16384" width="9" style="99"/>
  </cols>
  <sheetData>
    <row r="1" spans="1:5" ht="24.9" customHeight="1">
      <c r="A1" s="48" t="s">
        <v>145</v>
      </c>
      <c r="B1" s="49">
        <f>基础信息!B6</f>
        <v>0</v>
      </c>
      <c r="C1" s="50"/>
      <c r="D1" s="161"/>
      <c r="E1" s="900" t="s">
        <v>146</v>
      </c>
    </row>
    <row r="2" spans="1:5" ht="24.9" customHeight="1">
      <c r="A2" s="48" t="s">
        <v>147</v>
      </c>
      <c r="B2" s="49">
        <f>基础信息!B9</f>
        <v>0</v>
      </c>
      <c r="C2" s="53"/>
      <c r="D2" s="161"/>
    </row>
    <row r="3" spans="1:5" s="98" customFormat="1" ht="24.9" customHeight="1">
      <c r="A3" s="91" t="s">
        <v>148</v>
      </c>
      <c r="B3" s="91" t="s">
        <v>1378</v>
      </c>
      <c r="C3" s="91"/>
    </row>
    <row r="4" spans="1:5" s="46" customFormat="1" ht="24.9" customHeight="1">
      <c r="A4" s="175" t="s">
        <v>968</v>
      </c>
      <c r="B4" s="175" t="s">
        <v>1379</v>
      </c>
      <c r="C4" s="175" t="s">
        <v>1380</v>
      </c>
    </row>
    <row r="5" spans="1:5" s="21" customFormat="1" ht="20.100000000000001" customHeight="1">
      <c r="A5" s="358" t="s">
        <v>1381</v>
      </c>
      <c r="B5" s="359"/>
      <c r="C5" s="359"/>
    </row>
    <row r="6" spans="1:5" s="21" customFormat="1" ht="20.100000000000001" customHeight="1">
      <c r="A6" s="358" t="s">
        <v>1382</v>
      </c>
      <c r="B6" s="359"/>
      <c r="C6" s="359"/>
    </row>
    <row r="7" spans="1:5" s="21" customFormat="1" ht="20.100000000000001" customHeight="1">
      <c r="A7" s="358" t="s">
        <v>1383</v>
      </c>
      <c r="B7" s="359"/>
      <c r="C7" s="359"/>
    </row>
    <row r="8" spans="1:5" s="21" customFormat="1" ht="20.100000000000001" customHeight="1">
      <c r="A8" s="358" t="s">
        <v>1384</v>
      </c>
      <c r="B8" s="359"/>
      <c r="C8" s="359"/>
    </row>
    <row r="9" spans="1:5" s="21" customFormat="1" ht="20.100000000000001" customHeight="1">
      <c r="A9" s="358" t="s">
        <v>1385</v>
      </c>
      <c r="B9" s="359"/>
      <c r="C9" s="359"/>
    </row>
    <row r="10" spans="1:5" s="21" customFormat="1" ht="20.100000000000001" customHeight="1">
      <c r="A10" s="358" t="s">
        <v>870</v>
      </c>
      <c r="B10" s="359"/>
      <c r="C10" s="359"/>
    </row>
    <row r="11" spans="1:5" s="21" customFormat="1" ht="20.100000000000001" customHeight="1">
      <c r="A11" s="358" t="s">
        <v>961</v>
      </c>
      <c r="B11" s="360">
        <f>SUM(B5:B10)</f>
        <v>0</v>
      </c>
      <c r="C11" s="360">
        <f>SUM(C5:C10)</f>
        <v>0</v>
      </c>
    </row>
  </sheetData>
  <phoneticPr fontId="78" type="noConversion"/>
  <hyperlinks>
    <hyperlink ref="E1" location="目录!A1" display="BACK"/>
  </hyperlinks>
  <pageMargins left="0.27500000000000002" right="0.27500000000000002" top="0.51180555555555596" bottom="0.51180555555555596" header="0.27500000000000002" footer="0.27500000000000002"/>
  <pageSetup paperSize="9" orientation="landscape" blackAndWhite="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I43"/>
  <sheetViews>
    <sheetView view="pageBreakPreview" zoomScaleNormal="100" zoomScaleSheetLayoutView="100" workbookViewId="0">
      <selection activeCell="B11" sqref="B11"/>
    </sheetView>
  </sheetViews>
  <sheetFormatPr defaultColWidth="9" defaultRowHeight="15.6"/>
  <cols>
    <col min="1" max="7" width="15.59765625" style="18" customWidth="1"/>
    <col min="8" max="8" width="11.8984375" style="18" customWidth="1"/>
    <col min="9" max="16384" width="9" style="18"/>
  </cols>
  <sheetData>
    <row r="1" spans="1:9" ht="24.9" customHeight="1">
      <c r="A1" s="48" t="s">
        <v>145</v>
      </c>
      <c r="B1" s="49">
        <f>基础信息!B6</f>
        <v>0</v>
      </c>
      <c r="C1" s="16"/>
      <c r="D1" s="16"/>
      <c r="E1" s="19"/>
      <c r="I1" s="900" t="s">
        <v>146</v>
      </c>
    </row>
    <row r="2" spans="1:9" ht="24.9" customHeight="1">
      <c r="A2" s="48" t="s">
        <v>147</v>
      </c>
      <c r="B2" s="49">
        <f>基础信息!B9</f>
        <v>0</v>
      </c>
      <c r="C2" s="16"/>
      <c r="D2" s="16"/>
      <c r="E2" s="16"/>
    </row>
    <row r="3" spans="1:9" s="355" customFormat="1" ht="24.9" customHeight="1">
      <c r="A3" s="91" t="s">
        <v>148</v>
      </c>
      <c r="B3" s="91" t="s">
        <v>1386</v>
      </c>
      <c r="C3" s="16"/>
      <c r="D3" s="16"/>
      <c r="E3" s="16"/>
      <c r="F3" s="18"/>
      <c r="G3" s="18"/>
      <c r="H3" s="18"/>
      <c r="I3" s="18"/>
    </row>
    <row r="4" spans="1:9" s="334" customFormat="1" ht="24.9" customHeight="1">
      <c r="A4" s="185" t="s">
        <v>1387</v>
      </c>
      <c r="B4" s="185"/>
      <c r="C4" s="185"/>
      <c r="D4" s="185"/>
      <c r="E4" s="185"/>
    </row>
    <row r="5" spans="1:9" s="356" customFormat="1" ht="24.9" customHeight="1">
      <c r="A5" s="257" t="s">
        <v>729</v>
      </c>
      <c r="B5" s="257" t="s">
        <v>737</v>
      </c>
      <c r="C5" s="185"/>
      <c r="D5" s="185"/>
      <c r="E5" s="185"/>
      <c r="F5" s="334"/>
      <c r="G5" s="334"/>
    </row>
    <row r="6" spans="1:9" s="183" customFormat="1" ht="20.100000000000001" customHeight="1">
      <c r="A6" s="190" t="s">
        <v>1388</v>
      </c>
      <c r="B6" s="190"/>
    </row>
    <row r="7" spans="1:9" s="183" customFormat="1" ht="20.100000000000001" customHeight="1">
      <c r="A7" s="190" t="s">
        <v>1389</v>
      </c>
      <c r="B7" s="190" t="s">
        <v>1390</v>
      </c>
    </row>
    <row r="8" spans="1:9" s="183" customFormat="1" ht="20.100000000000001" customHeight="1">
      <c r="A8" s="190" t="s">
        <v>1391</v>
      </c>
      <c r="B8" s="190"/>
    </row>
    <row r="9" spans="1:9" s="183" customFormat="1" ht="20.100000000000001" customHeight="1">
      <c r="A9" s="190" t="s">
        <v>1392</v>
      </c>
      <c r="B9" s="190"/>
    </row>
    <row r="10" spans="1:9" s="183" customFormat="1" ht="20.100000000000001" customHeight="1">
      <c r="A10" s="190" t="s">
        <v>632</v>
      </c>
      <c r="B10" s="190">
        <f>SUM(B6:B9)</f>
        <v>0</v>
      </c>
    </row>
    <row r="11" spans="1:9" s="183" customFormat="1" ht="20.100000000000001" customHeight="1">
      <c r="A11" s="112" t="s">
        <v>623</v>
      </c>
      <c r="B11" s="112"/>
    </row>
    <row r="12" spans="1:9" s="183" customFormat="1" ht="20.100000000000001" customHeight="1">
      <c r="A12" s="109"/>
      <c r="B12" s="109">
        <f>B10-B11</f>
        <v>0</v>
      </c>
      <c r="C12" s="197"/>
    </row>
    <row r="13" spans="1:9" s="183" customFormat="1" ht="20.100000000000001" customHeight="1">
      <c r="A13" s="23"/>
      <c r="B13" s="23" t="str">
        <f>IF(B12=0,"OK","NO")</f>
        <v>OK</v>
      </c>
      <c r="C13" s="197"/>
    </row>
    <row r="14" spans="1:9" s="183" customFormat="1" ht="20.100000000000001" customHeight="1">
      <c r="A14" s="197"/>
      <c r="B14" s="197"/>
      <c r="C14" s="197"/>
    </row>
    <row r="15" spans="1:9" s="183" customFormat="1" ht="20.100000000000001" customHeight="1">
      <c r="A15" s="173" t="s">
        <v>1393</v>
      </c>
    </row>
    <row r="16" spans="1:9" s="183" customFormat="1" ht="20.100000000000001" customHeight="1">
      <c r="A16" s="173" t="s">
        <v>1394</v>
      </c>
    </row>
    <row r="17" spans="1:5" s="183" customFormat="1" ht="20.100000000000001" customHeight="1">
      <c r="A17" s="173" t="s">
        <v>1395</v>
      </c>
    </row>
    <row r="18" spans="1:5" s="183" customFormat="1" ht="20.100000000000001" customHeight="1">
      <c r="A18" s="173" t="s">
        <v>1396</v>
      </c>
    </row>
    <row r="19" spans="1:5" s="183" customFormat="1" ht="20.100000000000001" customHeight="1">
      <c r="A19" s="236" t="s">
        <v>1397</v>
      </c>
    </row>
    <row r="20" spans="1:5" s="183" customFormat="1" ht="20.100000000000001" customHeight="1">
      <c r="A20" s="203" t="s">
        <v>772</v>
      </c>
      <c r="B20" s="184" t="s">
        <v>1398</v>
      </c>
      <c r="C20" s="184" t="s">
        <v>1399</v>
      </c>
      <c r="D20" s="184" t="s">
        <v>1400</v>
      </c>
      <c r="E20" s="203" t="s">
        <v>1401</v>
      </c>
    </row>
    <row r="21" spans="1:5" s="183" customFormat="1" ht="20.100000000000001" customHeight="1">
      <c r="A21" s="186"/>
      <c r="B21" s="186"/>
      <c r="C21" s="186"/>
      <c r="D21" s="186"/>
      <c r="E21" s="186"/>
    </row>
    <row r="22" spans="1:5" s="183" customFormat="1" ht="20.100000000000001" customHeight="1">
      <c r="A22" s="190"/>
      <c r="B22" s="190"/>
      <c r="C22" s="190"/>
      <c r="D22" s="190"/>
      <c r="E22" s="190"/>
    </row>
    <row r="23" spans="1:5" s="183" customFormat="1" ht="20.100000000000001" customHeight="1">
      <c r="A23" s="186"/>
      <c r="B23" s="186"/>
      <c r="C23" s="186"/>
      <c r="D23" s="186"/>
      <c r="E23" s="186"/>
    </row>
    <row r="24" spans="1:5" s="183" customFormat="1" ht="20.100000000000001" customHeight="1">
      <c r="A24" s="186" t="s">
        <v>882</v>
      </c>
      <c r="B24" s="190"/>
      <c r="C24" s="190" t="s">
        <v>932</v>
      </c>
      <c r="D24" s="190" t="s">
        <v>932</v>
      </c>
      <c r="E24" s="190" t="s">
        <v>932</v>
      </c>
    </row>
    <row r="25" spans="1:5" s="183" customFormat="1" ht="20.100000000000001" customHeight="1">
      <c r="A25" s="357" t="s">
        <v>1393</v>
      </c>
    </row>
    <row r="26" spans="1:5" s="204" customFormat="1" ht="13.8"/>
    <row r="27" spans="1:5" s="202" customFormat="1"/>
    <row r="28" spans="1:5" s="202" customFormat="1"/>
    <row r="29" spans="1:5" s="202" customFormat="1"/>
    <row r="30" spans="1:5" s="202" customFormat="1"/>
    <row r="31" spans="1:5" s="202" customFormat="1"/>
    <row r="32" spans="1:5" s="202" customFormat="1"/>
    <row r="33" spans="1:8" s="355" customFormat="1">
      <c r="A33" s="202"/>
      <c r="B33" s="202"/>
      <c r="C33" s="202"/>
      <c r="D33" s="202"/>
      <c r="E33" s="202"/>
      <c r="F33" s="202"/>
      <c r="G33" s="202"/>
      <c r="H33" s="202"/>
    </row>
    <row r="34" spans="1:8" s="355" customFormat="1">
      <c r="A34" s="202"/>
      <c r="B34" s="202"/>
      <c r="C34" s="202"/>
      <c r="D34" s="202"/>
      <c r="E34" s="202"/>
      <c r="F34" s="202"/>
      <c r="G34" s="202"/>
      <c r="H34" s="202"/>
    </row>
    <row r="35" spans="1:8" s="355" customFormat="1">
      <c r="A35" s="202"/>
      <c r="B35" s="202"/>
      <c r="C35" s="202"/>
      <c r="D35" s="202"/>
      <c r="E35" s="202"/>
      <c r="F35" s="202"/>
      <c r="G35" s="202"/>
      <c r="H35" s="202"/>
    </row>
    <row r="36" spans="1:8" s="355" customFormat="1">
      <c r="A36" s="202"/>
      <c r="B36" s="202"/>
      <c r="C36" s="202"/>
      <c r="D36" s="202"/>
      <c r="E36" s="202"/>
      <c r="F36" s="202"/>
      <c r="G36" s="202"/>
      <c r="H36" s="202"/>
    </row>
    <row r="37" spans="1:8" s="355" customFormat="1">
      <c r="A37" s="202"/>
      <c r="B37" s="202"/>
      <c r="C37" s="202"/>
      <c r="D37" s="202"/>
      <c r="E37" s="202"/>
      <c r="F37" s="202"/>
      <c r="G37" s="202"/>
      <c r="H37" s="202"/>
    </row>
    <row r="38" spans="1:8" s="355" customFormat="1">
      <c r="A38" s="202"/>
      <c r="B38" s="202"/>
      <c r="C38" s="202"/>
      <c r="D38" s="202"/>
      <c r="E38" s="202"/>
      <c r="F38" s="202"/>
      <c r="G38" s="202"/>
      <c r="H38" s="202"/>
    </row>
    <row r="39" spans="1:8" s="355" customFormat="1" ht="33.75" customHeight="1">
      <c r="A39" s="202"/>
      <c r="B39" s="202"/>
      <c r="C39" s="202"/>
      <c r="D39" s="202"/>
      <c r="E39" s="202"/>
      <c r="F39" s="202"/>
      <c r="G39" s="202"/>
      <c r="H39" s="202"/>
    </row>
    <row r="40" spans="1:8" s="355" customFormat="1">
      <c r="A40" s="202"/>
      <c r="B40" s="202"/>
      <c r="C40" s="202"/>
      <c r="D40" s="202"/>
      <c r="E40" s="202"/>
      <c r="F40" s="202"/>
      <c r="G40" s="202"/>
      <c r="H40" s="202"/>
    </row>
    <row r="41" spans="1:8" s="355" customFormat="1">
      <c r="A41" s="202"/>
      <c r="B41" s="202"/>
      <c r="C41" s="202"/>
      <c r="D41" s="202"/>
      <c r="E41" s="202"/>
      <c r="F41" s="202"/>
      <c r="G41" s="202"/>
      <c r="H41" s="202"/>
    </row>
    <row r="42" spans="1:8" s="355" customFormat="1">
      <c r="A42" s="202"/>
      <c r="B42" s="202"/>
      <c r="C42" s="202"/>
      <c r="D42" s="202"/>
      <c r="E42" s="202"/>
      <c r="F42" s="202"/>
      <c r="G42" s="202"/>
      <c r="H42" s="202"/>
    </row>
    <row r="43" spans="1:8">
      <c r="A43" s="202"/>
      <c r="B43" s="202"/>
      <c r="C43" s="202"/>
      <c r="D43" s="202"/>
      <c r="E43" s="202"/>
      <c r="F43" s="202"/>
      <c r="G43" s="202"/>
      <c r="H43" s="202"/>
    </row>
  </sheetData>
  <phoneticPr fontId="78" type="noConversion"/>
  <hyperlinks>
    <hyperlink ref="I1" location="目录!A1" display="BACK"/>
  </hyperlinks>
  <pageMargins left="0.27500000000000002" right="0.27500000000000002" top="0.51180555555555596" bottom="0.51180555555555596" header="0.27500000000000002" footer="0.27500000000000002"/>
  <pageSetup paperSize="9" orientation="landscape" blackAndWhite="1" r:id="rId1"/>
  <headerFooter alignWithMargins="0"/>
  <rowBreaks count="1" manualBreakCount="1">
    <brk id="32" max="6"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tabColor rgb="FFFFC000"/>
  </sheetPr>
  <dimension ref="A1:E19"/>
  <sheetViews>
    <sheetView workbookViewId="0">
      <selection activeCell="B15" sqref="B15"/>
    </sheetView>
  </sheetViews>
  <sheetFormatPr defaultRowHeight="15.6"/>
  <cols>
    <col min="1" max="1" width="41.09765625" customWidth="1"/>
    <col min="2" max="2" width="35.59765625" customWidth="1"/>
  </cols>
  <sheetData>
    <row r="1" spans="1:5">
      <c r="A1" s="6" t="s">
        <v>145</v>
      </c>
      <c r="B1" s="7">
        <f>基础信息!B6</f>
        <v>0</v>
      </c>
      <c r="C1" s="351"/>
      <c r="E1" s="900" t="s">
        <v>146</v>
      </c>
    </row>
    <row r="2" spans="1:5">
      <c r="A2" s="6" t="s">
        <v>147</v>
      </c>
      <c r="B2" s="7">
        <f>基础信息!B9</f>
        <v>0</v>
      </c>
      <c r="C2" s="351"/>
    </row>
    <row r="3" spans="1:5">
      <c r="A3" s="968" t="s">
        <v>148</v>
      </c>
      <c r="B3" s="127" t="s">
        <v>2120</v>
      </c>
      <c r="C3" s="351"/>
    </row>
    <row r="4" spans="1:5">
      <c r="A4" s="352"/>
      <c r="B4" s="352"/>
      <c r="C4" s="348"/>
    </row>
    <row r="5" spans="1:5">
      <c r="A5" s="967" t="s">
        <v>968</v>
      </c>
      <c r="B5" s="967" t="s">
        <v>944</v>
      </c>
      <c r="C5" s="349"/>
    </row>
    <row r="6" spans="1:5">
      <c r="A6" s="176" t="s">
        <v>1404</v>
      </c>
      <c r="B6" s="176"/>
      <c r="C6" s="347"/>
    </row>
    <row r="7" spans="1:5">
      <c r="A7" s="176" t="s">
        <v>1405</v>
      </c>
      <c r="B7" s="176"/>
      <c r="C7" s="347"/>
    </row>
    <row r="8" spans="1:5">
      <c r="A8" s="176" t="s">
        <v>1406</v>
      </c>
      <c r="B8" s="176"/>
      <c r="C8" s="347"/>
    </row>
    <row r="9" spans="1:5">
      <c r="A9" s="176" t="s">
        <v>881</v>
      </c>
      <c r="B9" s="176"/>
      <c r="C9" s="347"/>
    </row>
    <row r="10" spans="1:5">
      <c r="A10" s="176"/>
      <c r="B10" s="176"/>
      <c r="C10" s="347"/>
    </row>
    <row r="11" spans="1:5">
      <c r="A11" s="176"/>
      <c r="B11" s="176"/>
      <c r="C11" s="347"/>
    </row>
    <row r="12" spans="1:5">
      <c r="A12" s="176"/>
      <c r="B12" s="176"/>
      <c r="C12" s="347"/>
    </row>
    <row r="13" spans="1:5">
      <c r="A13" s="176"/>
      <c r="B13" s="176"/>
      <c r="C13" s="347"/>
    </row>
    <row r="14" spans="1:5">
      <c r="A14" s="176" t="s">
        <v>961</v>
      </c>
      <c r="B14" s="176"/>
      <c r="C14" s="347"/>
    </row>
    <row r="15" spans="1:5">
      <c r="A15" s="112" t="s">
        <v>623</v>
      </c>
      <c r="B15" s="113"/>
      <c r="C15" s="347"/>
    </row>
    <row r="16" spans="1:5">
      <c r="A16" s="112"/>
      <c r="B16" s="113">
        <f>B14-B15</f>
        <v>0</v>
      </c>
      <c r="C16" s="347"/>
    </row>
    <row r="17" spans="1:3">
      <c r="A17" s="94"/>
      <c r="B17" s="94" t="str">
        <f>IF(B16=0,"OK","NO")</f>
        <v>OK</v>
      </c>
      <c r="C17" s="347"/>
    </row>
    <row r="18" spans="1:3" ht="40.5" customHeight="1">
      <c r="A18" s="1103" t="s">
        <v>2142</v>
      </c>
      <c r="B18" s="1104"/>
      <c r="C18" s="1104"/>
    </row>
    <row r="19" spans="1:3">
      <c r="A19" s="1105" t="s">
        <v>2143</v>
      </c>
      <c r="B19" s="1106"/>
      <c r="C19" s="1106"/>
    </row>
  </sheetData>
  <mergeCells count="2">
    <mergeCell ref="A18:C18"/>
    <mergeCell ref="A19:C19"/>
  </mergeCells>
  <phoneticPr fontId="78" type="noConversion"/>
  <hyperlinks>
    <hyperlink ref="E1" location="目录!A1" display="BACK"/>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dimension ref="A1:I20"/>
  <sheetViews>
    <sheetView view="pageBreakPreview" zoomScaleNormal="100" zoomScaleSheetLayoutView="100" workbookViewId="0">
      <selection activeCell="B15" sqref="B15"/>
    </sheetView>
  </sheetViews>
  <sheetFormatPr defaultColWidth="9" defaultRowHeight="20.100000000000001" customHeight="1"/>
  <cols>
    <col min="1" max="1" width="38.8984375" style="99" customWidth="1"/>
    <col min="2" max="2" width="60.8984375" style="99" customWidth="1"/>
    <col min="3" max="3" width="34.8984375" style="99" customWidth="1"/>
    <col min="4" max="4" width="23" style="99" customWidth="1"/>
    <col min="5" max="5" width="12.5" style="98" customWidth="1"/>
    <col min="6" max="9" width="9" style="98"/>
    <col min="10" max="16384" width="9" style="99"/>
  </cols>
  <sheetData>
    <row r="1" spans="1:5" ht="24.9" customHeight="1">
      <c r="A1" s="6" t="s">
        <v>145</v>
      </c>
      <c r="B1" s="7">
        <f>基础信息!B6</f>
        <v>0</v>
      </c>
      <c r="C1" s="900" t="s">
        <v>146</v>
      </c>
      <c r="E1" s="100"/>
    </row>
    <row r="2" spans="1:5" ht="24.9" customHeight="1">
      <c r="A2" s="6" t="s">
        <v>147</v>
      </c>
      <c r="B2" s="7">
        <f>基础信息!B9</f>
        <v>0</v>
      </c>
      <c r="C2" s="351"/>
    </row>
    <row r="3" spans="1:5" s="98" customFormat="1" ht="24.9" customHeight="1">
      <c r="A3" s="68" t="s">
        <v>148</v>
      </c>
      <c r="B3" s="68" t="s">
        <v>1402</v>
      </c>
      <c r="C3" s="351"/>
      <c r="D3" s="99"/>
    </row>
    <row r="4" spans="1:5" s="348" customFormat="1" ht="24.9" customHeight="1">
      <c r="A4" s="352" t="s">
        <v>1403</v>
      </c>
      <c r="B4" s="352"/>
    </row>
    <row r="5" spans="1:5" s="349" customFormat="1" ht="24.9" customHeight="1">
      <c r="A5" s="175" t="s">
        <v>968</v>
      </c>
      <c r="B5" s="175" t="s">
        <v>944</v>
      </c>
    </row>
    <row r="6" spans="1:5" s="347" customFormat="1" ht="20.100000000000001" customHeight="1">
      <c r="A6" s="176" t="s">
        <v>1404</v>
      </c>
      <c r="B6" s="176"/>
    </row>
    <row r="7" spans="1:5" s="347" customFormat="1" ht="20.100000000000001" customHeight="1">
      <c r="A7" s="176" t="s">
        <v>1405</v>
      </c>
      <c r="B7" s="176"/>
    </row>
    <row r="8" spans="1:5" s="347" customFormat="1" ht="20.100000000000001" customHeight="1">
      <c r="A8" s="176" t="s">
        <v>1406</v>
      </c>
      <c r="B8" s="176"/>
    </row>
    <row r="9" spans="1:5" s="347" customFormat="1" ht="20.100000000000001" customHeight="1">
      <c r="A9" s="176" t="s">
        <v>881</v>
      </c>
      <c r="B9" s="176"/>
    </row>
    <row r="10" spans="1:5" s="347" customFormat="1" ht="20.100000000000001" customHeight="1">
      <c r="A10" s="176" t="s">
        <v>1407</v>
      </c>
      <c r="B10" s="176"/>
    </row>
    <row r="11" spans="1:5" s="347" customFormat="1" ht="20.100000000000001" customHeight="1">
      <c r="A11" s="176"/>
      <c r="B11" s="176"/>
    </row>
    <row r="12" spans="1:5" s="347" customFormat="1" ht="20.100000000000001" customHeight="1">
      <c r="A12" s="176"/>
      <c r="B12" s="176"/>
    </row>
    <row r="13" spans="1:5" s="347" customFormat="1" ht="20.100000000000001" customHeight="1">
      <c r="A13" s="176"/>
      <c r="B13" s="176"/>
    </row>
    <row r="14" spans="1:5" s="347" customFormat="1" ht="20.100000000000001" customHeight="1">
      <c r="A14" s="176" t="s">
        <v>961</v>
      </c>
      <c r="B14" s="176"/>
    </row>
    <row r="15" spans="1:5" s="347" customFormat="1" ht="20.100000000000001" customHeight="1">
      <c r="A15" s="112" t="s">
        <v>623</v>
      </c>
      <c r="B15" s="113"/>
    </row>
    <row r="16" spans="1:5" s="347" customFormat="1" ht="20.100000000000001" customHeight="1">
      <c r="A16" s="112"/>
      <c r="B16" s="113">
        <f>B14-B15</f>
        <v>0</v>
      </c>
    </row>
    <row r="17" spans="1:3" s="347" customFormat="1" ht="20.100000000000001" customHeight="1">
      <c r="A17" s="94"/>
      <c r="B17" s="94" t="str">
        <f>IF(B16=0,"OK","NO")</f>
        <v>OK</v>
      </c>
    </row>
    <row r="18" spans="1:3" s="347" customFormat="1" ht="20.100000000000001" customHeight="1">
      <c r="A18" s="1104" t="s">
        <v>1408</v>
      </c>
      <c r="B18" s="1104"/>
      <c r="C18" s="1104"/>
    </row>
    <row r="19" spans="1:3" s="347" customFormat="1" ht="20.100000000000001" customHeight="1">
      <c r="A19" s="1106" t="s">
        <v>1409</v>
      </c>
      <c r="B19" s="1106"/>
      <c r="C19" s="1106"/>
    </row>
    <row r="20" spans="1:3" s="350" customFormat="1" ht="13.8">
      <c r="A20" s="353"/>
      <c r="B20" s="354"/>
      <c r="C20" s="354"/>
    </row>
  </sheetData>
  <mergeCells count="2">
    <mergeCell ref="A18:C18"/>
    <mergeCell ref="A19:C19"/>
  </mergeCells>
  <phoneticPr fontId="78" type="noConversion"/>
  <hyperlinks>
    <hyperlink ref="C1" location="目录!A1" display="BACK"/>
  </hyperlinks>
  <pageMargins left="0.51180555555555596" right="0.27500000000000002" top="0.86527777777777803" bottom="0.51180555555555596" header="0.27500000000000002" footer="0.27500000000000002"/>
  <pageSetup paperSize="9" scale="89" orientation="portrait" blackAndWhite="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dimension ref="A1:I14"/>
  <sheetViews>
    <sheetView view="pageBreakPreview" zoomScaleNormal="100" zoomScaleSheetLayoutView="100" workbookViewId="0">
      <selection activeCell="B11" sqref="B11"/>
    </sheetView>
  </sheetViews>
  <sheetFormatPr defaultColWidth="18.19921875" defaultRowHeight="20.100000000000001" customHeight="1"/>
  <cols>
    <col min="1" max="1" width="18.19921875" style="99"/>
    <col min="2" max="2" width="30.5" style="99" customWidth="1"/>
    <col min="3" max="4" width="18.19921875" style="99"/>
    <col min="5" max="9" width="18.19921875" style="98"/>
    <col min="10" max="16384" width="18.19921875" style="99"/>
  </cols>
  <sheetData>
    <row r="1" spans="1:9" ht="24.9" customHeight="1">
      <c r="A1" s="48" t="s">
        <v>145</v>
      </c>
      <c r="B1" s="49">
        <f>基础信息!B6</f>
        <v>0</v>
      </c>
      <c r="C1" s="101"/>
      <c r="D1" s="900" t="s">
        <v>146</v>
      </c>
      <c r="E1" s="100"/>
    </row>
    <row r="2" spans="1:9" ht="24.9" customHeight="1">
      <c r="A2" s="48" t="s">
        <v>147</v>
      </c>
      <c r="B2" s="49">
        <f>基础信息!B9</f>
        <v>0</v>
      </c>
      <c r="C2" s="101"/>
    </row>
    <row r="3" spans="1:9" s="98" customFormat="1" ht="24.9" customHeight="1">
      <c r="A3" s="91" t="s">
        <v>148</v>
      </c>
      <c r="B3" s="91" t="s">
        <v>1410</v>
      </c>
      <c r="C3" s="101"/>
      <c r="D3" s="99"/>
    </row>
    <row r="4" spans="1:9" s="46" customFormat="1" ht="24.9" customHeight="1">
      <c r="A4" s="82" t="s">
        <v>729</v>
      </c>
      <c r="B4" s="81" t="s">
        <v>1411</v>
      </c>
      <c r="C4" s="20"/>
    </row>
    <row r="5" spans="1:9" s="21" customFormat="1" ht="20.100000000000001" customHeight="1">
      <c r="A5" s="88"/>
      <c r="B5" s="85"/>
      <c r="E5" s="96"/>
      <c r="F5" s="96"/>
      <c r="G5" s="96"/>
      <c r="H5" s="96"/>
      <c r="I5" s="96"/>
    </row>
    <row r="6" spans="1:9" s="21" customFormat="1" ht="20.100000000000001" customHeight="1">
      <c r="A6" s="88"/>
      <c r="B6" s="85"/>
      <c r="E6" s="96"/>
      <c r="F6" s="96"/>
      <c r="G6" s="96"/>
      <c r="H6" s="96"/>
      <c r="I6" s="96"/>
    </row>
    <row r="7" spans="1:9" s="21" customFormat="1" ht="20.100000000000001" customHeight="1">
      <c r="A7" s="88"/>
      <c r="B7" s="85"/>
      <c r="E7" s="96"/>
      <c r="F7" s="96"/>
      <c r="G7" s="96"/>
      <c r="H7" s="96"/>
      <c r="I7" s="96"/>
    </row>
    <row r="8" spans="1:9" s="21" customFormat="1" ht="20.100000000000001" customHeight="1">
      <c r="A8" s="88"/>
      <c r="B8" s="85"/>
      <c r="E8" s="96"/>
      <c r="F8" s="96"/>
      <c r="G8" s="96"/>
      <c r="H8" s="96"/>
      <c r="I8" s="96"/>
    </row>
    <row r="9" spans="1:9" s="21" customFormat="1" ht="20.100000000000001" customHeight="1">
      <c r="A9" s="88"/>
      <c r="B9" s="85"/>
      <c r="E9" s="96"/>
      <c r="F9" s="96"/>
      <c r="G9" s="96"/>
      <c r="H9" s="96"/>
      <c r="I9" s="96"/>
    </row>
    <row r="10" spans="1:9" s="21" customFormat="1" ht="20.100000000000001" customHeight="1">
      <c r="A10" s="88" t="s">
        <v>632</v>
      </c>
      <c r="B10" s="84">
        <f>SUM(B5:B9)</f>
        <v>0</v>
      </c>
      <c r="E10" s="96"/>
      <c r="F10" s="96"/>
      <c r="G10" s="96"/>
      <c r="H10" s="96"/>
      <c r="I10" s="96"/>
    </row>
    <row r="11" spans="1:9" s="347" customFormat="1" ht="20.100000000000001" customHeight="1">
      <c r="A11" s="112" t="s">
        <v>623</v>
      </c>
      <c r="B11" s="113"/>
      <c r="C11" s="21"/>
      <c r="D11" s="21"/>
    </row>
    <row r="12" spans="1:9" s="347" customFormat="1" ht="20.100000000000001" customHeight="1">
      <c r="A12" s="112"/>
      <c r="B12" s="113">
        <f>B10-B11</f>
        <v>0</v>
      </c>
    </row>
    <row r="13" spans="1:9" s="347" customFormat="1" ht="20.100000000000001" customHeight="1">
      <c r="A13" s="94"/>
      <c r="B13" s="94" t="str">
        <f>IF(B12=0,"OK","NO")</f>
        <v>OK</v>
      </c>
    </row>
    <row r="14" spans="1:9" s="21" customFormat="1" ht="20.100000000000001" customHeight="1">
      <c r="A14" s="1107" t="s">
        <v>1412</v>
      </c>
      <c r="B14" s="1108"/>
      <c r="C14" s="1109"/>
      <c r="E14" s="96"/>
      <c r="F14" s="96"/>
      <c r="G14" s="96"/>
      <c r="H14" s="96"/>
      <c r="I14" s="96"/>
    </row>
  </sheetData>
  <mergeCells count="1">
    <mergeCell ref="A14:C14"/>
  </mergeCells>
  <phoneticPr fontId="78" type="noConversion"/>
  <hyperlinks>
    <hyperlink ref="D1" location="目录!A1" display="BACK"/>
  </hyperlinks>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dimension ref="A1:H14"/>
  <sheetViews>
    <sheetView view="pageBreakPreview" zoomScaleNormal="100" zoomScaleSheetLayoutView="100" workbookViewId="0">
      <selection activeCell="D1" sqref="D1"/>
    </sheetView>
  </sheetViews>
  <sheetFormatPr defaultColWidth="9" defaultRowHeight="20.100000000000001" customHeight="1"/>
  <cols>
    <col min="1" max="1" width="29.19921875" style="324" customWidth="1"/>
    <col min="2" max="5" width="24.59765625" style="324" customWidth="1"/>
    <col min="6" max="16384" width="9" style="324"/>
  </cols>
  <sheetData>
    <row r="1" spans="1:8" ht="24.9" customHeight="1">
      <c r="A1" s="48" t="s">
        <v>145</v>
      </c>
      <c r="B1" s="49">
        <f>基础信息!B6</f>
        <v>0</v>
      </c>
      <c r="D1" s="900" t="s">
        <v>146</v>
      </c>
      <c r="E1" s="326"/>
    </row>
    <row r="2" spans="1:8" ht="20.100000000000001" customHeight="1">
      <c r="A2" s="48" t="s">
        <v>147</v>
      </c>
      <c r="B2" s="49">
        <f>基础信息!B9</f>
        <v>0</v>
      </c>
    </row>
    <row r="3" spans="1:8" s="321" customFormat="1" ht="20.100000000000001" customHeight="1">
      <c r="A3" s="341" t="s">
        <v>148</v>
      </c>
      <c r="B3" s="341" t="s">
        <v>1415</v>
      </c>
      <c r="C3" s="324"/>
      <c r="D3" s="324"/>
    </row>
    <row r="4" spans="1:8" s="340" customFormat="1" ht="20.100000000000001" customHeight="1">
      <c r="A4" s="342" t="s">
        <v>1413</v>
      </c>
      <c r="B4" s="342" t="s">
        <v>1414</v>
      </c>
      <c r="C4" s="343"/>
    </row>
    <row r="5" spans="1:8" s="328" customFormat="1" ht="20.100000000000001" customHeight="1">
      <c r="A5" s="88" t="s">
        <v>659</v>
      </c>
      <c r="B5" s="85"/>
      <c r="C5" s="344"/>
    </row>
    <row r="6" spans="1:8" s="328" customFormat="1" ht="20.100000000000001" customHeight="1">
      <c r="A6" s="88" t="s">
        <v>660</v>
      </c>
      <c r="B6" s="85"/>
      <c r="C6" s="344"/>
    </row>
    <row r="7" spans="1:8" s="328" customFormat="1" ht="20.100000000000001" customHeight="1">
      <c r="A7" s="88" t="s">
        <v>632</v>
      </c>
      <c r="B7" s="85"/>
      <c r="C7" s="344"/>
    </row>
    <row r="8" spans="1:8" s="219" customFormat="1" ht="20.100000000000001" customHeight="1">
      <c r="B8" s="220"/>
    </row>
    <row r="9" spans="1:8" s="219" customFormat="1" ht="20.100000000000001" customHeight="1">
      <c r="B9" s="220"/>
      <c r="G9" s="344"/>
    </row>
    <row r="10" spans="1:8" s="305" customFormat="1" ht="20.100000000000001" customHeight="1"/>
    <row r="11" spans="1:8" s="328" customFormat="1" ht="20.100000000000001" customHeight="1">
      <c r="A11" s="1110" t="s">
        <v>1416</v>
      </c>
      <c r="B11" s="1111"/>
      <c r="C11" s="1112"/>
    </row>
    <row r="12" spans="1:8" ht="20.100000000000001" customHeight="1">
      <c r="D12" s="321"/>
      <c r="E12" s="321"/>
      <c r="F12" s="321"/>
      <c r="G12" s="321"/>
      <c r="H12" s="321"/>
    </row>
    <row r="13" spans="1:8" ht="20.100000000000001" customHeight="1">
      <c r="D13" s="321"/>
      <c r="E13" s="321"/>
      <c r="F13" s="321"/>
      <c r="G13" s="321"/>
      <c r="H13" s="321"/>
    </row>
    <row r="14" spans="1:8" ht="20.100000000000001" customHeight="1">
      <c r="D14" s="321"/>
      <c r="E14" s="321"/>
      <c r="F14" s="321"/>
      <c r="G14" s="321"/>
      <c r="H14" s="321"/>
    </row>
  </sheetData>
  <mergeCells count="1">
    <mergeCell ref="A11:C11"/>
  </mergeCells>
  <phoneticPr fontId="78" type="noConversion"/>
  <hyperlinks>
    <hyperlink ref="D1" location="目录!A1" display="BACK"/>
  </hyperlinks>
  <pageMargins left="0.74791666666666701" right="0.74791666666666701" top="0.98402777777777795" bottom="0.98402777777777795" header="0.51180555555555596" footer="0.51180555555555596"/>
  <pageSetup paperSize="9" orientation="portrait" blackAndWhite="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dimension ref="A1:I21"/>
  <sheetViews>
    <sheetView view="pageBreakPreview" zoomScaleNormal="100" zoomScaleSheetLayoutView="100" workbookViewId="0">
      <selection activeCell="E1" sqref="E1"/>
    </sheetView>
  </sheetViews>
  <sheetFormatPr defaultColWidth="9" defaultRowHeight="20.100000000000001" customHeight="1"/>
  <cols>
    <col min="1" max="1" width="24.5" style="47" customWidth="1"/>
    <col min="2" max="2" width="24.59765625" style="47" customWidth="1"/>
    <col min="3" max="3" width="27.19921875" style="47" customWidth="1"/>
    <col min="4" max="4" width="24.59765625" style="47" customWidth="1"/>
    <col min="5" max="5" width="24.59765625" style="89" customWidth="1"/>
    <col min="6" max="9" width="9" style="89"/>
    <col min="10" max="16384" width="9" style="47"/>
  </cols>
  <sheetData>
    <row r="1" spans="1:5" ht="24.9" customHeight="1">
      <c r="A1" s="6" t="s">
        <v>145</v>
      </c>
      <c r="B1" s="7">
        <f>基础信息!B6</f>
        <v>0</v>
      </c>
      <c r="C1" s="332"/>
      <c r="D1" s="52"/>
      <c r="E1" s="900" t="s">
        <v>146</v>
      </c>
    </row>
    <row r="2" spans="1:5" ht="24.9" customHeight="1">
      <c r="A2" s="6" t="s">
        <v>147</v>
      </c>
      <c r="B2" s="7">
        <f>基础信息!B9</f>
        <v>0</v>
      </c>
      <c r="C2" s="332"/>
      <c r="D2" s="52"/>
    </row>
    <row r="3" spans="1:5" s="89" customFormat="1" ht="24.9" customHeight="1">
      <c r="A3" s="68" t="s">
        <v>148</v>
      </c>
      <c r="B3" s="68" t="s">
        <v>1417</v>
      </c>
      <c r="C3" s="332"/>
      <c r="D3" s="52"/>
    </row>
    <row r="4" spans="1:5" s="304" customFormat="1" ht="24.9" customHeight="1">
      <c r="A4" s="290" t="s">
        <v>1418</v>
      </c>
      <c r="B4" s="290" t="s">
        <v>820</v>
      </c>
      <c r="C4" s="333"/>
    </row>
    <row r="5" spans="1:5" s="302" customFormat="1" ht="20.100000000000001" customHeight="1">
      <c r="A5" s="291" t="s">
        <v>1419</v>
      </c>
      <c r="B5" s="189"/>
      <c r="C5" s="334"/>
      <c r="D5" s="335"/>
    </row>
    <row r="6" spans="1:5" s="302" customFormat="1" ht="20.100000000000001" customHeight="1">
      <c r="A6" s="291" t="s">
        <v>1420</v>
      </c>
      <c r="B6" s="189"/>
      <c r="C6" s="183"/>
      <c r="D6" s="335"/>
    </row>
    <row r="7" spans="1:5" s="302" customFormat="1" ht="20.100000000000001" customHeight="1">
      <c r="A7" s="291" t="s">
        <v>712</v>
      </c>
      <c r="B7" s="189"/>
      <c r="C7" s="183"/>
      <c r="D7" s="335"/>
    </row>
    <row r="8" spans="1:5" s="302" customFormat="1" ht="20.100000000000001" customHeight="1">
      <c r="A8" s="190" t="s">
        <v>703</v>
      </c>
      <c r="B8" s="191">
        <f>SUM(B5:B7)</f>
        <v>0</v>
      </c>
      <c r="C8" s="183"/>
      <c r="D8" s="335"/>
    </row>
    <row r="9" spans="1:5" s="302" customFormat="1" ht="20.100000000000001" customHeight="1">
      <c r="A9" s="219"/>
      <c r="B9" s="220"/>
      <c r="C9" s="183"/>
      <c r="D9" s="335"/>
    </row>
    <row r="10" spans="1:5" s="302" customFormat="1" ht="20.100000000000001" customHeight="1">
      <c r="A10" s="219"/>
      <c r="B10" s="336"/>
      <c r="C10" s="197"/>
      <c r="D10" s="335"/>
    </row>
    <row r="11" spans="1:5" s="302" customFormat="1" ht="20.100000000000001" customHeight="1">
      <c r="A11" s="305"/>
      <c r="B11" s="337"/>
      <c r="C11" s="197"/>
      <c r="D11" s="335"/>
    </row>
    <row r="12" spans="1:5" s="302" customFormat="1" ht="20.100000000000001" customHeight="1">
      <c r="A12" s="338" t="s">
        <v>1421</v>
      </c>
      <c r="B12" s="339"/>
      <c r="C12" s="183"/>
      <c r="D12" s="335"/>
    </row>
    <row r="13" spans="1:5" s="298" customFormat="1" ht="20.100000000000001" customHeight="1">
      <c r="A13" s="257" t="s">
        <v>137</v>
      </c>
      <c r="B13" s="257" t="s">
        <v>737</v>
      </c>
      <c r="C13" s="257" t="s">
        <v>1422</v>
      </c>
    </row>
    <row r="14" spans="1:5" s="302" customFormat="1" ht="20.100000000000001" customHeight="1">
      <c r="A14" s="291"/>
      <c r="B14" s="291"/>
      <c r="C14" s="291"/>
    </row>
    <row r="15" spans="1:5" s="302" customFormat="1" ht="20.100000000000001" customHeight="1">
      <c r="A15" s="291"/>
      <c r="B15" s="291"/>
      <c r="C15" s="291"/>
    </row>
    <row r="16" spans="1:5" s="302" customFormat="1" ht="20.100000000000001" customHeight="1">
      <c r="A16" s="190" t="s">
        <v>703</v>
      </c>
      <c r="B16" s="190"/>
      <c r="C16" s="190"/>
    </row>
    <row r="17" s="304" customFormat="1" ht="18" customHeight="1"/>
    <row r="18" s="304" customFormat="1" ht="18" customHeight="1"/>
    <row r="19" s="304" customFormat="1" ht="18" customHeight="1"/>
    <row r="20" s="304" customFormat="1" ht="18" customHeight="1"/>
    <row r="21" s="304" customFormat="1" ht="18" customHeight="1"/>
  </sheetData>
  <phoneticPr fontId="78" type="noConversion"/>
  <hyperlinks>
    <hyperlink ref="E1" location="目录!A1" display="BACK"/>
  </hyperlinks>
  <pageMargins left="0.51180555555555596" right="0.27500000000000002" top="0.51180555555555596" bottom="0.51180555555555596" header="0.27500000000000002" footer="0.27500000000000002"/>
  <pageSetup paperSize="9" orientation="portrait" blackAndWhite="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dimension ref="A1:I66"/>
  <sheetViews>
    <sheetView view="pageBreakPreview" zoomScaleNormal="100" zoomScaleSheetLayoutView="100" workbookViewId="0">
      <selection activeCell="B13" sqref="B13"/>
    </sheetView>
  </sheetViews>
  <sheetFormatPr defaultColWidth="9" defaultRowHeight="20.100000000000001" customHeight="1"/>
  <cols>
    <col min="1" max="1" width="23.69921875" style="324" customWidth="1"/>
    <col min="2" max="2" width="24.59765625" style="324" customWidth="1"/>
    <col min="3" max="3" width="35" style="324" customWidth="1"/>
    <col min="4" max="4" width="24.59765625" style="324" customWidth="1"/>
    <col min="5" max="5" width="24.59765625" style="321" customWidth="1"/>
    <col min="6" max="8" width="9" style="321"/>
    <col min="9" max="16384" width="9" style="324"/>
  </cols>
  <sheetData>
    <row r="1" spans="1:9" ht="24.9" customHeight="1">
      <c r="A1" s="6" t="s">
        <v>145</v>
      </c>
      <c r="B1" s="7">
        <f>基础信息!B6</f>
        <v>0</v>
      </c>
      <c r="C1" s="314"/>
      <c r="D1" s="325"/>
      <c r="E1" s="900" t="s">
        <v>146</v>
      </c>
    </row>
    <row r="2" spans="1:9" ht="24.9" customHeight="1">
      <c r="A2" s="6" t="s">
        <v>147</v>
      </c>
      <c r="B2" s="7">
        <f>基础信息!B9</f>
        <v>0</v>
      </c>
      <c r="C2" s="314"/>
      <c r="D2" s="325"/>
    </row>
    <row r="3" spans="1:9" s="321" customFormat="1" ht="24.9" customHeight="1">
      <c r="A3" s="316" t="s">
        <v>148</v>
      </c>
      <c r="B3" s="316" t="s">
        <v>1423</v>
      </c>
      <c r="C3" s="314"/>
      <c r="D3" s="325"/>
      <c r="I3" s="324"/>
    </row>
    <row r="4" spans="1:9" s="322" customFormat="1" ht="24.9" customHeight="1">
      <c r="A4" s="185" t="s">
        <v>1424</v>
      </c>
      <c r="B4" s="185"/>
      <c r="C4" s="185"/>
      <c r="D4" s="327"/>
      <c r="E4" s="328"/>
    </row>
    <row r="5" spans="1:9" s="322" customFormat="1" ht="24.9" customHeight="1">
      <c r="A5" s="329" t="s">
        <v>1425</v>
      </c>
      <c r="B5" s="329"/>
      <c r="C5" s="329"/>
      <c r="D5" s="328"/>
      <c r="E5" s="328"/>
    </row>
    <row r="6" spans="1:9" s="323" customFormat="1" ht="24.9" customHeight="1">
      <c r="A6" s="1114" t="s">
        <v>1426</v>
      </c>
      <c r="B6" s="1114" t="s">
        <v>737</v>
      </c>
      <c r="C6" s="1114"/>
      <c r="D6" s="330"/>
      <c r="E6" s="330"/>
    </row>
    <row r="7" spans="1:9" s="323" customFormat="1" ht="24.9" customHeight="1">
      <c r="A7" s="1114"/>
      <c r="B7" s="203" t="s">
        <v>747</v>
      </c>
      <c r="C7" s="203" t="s">
        <v>748</v>
      </c>
      <c r="D7" s="330"/>
      <c r="E7" s="330"/>
    </row>
    <row r="8" spans="1:9" s="302" customFormat="1" ht="20.100000000000001" customHeight="1">
      <c r="A8" s="190" t="s">
        <v>697</v>
      </c>
      <c r="B8" s="189"/>
      <c r="C8" s="189"/>
      <c r="D8" s="310"/>
      <c r="E8" s="310"/>
    </row>
    <row r="9" spans="1:9" s="302" customFormat="1" ht="20.100000000000001" customHeight="1">
      <c r="A9" s="190" t="s">
        <v>698</v>
      </c>
      <c r="B9" s="189"/>
      <c r="C9" s="189"/>
      <c r="D9" s="310"/>
      <c r="E9" s="310"/>
    </row>
    <row r="10" spans="1:9" s="302" customFormat="1" ht="20.100000000000001" customHeight="1">
      <c r="A10" s="190" t="s">
        <v>699</v>
      </c>
      <c r="B10" s="189"/>
      <c r="C10" s="189"/>
      <c r="D10" s="310"/>
      <c r="E10" s="310"/>
    </row>
    <row r="11" spans="1:9" s="302" customFormat="1" ht="20.100000000000001" customHeight="1">
      <c r="A11" s="190" t="s">
        <v>749</v>
      </c>
      <c r="B11" s="189"/>
      <c r="C11" s="189"/>
      <c r="D11" s="310"/>
      <c r="E11" s="310"/>
    </row>
    <row r="12" spans="1:9" s="302" customFormat="1" ht="20.100000000000001" customHeight="1">
      <c r="A12" s="190" t="s">
        <v>632</v>
      </c>
      <c r="B12" s="191">
        <f>SUM(B8:B11)</f>
        <v>0</v>
      </c>
      <c r="C12" s="191">
        <f t="shared" ref="C12" si="0">SUM(C8:C11)</f>
        <v>0</v>
      </c>
      <c r="D12" s="310"/>
      <c r="E12" s="310"/>
    </row>
    <row r="13" spans="1:9" s="302" customFormat="1" ht="20.100000000000001" customHeight="1">
      <c r="A13" s="219" t="s">
        <v>623</v>
      </c>
      <c r="B13" s="220"/>
      <c r="C13" s="189"/>
      <c r="D13" s="310"/>
      <c r="E13" s="310"/>
    </row>
    <row r="14" spans="1:9" s="302" customFormat="1" ht="20.100000000000001" customHeight="1">
      <c r="A14" s="219"/>
      <c r="B14" s="220">
        <f>B12-B13</f>
        <v>0</v>
      </c>
      <c r="C14" s="189"/>
      <c r="D14" s="190"/>
      <c r="E14" s="190"/>
    </row>
    <row r="15" spans="1:9" s="302" customFormat="1" ht="20.100000000000001" customHeight="1">
      <c r="A15" s="305"/>
      <c r="B15" s="305" t="str">
        <f>IF(B14=0,"OK","NO")</f>
        <v>OK</v>
      </c>
      <c r="C15" s="190"/>
      <c r="D15" s="190"/>
      <c r="E15" s="190"/>
    </row>
    <row r="16" spans="1:9" s="302" customFormat="1" ht="20.100000000000001" customHeight="1">
      <c r="A16" s="190"/>
      <c r="B16" s="190"/>
      <c r="C16" s="190"/>
      <c r="D16" s="190"/>
      <c r="E16" s="190"/>
    </row>
    <row r="17" spans="1:7" s="302" customFormat="1" ht="20.100000000000001" customHeight="1">
      <c r="A17" s="1115" t="s">
        <v>1427</v>
      </c>
      <c r="B17" s="1115"/>
      <c r="C17" s="1115"/>
      <c r="D17" s="1115"/>
      <c r="E17" s="1115"/>
    </row>
    <row r="18" spans="1:7" s="302" customFormat="1" ht="20.100000000000001" customHeight="1">
      <c r="A18" s="1116" t="s">
        <v>754</v>
      </c>
      <c r="B18" s="1116"/>
      <c r="C18" s="1116"/>
      <c r="D18" s="1116"/>
      <c r="E18" s="1116"/>
    </row>
    <row r="19" spans="1:7" s="302" customFormat="1" ht="20.100000000000001" customHeight="1">
      <c r="A19" s="1117" t="s">
        <v>1428</v>
      </c>
      <c r="B19" s="1117"/>
      <c r="C19" s="1117"/>
      <c r="D19" s="1117"/>
      <c r="E19" s="1117"/>
    </row>
    <row r="20" spans="1:7" s="302" customFormat="1" ht="20.100000000000001" customHeight="1">
      <c r="A20" s="1117" t="s">
        <v>755</v>
      </c>
      <c r="B20" s="1117"/>
      <c r="C20" s="1117"/>
      <c r="D20" s="1117"/>
      <c r="E20" s="1117"/>
    </row>
    <row r="21" spans="1:7" s="302" customFormat="1" ht="20.100000000000001" customHeight="1">
      <c r="A21" s="1113" t="s">
        <v>756</v>
      </c>
      <c r="B21" s="1113"/>
      <c r="C21" s="1113"/>
      <c r="D21" s="1113"/>
      <c r="E21" s="1113"/>
    </row>
    <row r="22" spans="1:7" s="302" customFormat="1" ht="20.100000000000001" customHeight="1">
      <c r="A22" s="331" t="s">
        <v>757</v>
      </c>
    </row>
    <row r="23" spans="1:7" s="298" customFormat="1" ht="20.100000000000001" customHeight="1">
      <c r="A23" s="257" t="s">
        <v>707</v>
      </c>
      <c r="B23" s="257" t="s">
        <v>758</v>
      </c>
      <c r="C23" s="257" t="s">
        <v>759</v>
      </c>
    </row>
    <row r="24" spans="1:7" s="302" customFormat="1" ht="20.100000000000001" customHeight="1">
      <c r="A24" s="190"/>
      <c r="B24" s="189"/>
      <c r="C24" s="189"/>
    </row>
    <row r="25" spans="1:7" s="302" customFormat="1" ht="20.100000000000001" customHeight="1">
      <c r="A25" s="190"/>
      <c r="B25" s="294"/>
      <c r="C25" s="294"/>
    </row>
    <row r="26" spans="1:7" s="302" customFormat="1" ht="20.100000000000001" customHeight="1">
      <c r="A26" s="291"/>
      <c r="B26" s="294"/>
      <c r="C26" s="294"/>
    </row>
    <row r="27" spans="1:7" s="302" customFormat="1" ht="20.100000000000001" customHeight="1">
      <c r="A27" s="190" t="s">
        <v>632</v>
      </c>
      <c r="B27" s="191">
        <f>SUM(B24:B26)</f>
        <v>0</v>
      </c>
      <c r="C27" s="191">
        <f>SUM(C24:C26)</f>
        <v>0</v>
      </c>
    </row>
    <row r="28" spans="1:7" s="302" customFormat="1" ht="20.100000000000001" customHeight="1"/>
    <row r="29" spans="1:7" s="310" customFormat="1" ht="20.100000000000001" customHeight="1">
      <c r="D29" s="328"/>
      <c r="E29" s="328"/>
      <c r="F29" s="328"/>
      <c r="G29" s="328"/>
    </row>
    <row r="30" spans="1:7" s="310" customFormat="1" ht="20.100000000000001" customHeight="1">
      <c r="D30" s="328"/>
      <c r="E30" s="328"/>
      <c r="F30" s="328"/>
      <c r="G30" s="328"/>
    </row>
    <row r="31" spans="1:7" s="310" customFormat="1" ht="20.100000000000001" customHeight="1">
      <c r="D31" s="328"/>
      <c r="E31" s="328"/>
      <c r="F31" s="328"/>
      <c r="G31" s="328"/>
    </row>
    <row r="32" spans="1:7" s="310" customFormat="1" ht="20.100000000000001" customHeight="1">
      <c r="D32" s="328"/>
      <c r="E32" s="328"/>
      <c r="F32" s="328"/>
      <c r="G32" s="328"/>
    </row>
    <row r="33" spans="4:7" s="310" customFormat="1" ht="20.100000000000001" customHeight="1">
      <c r="D33" s="328"/>
      <c r="E33" s="328"/>
      <c r="F33" s="328"/>
      <c r="G33" s="328"/>
    </row>
    <row r="34" spans="4:7" s="310" customFormat="1" ht="20.100000000000001" customHeight="1">
      <c r="D34" s="328"/>
      <c r="E34" s="328"/>
      <c r="F34" s="328"/>
      <c r="G34" s="328"/>
    </row>
    <row r="35" spans="4:7" s="310" customFormat="1" ht="20.100000000000001" customHeight="1">
      <c r="D35" s="328"/>
      <c r="E35" s="328"/>
      <c r="F35" s="328"/>
      <c r="G35" s="328"/>
    </row>
    <row r="36" spans="4:7" s="310" customFormat="1" ht="20.100000000000001" customHeight="1">
      <c r="D36" s="328"/>
      <c r="E36" s="328"/>
      <c r="F36" s="328"/>
      <c r="G36" s="328"/>
    </row>
    <row r="37" spans="4:7" s="310" customFormat="1" ht="20.100000000000001" customHeight="1">
      <c r="D37" s="328"/>
      <c r="E37" s="328"/>
      <c r="F37" s="328"/>
      <c r="G37" s="328"/>
    </row>
    <row r="38" spans="4:7" s="310" customFormat="1" ht="20.100000000000001" customHeight="1">
      <c r="D38" s="328"/>
      <c r="E38" s="328"/>
      <c r="F38" s="328"/>
      <c r="G38" s="328"/>
    </row>
    <row r="39" spans="4:7" s="310" customFormat="1" ht="20.100000000000001" customHeight="1">
      <c r="D39" s="328"/>
      <c r="E39" s="328"/>
      <c r="F39" s="328"/>
      <c r="G39" s="328"/>
    </row>
    <row r="40" spans="4:7" s="310" customFormat="1" ht="20.100000000000001" customHeight="1">
      <c r="D40" s="328"/>
      <c r="E40" s="328"/>
      <c r="F40" s="328"/>
      <c r="G40" s="328"/>
    </row>
    <row r="41" spans="4:7" s="310" customFormat="1" ht="20.100000000000001" customHeight="1">
      <c r="D41" s="328"/>
      <c r="E41" s="328"/>
      <c r="F41" s="328"/>
      <c r="G41" s="328"/>
    </row>
    <row r="42" spans="4:7" s="310" customFormat="1" ht="20.100000000000001" customHeight="1">
      <c r="D42" s="328"/>
      <c r="E42" s="328"/>
      <c r="F42" s="328"/>
      <c r="G42" s="328"/>
    </row>
    <row r="43" spans="4:7" s="310" customFormat="1" ht="20.100000000000001" customHeight="1">
      <c r="D43" s="328"/>
      <c r="E43" s="328"/>
      <c r="F43" s="328"/>
      <c r="G43" s="328"/>
    </row>
    <row r="44" spans="4:7" s="310" customFormat="1" ht="20.100000000000001" customHeight="1">
      <c r="D44" s="328"/>
      <c r="E44" s="328"/>
      <c r="F44" s="328"/>
      <c r="G44" s="328"/>
    </row>
    <row r="45" spans="4:7" s="310" customFormat="1" ht="20.100000000000001" customHeight="1">
      <c r="D45" s="328"/>
      <c r="E45" s="328"/>
      <c r="F45" s="328"/>
      <c r="G45" s="328"/>
    </row>
    <row r="46" spans="4:7" s="310" customFormat="1" ht="20.100000000000001" customHeight="1">
      <c r="D46" s="328"/>
      <c r="E46" s="328"/>
      <c r="F46" s="328"/>
      <c r="G46" s="328"/>
    </row>
    <row r="47" spans="4:7" s="310" customFormat="1" ht="20.100000000000001" customHeight="1">
      <c r="D47" s="328"/>
      <c r="E47" s="328"/>
      <c r="F47" s="328"/>
      <c r="G47" s="328"/>
    </row>
    <row r="48" spans="4:7" s="310" customFormat="1" ht="20.100000000000001" customHeight="1">
      <c r="D48" s="328"/>
      <c r="E48" s="328"/>
      <c r="F48" s="328"/>
      <c r="G48" s="328"/>
    </row>
    <row r="49" spans="4:8" s="310" customFormat="1" ht="20.100000000000001" customHeight="1">
      <c r="D49" s="328"/>
      <c r="E49" s="328"/>
      <c r="F49" s="328"/>
      <c r="G49" s="328"/>
    </row>
    <row r="50" spans="4:8" s="310" customFormat="1" ht="20.100000000000001" customHeight="1">
      <c r="D50" s="328"/>
      <c r="E50" s="328"/>
      <c r="F50" s="328"/>
      <c r="G50" s="328"/>
    </row>
    <row r="51" spans="4:8" s="310" customFormat="1" ht="20.100000000000001" customHeight="1">
      <c r="D51" s="328"/>
      <c r="E51" s="328"/>
      <c r="F51" s="328"/>
      <c r="G51" s="328"/>
    </row>
    <row r="52" spans="4:8" s="310" customFormat="1" ht="20.100000000000001" customHeight="1">
      <c r="D52" s="328"/>
      <c r="E52" s="328"/>
      <c r="F52" s="328"/>
      <c r="G52" s="328"/>
    </row>
    <row r="53" spans="4:8" s="310" customFormat="1" ht="20.100000000000001" customHeight="1">
      <c r="D53" s="328"/>
      <c r="E53" s="328"/>
      <c r="F53" s="328"/>
      <c r="G53" s="328"/>
    </row>
    <row r="54" spans="4:8" s="310" customFormat="1" ht="20.100000000000001" customHeight="1">
      <c r="D54" s="328"/>
      <c r="E54" s="328"/>
      <c r="F54" s="328"/>
      <c r="G54" s="328"/>
    </row>
    <row r="55" spans="4:8" s="310" customFormat="1" ht="20.100000000000001" customHeight="1">
      <c r="D55" s="328"/>
      <c r="E55" s="328"/>
      <c r="F55" s="328"/>
      <c r="G55" s="328"/>
    </row>
    <row r="56" spans="4:8" s="310" customFormat="1" ht="20.100000000000001" customHeight="1">
      <c r="D56" s="328"/>
      <c r="E56" s="328"/>
      <c r="F56" s="328"/>
      <c r="G56" s="328"/>
    </row>
    <row r="57" spans="4:8" ht="20.100000000000001" customHeight="1">
      <c r="D57" s="321"/>
      <c r="H57" s="324"/>
    </row>
    <row r="58" spans="4:8" ht="20.100000000000001" customHeight="1">
      <c r="D58" s="321"/>
      <c r="H58" s="324"/>
    </row>
    <row r="59" spans="4:8" ht="20.100000000000001" customHeight="1">
      <c r="D59" s="321"/>
      <c r="H59" s="324"/>
    </row>
    <row r="60" spans="4:8" ht="20.100000000000001" customHeight="1">
      <c r="D60" s="321"/>
      <c r="H60" s="324"/>
    </row>
    <row r="61" spans="4:8" ht="20.100000000000001" customHeight="1">
      <c r="D61" s="321"/>
      <c r="H61" s="324"/>
    </row>
    <row r="62" spans="4:8" ht="20.100000000000001" customHeight="1">
      <c r="D62" s="321"/>
      <c r="H62" s="324"/>
    </row>
    <row r="63" spans="4:8" ht="20.100000000000001" customHeight="1">
      <c r="D63" s="321"/>
      <c r="H63" s="324"/>
    </row>
    <row r="64" spans="4:8" ht="20.100000000000001" customHeight="1">
      <c r="D64" s="321"/>
      <c r="H64" s="324"/>
    </row>
    <row r="65" spans="4:8" ht="20.100000000000001" customHeight="1">
      <c r="D65" s="321"/>
      <c r="H65" s="324"/>
    </row>
    <row r="66" spans="4:8" ht="20.100000000000001" customHeight="1">
      <c r="D66" s="321"/>
      <c r="H66" s="324"/>
    </row>
  </sheetData>
  <mergeCells count="7">
    <mergeCell ref="A21:E21"/>
    <mergeCell ref="A6:A7"/>
    <mergeCell ref="B6:C6"/>
    <mergeCell ref="A17:E17"/>
    <mergeCell ref="A18:E18"/>
    <mergeCell ref="A19:E19"/>
    <mergeCell ref="A20:E20"/>
  </mergeCells>
  <phoneticPr fontId="78" type="noConversion"/>
  <hyperlinks>
    <hyperlink ref="E1" location="目录!A1" display="BACK"/>
  </hyperlinks>
  <pageMargins left="0.51180555555555596" right="0.27500000000000002" top="0.51180555555555596" bottom="0.51180555555555596" header="0.27500000000000002" footer="0.27500000000000002"/>
  <pageSetup paperSize="9" orientation="portrait" blackAndWhite="1"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tabColor rgb="FFFFC000"/>
  </sheetPr>
  <dimension ref="A1:D19"/>
  <sheetViews>
    <sheetView workbookViewId="0">
      <selection activeCell="B11" sqref="B11"/>
    </sheetView>
  </sheetViews>
  <sheetFormatPr defaultRowHeight="15.6"/>
  <cols>
    <col min="1" max="1" width="30.3984375" customWidth="1"/>
    <col min="2" max="2" width="31.5" customWidth="1"/>
  </cols>
  <sheetData>
    <row r="1" spans="1:4">
      <c r="A1" s="6" t="s">
        <v>145</v>
      </c>
      <c r="B1" s="7">
        <f>基础信息!B6</f>
        <v>0</v>
      </c>
      <c r="D1" s="900" t="s">
        <v>146</v>
      </c>
    </row>
    <row r="2" spans="1:4">
      <c r="A2" s="6" t="s">
        <v>147</v>
      </c>
      <c r="B2" s="7">
        <f>基础信息!B9</f>
        <v>0</v>
      </c>
    </row>
    <row r="3" spans="1:4" ht="16.2">
      <c r="A3" s="316" t="s">
        <v>148</v>
      </c>
      <c r="B3" s="977" t="s">
        <v>2116</v>
      </c>
    </row>
    <row r="4" spans="1:4" ht="16.2">
      <c r="A4" s="981" t="s">
        <v>2122</v>
      </c>
    </row>
    <row r="5" spans="1:4">
      <c r="A5" s="1118" t="s">
        <v>2121</v>
      </c>
      <c r="B5" s="969" t="s">
        <v>737</v>
      </c>
    </row>
    <row r="6" spans="1:4">
      <c r="A6" s="1114"/>
      <c r="B6" s="969" t="s">
        <v>747</v>
      </c>
    </row>
    <row r="7" spans="1:4">
      <c r="A7" s="190"/>
      <c r="B7" s="189"/>
    </row>
    <row r="8" spans="1:4">
      <c r="A8" s="190"/>
      <c r="B8" s="189"/>
    </row>
    <row r="9" spans="1:4">
      <c r="A9" s="190"/>
      <c r="B9" s="189"/>
    </row>
    <row r="10" spans="1:4">
      <c r="A10" s="190" t="s">
        <v>632</v>
      </c>
      <c r="B10" s="191">
        <f>SUM(B6:B9)</f>
        <v>0</v>
      </c>
    </row>
    <row r="11" spans="1:4">
      <c r="A11" s="219" t="s">
        <v>623</v>
      </c>
      <c r="B11" s="220"/>
    </row>
    <row r="12" spans="1:4">
      <c r="A12" s="219"/>
      <c r="B12" s="220">
        <f>B10-B11</f>
        <v>0</v>
      </c>
    </row>
    <row r="13" spans="1:4">
      <c r="A13" s="305"/>
      <c r="B13" s="305" t="str">
        <f>IF(B12=0,"OK","NO")</f>
        <v>OK</v>
      </c>
    </row>
    <row r="15" spans="1:4" ht="16.2">
      <c r="A15" s="981" t="s">
        <v>2123</v>
      </c>
    </row>
    <row r="17" spans="1:2">
      <c r="A17" s="1118" t="s">
        <v>2121</v>
      </c>
      <c r="B17" s="969" t="s">
        <v>737</v>
      </c>
    </row>
    <row r="18" spans="1:2">
      <c r="A18" s="1114"/>
      <c r="B18" s="969" t="s">
        <v>747</v>
      </c>
    </row>
    <row r="19" spans="1:2" ht="25.8">
      <c r="A19" s="982" t="s">
        <v>2124</v>
      </c>
      <c r="B19" s="189"/>
    </row>
  </sheetData>
  <mergeCells count="2">
    <mergeCell ref="A5:A6"/>
    <mergeCell ref="A17:A18"/>
  </mergeCells>
  <phoneticPr fontId="78" type="noConversion"/>
  <hyperlinks>
    <hyperlink ref="D1" location="目录!A1" display="BACK"/>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dimension ref="A1:I62"/>
  <sheetViews>
    <sheetView view="pageBreakPreview" zoomScaleNormal="100" zoomScaleSheetLayoutView="100" workbookViewId="0">
      <selection activeCell="E11" sqref="E11"/>
    </sheetView>
  </sheetViews>
  <sheetFormatPr defaultColWidth="9" defaultRowHeight="20.100000000000001" customHeight="1"/>
  <cols>
    <col min="1" max="1" width="28" style="312" customWidth="1"/>
    <col min="2" max="5" width="24.59765625" style="312" customWidth="1"/>
    <col min="6" max="6" width="21.19921875" style="312" customWidth="1"/>
    <col min="7" max="7" width="9" style="312"/>
    <col min="8" max="9" width="9" style="313"/>
    <col min="10" max="16384" width="9" style="312"/>
  </cols>
  <sheetData>
    <row r="1" spans="1:7" ht="24.9" customHeight="1">
      <c r="A1" s="6" t="s">
        <v>145</v>
      </c>
      <c r="B1" s="7">
        <f>基础信息!B6</f>
        <v>0</v>
      </c>
      <c r="C1" s="314"/>
      <c r="D1" s="314"/>
      <c r="E1" s="315"/>
      <c r="F1" s="900" t="s">
        <v>146</v>
      </c>
    </row>
    <row r="2" spans="1:7" ht="24.9" customHeight="1">
      <c r="A2" s="6" t="s">
        <v>147</v>
      </c>
      <c r="B2" s="7">
        <f>基础信息!B9</f>
        <v>0</v>
      </c>
      <c r="C2" s="314"/>
      <c r="D2" s="314"/>
      <c r="E2" s="314"/>
    </row>
    <row r="3" spans="1:7" ht="24.9" customHeight="1">
      <c r="A3" s="316" t="s">
        <v>148</v>
      </c>
      <c r="B3" s="316" t="s">
        <v>1429</v>
      </c>
      <c r="C3" s="314"/>
      <c r="D3" s="314"/>
      <c r="E3" s="314"/>
    </row>
    <row r="4" spans="1:7" s="212" customFormat="1" ht="24.9" customHeight="1">
      <c r="A4" s="175" t="s">
        <v>1430</v>
      </c>
      <c r="B4" s="175" t="s">
        <v>1190</v>
      </c>
      <c r="C4" s="175" t="s">
        <v>1431</v>
      </c>
      <c r="D4" s="175" t="s">
        <v>1432</v>
      </c>
      <c r="E4" s="175" t="s">
        <v>969</v>
      </c>
    </row>
    <row r="5" spans="1:7" s="212" customFormat="1" ht="20.100000000000001" customHeight="1">
      <c r="A5" s="176" t="s">
        <v>1433</v>
      </c>
      <c r="B5" s="216"/>
      <c r="C5" s="216"/>
      <c r="D5" s="216"/>
      <c r="E5" s="218">
        <f>B5+C5-D5</f>
        <v>0</v>
      </c>
    </row>
    <row r="6" spans="1:7" s="212" customFormat="1" ht="20.100000000000001" customHeight="1">
      <c r="A6" s="176" t="s">
        <v>1434</v>
      </c>
      <c r="B6" s="216"/>
      <c r="C6" s="216"/>
      <c r="D6" s="216"/>
      <c r="E6" s="218">
        <f t="shared" ref="E6:E9" si="0">B6+C6-D6</f>
        <v>0</v>
      </c>
    </row>
    <row r="7" spans="1:7" s="212" customFormat="1" ht="20.100000000000001" customHeight="1">
      <c r="A7" s="176" t="s">
        <v>1435</v>
      </c>
      <c r="B7" s="216"/>
      <c r="C7" s="216"/>
      <c r="D7" s="216"/>
      <c r="E7" s="218">
        <f t="shared" si="0"/>
        <v>0</v>
      </c>
    </row>
    <row r="8" spans="1:7" s="212" customFormat="1" ht="20.100000000000001" customHeight="1">
      <c r="A8" s="176" t="s">
        <v>1436</v>
      </c>
      <c r="B8" s="216"/>
      <c r="C8" s="216"/>
      <c r="D8" s="216"/>
      <c r="E8" s="218">
        <f t="shared" si="0"/>
        <v>0</v>
      </c>
    </row>
    <row r="9" spans="1:7" s="212" customFormat="1" ht="20.100000000000001" customHeight="1">
      <c r="A9" s="176"/>
      <c r="B9" s="216"/>
      <c r="C9" s="216"/>
      <c r="D9" s="216"/>
      <c r="E9" s="218">
        <f t="shared" si="0"/>
        <v>0</v>
      </c>
      <c r="G9" s="3"/>
    </row>
    <row r="10" spans="1:7" s="212" customFormat="1" ht="20.100000000000001" customHeight="1">
      <c r="A10" s="176" t="s">
        <v>949</v>
      </c>
      <c r="B10" s="218">
        <f>SUM(B5:B9)</f>
        <v>0</v>
      </c>
      <c r="C10" s="218">
        <f t="shared" ref="C10:E10" si="1">SUM(C5:C9)</f>
        <v>0</v>
      </c>
      <c r="D10" s="218">
        <f t="shared" si="1"/>
        <v>0</v>
      </c>
      <c r="E10" s="218">
        <f t="shared" si="1"/>
        <v>0</v>
      </c>
    </row>
    <row r="11" spans="1:7" s="212" customFormat="1" ht="20.100000000000001" customHeight="1">
      <c r="A11" s="219" t="s">
        <v>623</v>
      </c>
      <c r="B11" s="309"/>
      <c r="C11" s="216"/>
      <c r="D11" s="216"/>
      <c r="E11" s="220"/>
    </row>
    <row r="12" spans="1:7" s="212" customFormat="1" ht="20.100000000000001" customHeight="1">
      <c r="A12" s="270"/>
      <c r="B12" s="317"/>
      <c r="C12" s="318"/>
      <c r="D12" s="318"/>
      <c r="E12" s="271">
        <f>E10-E11</f>
        <v>0</v>
      </c>
    </row>
    <row r="13" spans="1:7" s="212" customFormat="1" ht="20.100000000000001" customHeight="1">
      <c r="A13" s="221"/>
      <c r="C13" s="319"/>
      <c r="D13" s="319"/>
      <c r="E13" s="221" t="str">
        <f>IF(E12=0,"OK","NO")</f>
        <v>OK</v>
      </c>
    </row>
    <row r="14" spans="1:7" s="212" customFormat="1" ht="20.100000000000001" customHeight="1">
      <c r="A14" s="319"/>
      <c r="B14" s="319"/>
      <c r="C14" s="319"/>
      <c r="D14" s="319"/>
      <c r="E14" s="319"/>
    </row>
    <row r="15" spans="1:7" s="212" customFormat="1" ht="20.100000000000001" customHeight="1">
      <c r="A15" s="234" t="s">
        <v>1437</v>
      </c>
      <c r="B15" s="236"/>
      <c r="C15" s="236"/>
      <c r="D15" s="236"/>
      <c r="E15" s="236"/>
    </row>
    <row r="16" spans="1:7" s="212" customFormat="1" ht="31.5" customHeight="1">
      <c r="A16" s="1077" t="s">
        <v>1438</v>
      </c>
      <c r="B16" s="1077"/>
      <c r="C16" s="1077"/>
      <c r="D16" s="1077"/>
      <c r="E16" s="1077"/>
    </row>
    <row r="17" spans="1:5" s="212" customFormat="1" ht="31.5" customHeight="1">
      <c r="A17" s="1077" t="s">
        <v>1439</v>
      </c>
      <c r="B17" s="1077"/>
      <c r="C17" s="1077"/>
      <c r="D17" s="1077"/>
      <c r="E17" s="1077"/>
    </row>
    <row r="18" spans="1:5" s="212" customFormat="1" ht="20.100000000000001" customHeight="1">
      <c r="A18" s="236" t="s">
        <v>1440</v>
      </c>
      <c r="B18" s="236"/>
      <c r="C18" s="236"/>
      <c r="D18" s="236"/>
      <c r="E18" s="236"/>
    </row>
    <row r="19" spans="1:5" s="212" customFormat="1" ht="20.100000000000001" customHeight="1">
      <c r="A19" s="175" t="s">
        <v>1430</v>
      </c>
      <c r="B19" s="175" t="s">
        <v>1190</v>
      </c>
      <c r="C19" s="175" t="s">
        <v>1431</v>
      </c>
      <c r="D19" s="175" t="s">
        <v>1432</v>
      </c>
      <c r="E19" s="175" t="s">
        <v>969</v>
      </c>
    </row>
    <row r="20" spans="1:5" s="212" customFormat="1" ht="20.100000000000001" customHeight="1">
      <c r="A20" s="242" t="s">
        <v>1441</v>
      </c>
      <c r="B20" s="216"/>
      <c r="C20" s="216"/>
      <c r="D20" s="216"/>
      <c r="E20" s="218">
        <f>B20+C20-D20</f>
        <v>0</v>
      </c>
    </row>
    <row r="21" spans="1:5" s="212" customFormat="1" ht="20.100000000000001" customHeight="1">
      <c r="A21" s="242" t="s">
        <v>1442</v>
      </c>
      <c r="B21" s="216"/>
      <c r="C21" s="216"/>
      <c r="D21" s="216"/>
      <c r="E21" s="218">
        <f t="shared" ref="E21:E36" si="2">B21+C21-D21</f>
        <v>0</v>
      </c>
    </row>
    <row r="22" spans="1:5" s="212" customFormat="1" ht="20.100000000000001" customHeight="1">
      <c r="A22" s="242" t="s">
        <v>1443</v>
      </c>
      <c r="B22" s="218">
        <f>SUM(B23:B29)</f>
        <v>0</v>
      </c>
      <c r="C22" s="218">
        <f t="shared" ref="C22:D22" si="3">SUM(C23:C29)</f>
        <v>0</v>
      </c>
      <c r="D22" s="218">
        <f t="shared" si="3"/>
        <v>0</v>
      </c>
      <c r="E22" s="218">
        <f t="shared" si="2"/>
        <v>0</v>
      </c>
    </row>
    <row r="23" spans="1:5" s="212" customFormat="1" ht="20.100000000000001" customHeight="1">
      <c r="A23" s="242" t="s">
        <v>1444</v>
      </c>
      <c r="B23" s="216"/>
      <c r="C23" s="216"/>
      <c r="D23" s="216"/>
      <c r="E23" s="218">
        <f t="shared" si="2"/>
        <v>0</v>
      </c>
    </row>
    <row r="24" spans="1:5" s="212" customFormat="1" ht="20.100000000000001" customHeight="1">
      <c r="A24" s="242" t="s">
        <v>1445</v>
      </c>
      <c r="B24" s="216"/>
      <c r="C24" s="216"/>
      <c r="D24" s="216"/>
      <c r="E24" s="218">
        <f t="shared" si="2"/>
        <v>0</v>
      </c>
    </row>
    <row r="25" spans="1:5" s="212" customFormat="1" ht="20.100000000000001" customHeight="1">
      <c r="A25" s="242" t="s">
        <v>1446</v>
      </c>
      <c r="B25" s="216"/>
      <c r="C25" s="216"/>
      <c r="D25" s="216"/>
      <c r="E25" s="218">
        <f t="shared" si="2"/>
        <v>0</v>
      </c>
    </row>
    <row r="26" spans="1:5" s="212" customFormat="1" ht="20.100000000000001" customHeight="1">
      <c r="A26" s="242" t="s">
        <v>870</v>
      </c>
      <c r="B26" s="216"/>
      <c r="C26" s="216"/>
      <c r="D26" s="216"/>
      <c r="E26" s="218">
        <f t="shared" si="2"/>
        <v>0</v>
      </c>
    </row>
    <row r="27" spans="1:5" s="212" customFormat="1" ht="20.100000000000001" customHeight="1">
      <c r="A27" s="242"/>
      <c r="B27" s="216"/>
      <c r="C27" s="216"/>
      <c r="D27" s="216"/>
      <c r="E27" s="218">
        <f t="shared" si="2"/>
        <v>0</v>
      </c>
    </row>
    <row r="28" spans="1:5" s="212" customFormat="1" ht="20.100000000000001" customHeight="1">
      <c r="A28" s="242"/>
      <c r="B28" s="216"/>
      <c r="C28" s="216"/>
      <c r="D28" s="216"/>
      <c r="E28" s="218">
        <f t="shared" si="2"/>
        <v>0</v>
      </c>
    </row>
    <row r="29" spans="1:5" s="212" customFormat="1" ht="20.100000000000001" customHeight="1">
      <c r="A29" s="242"/>
      <c r="B29" s="216"/>
      <c r="C29" s="216"/>
      <c r="D29" s="216"/>
      <c r="E29" s="218">
        <f t="shared" si="2"/>
        <v>0</v>
      </c>
    </row>
    <row r="30" spans="1:5" s="212" customFormat="1" ht="20.100000000000001" customHeight="1">
      <c r="A30" s="242" t="s">
        <v>1447</v>
      </c>
      <c r="B30" s="216"/>
      <c r="C30" s="216"/>
      <c r="D30" s="216"/>
      <c r="E30" s="218">
        <f t="shared" si="2"/>
        <v>0</v>
      </c>
    </row>
    <row r="31" spans="1:5" s="212" customFormat="1" ht="20.100000000000001" customHeight="1">
      <c r="A31" s="242" t="s">
        <v>1448</v>
      </c>
      <c r="B31" s="216"/>
      <c r="C31" s="216"/>
      <c r="D31" s="216"/>
      <c r="E31" s="218">
        <f t="shared" si="2"/>
        <v>0</v>
      </c>
    </row>
    <row r="32" spans="1:5" s="212" customFormat="1" ht="20.100000000000001" customHeight="1">
      <c r="A32" s="242" t="s">
        <v>1449</v>
      </c>
      <c r="B32" s="216"/>
      <c r="C32" s="216"/>
      <c r="D32" s="216"/>
      <c r="E32" s="218">
        <f t="shared" si="2"/>
        <v>0</v>
      </c>
    </row>
    <row r="33" spans="1:5" s="212" customFormat="1" ht="20.100000000000001" customHeight="1">
      <c r="A33" s="242" t="s">
        <v>1450</v>
      </c>
      <c r="B33" s="216"/>
      <c r="C33" s="216"/>
      <c r="D33" s="216"/>
      <c r="E33" s="218">
        <f t="shared" si="2"/>
        <v>0</v>
      </c>
    </row>
    <row r="34" spans="1:5" s="212" customFormat="1" ht="20.100000000000001" customHeight="1">
      <c r="A34" s="242" t="s">
        <v>1451</v>
      </c>
      <c r="B34" s="216"/>
      <c r="C34" s="216"/>
      <c r="D34" s="216"/>
      <c r="E34" s="218">
        <f t="shared" si="2"/>
        <v>0</v>
      </c>
    </row>
    <row r="35" spans="1:5" s="212" customFormat="1" ht="20.100000000000001" customHeight="1">
      <c r="A35" s="242" t="s">
        <v>1452</v>
      </c>
      <c r="B35" s="216"/>
      <c r="C35" s="216"/>
      <c r="D35" s="216"/>
      <c r="E35" s="218">
        <f t="shared" si="2"/>
        <v>0</v>
      </c>
    </row>
    <row r="36" spans="1:5" s="212" customFormat="1" ht="20.100000000000001" customHeight="1">
      <c r="A36" s="242"/>
      <c r="B36" s="216"/>
      <c r="C36" s="216"/>
      <c r="D36" s="216"/>
      <c r="E36" s="218">
        <f t="shared" si="2"/>
        <v>0</v>
      </c>
    </row>
    <row r="37" spans="1:5" s="212" customFormat="1" ht="20.100000000000001" customHeight="1">
      <c r="A37" s="242" t="s">
        <v>961</v>
      </c>
      <c r="B37" s="218">
        <f>SUM(B20:B36)-B23-B24-B25-B26-B27-B28-B29</f>
        <v>0</v>
      </c>
      <c r="C37" s="218">
        <f t="shared" ref="C37:E37" si="4">SUM(C20:C36)-C23-C24-C25-C26-C27-C28-C29</f>
        <v>0</v>
      </c>
      <c r="D37" s="218">
        <f t="shared" si="4"/>
        <v>0</v>
      </c>
      <c r="E37" s="218">
        <f t="shared" si="4"/>
        <v>0</v>
      </c>
    </row>
    <row r="38" spans="1:5" s="212" customFormat="1" ht="20.100000000000001" customHeight="1">
      <c r="A38" s="219" t="s">
        <v>623</v>
      </c>
      <c r="B38" s="309"/>
      <c r="C38" s="216"/>
      <c r="D38" s="216"/>
      <c r="E38" s="220">
        <f>E5</f>
        <v>0</v>
      </c>
    </row>
    <row r="39" spans="1:5" s="212" customFormat="1" ht="20.100000000000001" customHeight="1">
      <c r="A39" s="270"/>
      <c r="B39" s="317"/>
      <c r="C39" s="318"/>
      <c r="D39" s="318"/>
      <c r="E39" s="271">
        <f>E37-E38</f>
        <v>0</v>
      </c>
    </row>
    <row r="40" spans="1:5" s="212" customFormat="1" ht="20.100000000000001" customHeight="1">
      <c r="A40" s="221"/>
      <c r="B40" s="317"/>
      <c r="C40" s="318"/>
      <c r="D40" s="318"/>
      <c r="E40" s="320" t="str">
        <f>IF(E39=0,"OK","NO")</f>
        <v>OK</v>
      </c>
    </row>
    <row r="41" spans="1:5" s="212" customFormat="1" ht="20.100000000000001" customHeight="1">
      <c r="A41" s="217" t="s">
        <v>994</v>
      </c>
      <c r="B41" s="217"/>
      <c r="C41" s="217"/>
      <c r="D41" s="217"/>
      <c r="E41" s="217"/>
    </row>
    <row r="42" spans="1:5" s="212" customFormat="1" ht="20.100000000000001" customHeight="1">
      <c r="A42" s="1080" t="s">
        <v>1453</v>
      </c>
      <c r="B42" s="1080"/>
      <c r="C42" s="1080"/>
      <c r="D42" s="1080"/>
      <c r="E42" s="1080"/>
    </row>
    <row r="43" spans="1:5" s="212" customFormat="1" ht="20.100000000000001" customHeight="1">
      <c r="A43" s="1076" t="s">
        <v>1454</v>
      </c>
      <c r="B43" s="1076"/>
      <c r="C43" s="1076"/>
      <c r="D43" s="1076"/>
      <c r="E43" s="1076"/>
    </row>
    <row r="44" spans="1:5" s="212" customFormat="1" ht="20.100000000000001" customHeight="1">
      <c r="A44" s="236" t="s">
        <v>1455</v>
      </c>
      <c r="B44" s="217"/>
      <c r="C44" s="217"/>
      <c r="D44" s="217"/>
      <c r="E44" s="217"/>
    </row>
    <row r="45" spans="1:5" s="212" customFormat="1" ht="20.100000000000001" customHeight="1">
      <c r="A45" s="175" t="s">
        <v>1430</v>
      </c>
      <c r="B45" s="175" t="s">
        <v>1190</v>
      </c>
      <c r="C45" s="175" t="s">
        <v>1431</v>
      </c>
      <c r="D45" s="175" t="s">
        <v>1432</v>
      </c>
      <c r="E45" s="175" t="s">
        <v>969</v>
      </c>
    </row>
    <row r="46" spans="1:5" s="212" customFormat="1" ht="20.100000000000001" customHeight="1">
      <c r="A46" s="242" t="s">
        <v>1456</v>
      </c>
      <c r="B46" s="218">
        <f>SUM(B47:B50)</f>
        <v>0</v>
      </c>
      <c r="C46" s="218">
        <f t="shared" ref="C46:D46" si="5">SUM(C47:C50)</f>
        <v>0</v>
      </c>
      <c r="D46" s="218">
        <f t="shared" si="5"/>
        <v>0</v>
      </c>
      <c r="E46" s="218">
        <f>B46+C46-D46</f>
        <v>0</v>
      </c>
    </row>
    <row r="47" spans="1:5" s="212" customFormat="1" ht="20.100000000000001" customHeight="1">
      <c r="A47" s="242" t="s">
        <v>1457</v>
      </c>
      <c r="B47" s="216"/>
      <c r="C47" s="216"/>
      <c r="D47" s="216"/>
      <c r="E47" s="218">
        <f t="shared" ref="E47:E54" si="6">B47+C47-D47</f>
        <v>0</v>
      </c>
    </row>
    <row r="48" spans="1:5" s="212" customFormat="1" ht="20.100000000000001" customHeight="1">
      <c r="A48" s="242" t="s">
        <v>1458</v>
      </c>
      <c r="B48" s="216"/>
      <c r="C48" s="216"/>
      <c r="D48" s="216"/>
      <c r="E48" s="218">
        <f t="shared" si="6"/>
        <v>0</v>
      </c>
    </row>
    <row r="49" spans="1:5" s="212" customFormat="1" ht="20.100000000000001" customHeight="1">
      <c r="A49" s="242" t="s">
        <v>1459</v>
      </c>
      <c r="B49" s="216"/>
      <c r="C49" s="216"/>
      <c r="D49" s="216"/>
      <c r="E49" s="218">
        <f t="shared" si="6"/>
        <v>0</v>
      </c>
    </row>
    <row r="50" spans="1:5" s="212" customFormat="1" ht="20.100000000000001" customHeight="1">
      <c r="A50" s="242" t="s">
        <v>1460</v>
      </c>
      <c r="B50" s="216"/>
      <c r="C50" s="216"/>
      <c r="D50" s="216"/>
      <c r="E50" s="218">
        <f t="shared" si="6"/>
        <v>0</v>
      </c>
    </row>
    <row r="51" spans="1:5" s="212" customFormat="1" ht="20.100000000000001" customHeight="1">
      <c r="A51" s="242" t="s">
        <v>1461</v>
      </c>
      <c r="B51" s="218">
        <f>SUM(B52:B53)</f>
        <v>0</v>
      </c>
      <c r="C51" s="218">
        <f t="shared" ref="C51:D51" si="7">SUM(C52:C53)</f>
        <v>0</v>
      </c>
      <c r="D51" s="218">
        <f t="shared" si="7"/>
        <v>0</v>
      </c>
      <c r="E51" s="218">
        <f t="shared" si="6"/>
        <v>0</v>
      </c>
    </row>
    <row r="52" spans="1:5" s="212" customFormat="1" ht="20.100000000000001" customHeight="1">
      <c r="A52" s="242" t="s">
        <v>1462</v>
      </c>
      <c r="B52" s="216"/>
      <c r="C52" s="216"/>
      <c r="D52" s="216"/>
      <c r="E52" s="218">
        <f t="shared" si="6"/>
        <v>0</v>
      </c>
    </row>
    <row r="53" spans="1:5" s="212" customFormat="1" ht="20.100000000000001" customHeight="1">
      <c r="A53" s="242" t="s">
        <v>1463</v>
      </c>
      <c r="B53" s="216"/>
      <c r="C53" s="216"/>
      <c r="D53" s="216"/>
      <c r="E53" s="218">
        <f t="shared" si="6"/>
        <v>0</v>
      </c>
    </row>
    <row r="54" spans="1:5" s="212" customFormat="1" ht="20.100000000000001" customHeight="1">
      <c r="A54" s="242" t="s">
        <v>961</v>
      </c>
      <c r="B54" s="218">
        <f>B46+B51</f>
        <v>0</v>
      </c>
      <c r="C54" s="218">
        <f t="shared" ref="C54:D54" si="8">C46+C51</f>
        <v>0</v>
      </c>
      <c r="D54" s="218">
        <f t="shared" si="8"/>
        <v>0</v>
      </c>
      <c r="E54" s="218">
        <f t="shared" si="6"/>
        <v>0</v>
      </c>
    </row>
    <row r="55" spans="1:5" s="212" customFormat="1" ht="20.100000000000001" customHeight="1">
      <c r="A55" s="219" t="s">
        <v>623</v>
      </c>
      <c r="B55" s="309"/>
      <c r="C55" s="216"/>
      <c r="D55" s="216"/>
      <c r="E55" s="220">
        <f>E6</f>
        <v>0</v>
      </c>
    </row>
    <row r="56" spans="1:5" s="212" customFormat="1" ht="20.100000000000001" customHeight="1">
      <c r="A56" s="270"/>
      <c r="B56" s="317"/>
      <c r="C56" s="318"/>
      <c r="D56" s="318"/>
      <c r="E56" s="271">
        <f>E54-E55</f>
        <v>0</v>
      </c>
    </row>
    <row r="57" spans="1:5" s="212" customFormat="1" ht="20.100000000000001" customHeight="1">
      <c r="A57" s="221"/>
      <c r="C57" s="319"/>
      <c r="D57" s="319"/>
      <c r="E57" s="221" t="str">
        <f>IF(E56=0,"OK","NO")</f>
        <v>OK</v>
      </c>
    </row>
    <row r="58" spans="1:5" s="212" customFormat="1" ht="20.100000000000001" customHeight="1">
      <c r="A58" s="1080" t="s">
        <v>1464</v>
      </c>
      <c r="B58" s="1080"/>
      <c r="C58" s="1080"/>
      <c r="D58" s="1080"/>
      <c r="E58" s="1080"/>
    </row>
    <row r="59" spans="1:5" s="212" customFormat="1" ht="20.100000000000001" customHeight="1">
      <c r="A59" s="1076" t="s">
        <v>1465</v>
      </c>
      <c r="B59" s="1076"/>
      <c r="C59" s="1076"/>
      <c r="D59" s="1076"/>
      <c r="E59" s="1076"/>
    </row>
    <row r="60" spans="1:5" s="212" customFormat="1" ht="20.100000000000001" customHeight="1">
      <c r="A60" s="217" t="s">
        <v>1466</v>
      </c>
      <c r="B60" s="217"/>
      <c r="C60" s="217"/>
      <c r="D60" s="217"/>
      <c r="E60" s="217"/>
    </row>
    <row r="61" spans="1:5" s="212" customFormat="1" ht="20.100000000000001" customHeight="1">
      <c r="A61" s="1080" t="s">
        <v>1467</v>
      </c>
      <c r="B61" s="1080"/>
      <c r="C61" s="1080"/>
      <c r="D61" s="1080"/>
      <c r="E61" s="1080"/>
    </row>
    <row r="62" spans="1:5" s="212" customFormat="1" ht="37.5" customHeight="1">
      <c r="A62" s="1077" t="s">
        <v>1468</v>
      </c>
      <c r="B62" s="1077"/>
      <c r="C62" s="1077"/>
      <c r="D62" s="1077"/>
      <c r="E62" s="1077"/>
    </row>
  </sheetData>
  <mergeCells count="8">
    <mergeCell ref="A59:E59"/>
    <mergeCell ref="A61:E61"/>
    <mergeCell ref="A62:E62"/>
    <mergeCell ref="A16:E16"/>
    <mergeCell ref="A17:E17"/>
    <mergeCell ref="A42:E42"/>
    <mergeCell ref="A43:E43"/>
    <mergeCell ref="A58:E58"/>
  </mergeCells>
  <phoneticPr fontId="78" type="noConversion"/>
  <hyperlinks>
    <hyperlink ref="F1" location="目录!A1" display="BACK"/>
  </hyperlinks>
  <pageMargins left="0.27500000000000002" right="0.27500000000000002" top="0.51180555555555596" bottom="0.51180555555555596" header="0.27500000000000002" footer="0.27500000000000002"/>
  <pageSetup paperSize="9" scale="90" orientation="landscape" blackAndWhite="1"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dimension ref="A1:I28"/>
  <sheetViews>
    <sheetView view="pageBreakPreview" zoomScaleNormal="100" zoomScaleSheetLayoutView="100" workbookViewId="0">
      <selection activeCell="E17" sqref="E17"/>
    </sheetView>
  </sheetViews>
  <sheetFormatPr defaultColWidth="9" defaultRowHeight="20.100000000000001" customHeight="1"/>
  <cols>
    <col min="1" max="1" width="25.8984375" style="99" customWidth="1"/>
    <col min="2" max="2" width="27.59765625" style="99" customWidth="1"/>
    <col min="3" max="3" width="20.59765625" style="99" customWidth="1"/>
    <col min="4" max="4" width="20.69921875" style="99" customWidth="1"/>
    <col min="5" max="5" width="20.3984375" style="99" customWidth="1"/>
    <col min="6" max="16384" width="9" style="99"/>
  </cols>
  <sheetData>
    <row r="1" spans="1:5" s="177" customFormat="1" ht="24.9" customHeight="1">
      <c r="A1" s="48" t="s">
        <v>145</v>
      </c>
      <c r="B1" s="49">
        <f>基础信息!B6</f>
        <v>0</v>
      </c>
      <c r="D1" s="900" t="s">
        <v>146</v>
      </c>
    </row>
    <row r="2" spans="1:5" s="177" customFormat="1" ht="24.9" customHeight="1">
      <c r="A2" s="48" t="s">
        <v>147</v>
      </c>
      <c r="B2" s="49">
        <f>基础信息!B9</f>
        <v>0</v>
      </c>
    </row>
    <row r="3" spans="1:5" s="101" customFormat="1" ht="24.9" customHeight="1">
      <c r="A3" s="91" t="s">
        <v>148</v>
      </c>
      <c r="B3" s="91" t="s">
        <v>1469</v>
      </c>
      <c r="C3" s="177"/>
    </row>
    <row r="4" spans="1:5" s="91" customFormat="1" ht="24.9" customHeight="1">
      <c r="A4" s="290" t="s">
        <v>305</v>
      </c>
      <c r="B4" s="290" t="s">
        <v>1470</v>
      </c>
      <c r="C4" s="290" t="s">
        <v>1471</v>
      </c>
      <c r="D4" s="290" t="s">
        <v>1472</v>
      </c>
      <c r="E4" s="290" t="s">
        <v>1473</v>
      </c>
    </row>
    <row r="5" spans="1:5" s="96" customFormat="1" ht="20.100000000000001" customHeight="1">
      <c r="A5" s="190" t="s">
        <v>1474</v>
      </c>
      <c r="B5" s="189"/>
      <c r="C5" s="189"/>
      <c r="D5" s="189"/>
      <c r="E5" s="191">
        <f>B5+C5-D5</f>
        <v>0</v>
      </c>
    </row>
    <row r="6" spans="1:5" s="96" customFormat="1" ht="20.100000000000001" customHeight="1">
      <c r="A6" s="190" t="s">
        <v>1475</v>
      </c>
      <c r="B6" s="189"/>
      <c r="C6" s="189"/>
      <c r="D6" s="189"/>
      <c r="E6" s="191">
        <f t="shared" ref="E6:E16" si="0">B6+C6-D6</f>
        <v>0</v>
      </c>
    </row>
    <row r="7" spans="1:5" s="96" customFormat="1" ht="20.100000000000001" customHeight="1">
      <c r="A7" s="190" t="s">
        <v>1476</v>
      </c>
      <c r="B7" s="189"/>
      <c r="C7" s="189"/>
      <c r="D7" s="189"/>
      <c r="E7" s="191">
        <f t="shared" si="0"/>
        <v>0</v>
      </c>
    </row>
    <row r="8" spans="1:5" s="96" customFormat="1" ht="20.100000000000001" customHeight="1">
      <c r="A8" s="190" t="s">
        <v>1477</v>
      </c>
      <c r="B8" s="189"/>
      <c r="C8" s="189"/>
      <c r="D8" s="189"/>
      <c r="E8" s="191">
        <f t="shared" si="0"/>
        <v>0</v>
      </c>
    </row>
    <row r="9" spans="1:5" s="96" customFormat="1" ht="20.100000000000001" customHeight="1">
      <c r="A9" s="190" t="s">
        <v>1478</v>
      </c>
      <c r="B9" s="189"/>
      <c r="C9" s="189"/>
      <c r="D9" s="189"/>
      <c r="E9" s="191">
        <f t="shared" si="0"/>
        <v>0</v>
      </c>
    </row>
    <row r="10" spans="1:5" s="96" customFormat="1" ht="20.100000000000001" customHeight="1">
      <c r="A10" s="190" t="s">
        <v>1479</v>
      </c>
      <c r="B10" s="189"/>
      <c r="C10" s="189"/>
      <c r="D10" s="189"/>
      <c r="E10" s="191">
        <f t="shared" si="0"/>
        <v>0</v>
      </c>
    </row>
    <row r="11" spans="1:5" s="96" customFormat="1" ht="20.100000000000001" customHeight="1">
      <c r="A11" s="190" t="s">
        <v>1480</v>
      </c>
      <c r="B11" s="189"/>
      <c r="C11" s="189"/>
      <c r="D11" s="189"/>
      <c r="E11" s="191">
        <f t="shared" si="0"/>
        <v>0</v>
      </c>
    </row>
    <row r="12" spans="1:5" s="96" customFormat="1" ht="20.100000000000001" customHeight="1">
      <c r="A12" s="190" t="s">
        <v>1481</v>
      </c>
      <c r="B12" s="189"/>
      <c r="C12" s="189"/>
      <c r="D12" s="189"/>
      <c r="E12" s="191">
        <f t="shared" si="0"/>
        <v>0</v>
      </c>
    </row>
    <row r="13" spans="1:5" s="112" customFormat="1" ht="20.100000000000001" customHeight="1">
      <c r="A13" s="190" t="s">
        <v>1482</v>
      </c>
      <c r="B13" s="189"/>
      <c r="C13" s="189"/>
      <c r="D13" s="189"/>
      <c r="E13" s="191">
        <f t="shared" si="0"/>
        <v>0</v>
      </c>
    </row>
    <row r="14" spans="1:5" s="112" customFormat="1" ht="20.100000000000001" customHeight="1">
      <c r="A14" s="190" t="s">
        <v>1483</v>
      </c>
      <c r="B14" s="189"/>
      <c r="C14" s="189"/>
      <c r="D14" s="189"/>
      <c r="E14" s="191">
        <f t="shared" si="0"/>
        <v>0</v>
      </c>
    </row>
    <row r="15" spans="1:5" s="94" customFormat="1" ht="20.100000000000001" customHeight="1">
      <c r="A15" s="190" t="s">
        <v>1484</v>
      </c>
      <c r="B15" s="189"/>
      <c r="C15" s="189"/>
      <c r="D15" s="189"/>
      <c r="E15" s="191">
        <f t="shared" si="0"/>
        <v>0</v>
      </c>
    </row>
    <row r="16" spans="1:5" s="96" customFormat="1" ht="20.100000000000001" customHeight="1">
      <c r="A16" s="190" t="s">
        <v>632</v>
      </c>
      <c r="B16" s="191">
        <f>SUM(B5:B15)</f>
        <v>0</v>
      </c>
      <c r="C16" s="191">
        <f t="shared" ref="C16:D16" si="1">SUM(C5:C15)</f>
        <v>0</v>
      </c>
      <c r="D16" s="191">
        <f t="shared" si="1"/>
        <v>0</v>
      </c>
      <c r="E16" s="191">
        <f t="shared" si="0"/>
        <v>0</v>
      </c>
    </row>
    <row r="17" spans="1:9" s="303" customFormat="1" ht="20.100000000000001" customHeight="1">
      <c r="A17" s="219" t="s">
        <v>623</v>
      </c>
      <c r="B17" s="309"/>
      <c r="C17" s="216"/>
      <c r="D17" s="216"/>
      <c r="E17" s="220"/>
    </row>
    <row r="18" spans="1:9" s="303" customFormat="1" ht="20.100000000000001" customHeight="1">
      <c r="A18" s="219"/>
      <c r="B18" s="309"/>
      <c r="C18" s="216"/>
      <c r="D18" s="216"/>
      <c r="E18" s="220">
        <f>E16-E17</f>
        <v>0</v>
      </c>
    </row>
    <row r="19" spans="1:9" s="303" customFormat="1" ht="20.100000000000001" customHeight="1">
      <c r="A19" s="305"/>
      <c r="C19" s="176"/>
      <c r="D19" s="176"/>
      <c r="E19" s="305" t="str">
        <f>IF(E18=0,"OK","NO")</f>
        <v>OK</v>
      </c>
    </row>
    <row r="20" spans="1:9" s="21" customFormat="1" ht="20.100000000000001" customHeight="1">
      <c r="A20" s="310" t="s">
        <v>1485</v>
      </c>
    </row>
    <row r="21" spans="1:9" s="21" customFormat="1" ht="20.100000000000001" customHeight="1">
      <c r="A21" s="311" t="s">
        <v>1486</v>
      </c>
    </row>
    <row r="22" spans="1:9" s="21" customFormat="1" ht="20.100000000000001" customHeight="1">
      <c r="A22" s="311" t="s">
        <v>1487</v>
      </c>
    </row>
    <row r="28" spans="1:9" s="98" customFormat="1" ht="20.100000000000001" customHeight="1">
      <c r="A28" s="99"/>
      <c r="B28" s="99"/>
      <c r="C28" s="99"/>
      <c r="D28" s="99"/>
      <c r="E28" s="99"/>
      <c r="F28" s="99"/>
      <c r="G28" s="99"/>
      <c r="H28" s="99"/>
      <c r="I28" s="99"/>
    </row>
  </sheetData>
  <phoneticPr fontId="78" type="noConversion"/>
  <hyperlinks>
    <hyperlink ref="D1" location="目录!A1" display="BACK"/>
  </hyperlinks>
  <pageMargins left="1.1416666666666699" right="0.74791666666666701" top="1.4166666666666701" bottom="0.98402777777777795" header="0.51180555555555596" footer="0.51180555555555596"/>
  <pageSetup paperSize="9" scale="66"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dimension ref="A1:E11"/>
  <sheetViews>
    <sheetView view="pageBreakPreview" zoomScaleNormal="100" zoomScaleSheetLayoutView="100" workbookViewId="0">
      <selection activeCell="B9" sqref="B9"/>
    </sheetView>
  </sheetViews>
  <sheetFormatPr defaultColWidth="9" defaultRowHeight="15.6"/>
  <cols>
    <col min="1" max="1" width="19.09765625" customWidth="1"/>
    <col min="2" max="2" width="29.8984375" customWidth="1"/>
    <col min="3" max="3" width="17.8984375" customWidth="1"/>
  </cols>
  <sheetData>
    <row r="1" spans="1:5">
      <c r="A1" s="48" t="s">
        <v>145</v>
      </c>
      <c r="B1" s="49">
        <f>基础信息!B6</f>
        <v>0</v>
      </c>
      <c r="C1" s="177"/>
      <c r="E1" s="900" t="s">
        <v>146</v>
      </c>
    </row>
    <row r="2" spans="1:5">
      <c r="A2" s="48" t="s">
        <v>147</v>
      </c>
      <c r="B2" s="49">
        <f>基础信息!B9</f>
        <v>0</v>
      </c>
      <c r="C2" s="177"/>
    </row>
    <row r="3" spans="1:5">
      <c r="A3" s="91" t="s">
        <v>148</v>
      </c>
      <c r="B3" s="307" t="s">
        <v>79</v>
      </c>
      <c r="C3" s="177"/>
    </row>
    <row r="4" spans="1:5">
      <c r="A4" s="203" t="s">
        <v>729</v>
      </c>
      <c r="B4" s="184" t="s">
        <v>773</v>
      </c>
      <c r="C4" s="301"/>
    </row>
    <row r="5" spans="1:5" ht="20.100000000000001" customHeight="1">
      <c r="A5" s="308" t="s">
        <v>1488</v>
      </c>
      <c r="B5" s="186"/>
      <c r="C5" s="302"/>
    </row>
    <row r="6" spans="1:5">
      <c r="A6" s="308" t="s">
        <v>1489</v>
      </c>
      <c r="B6" s="190"/>
      <c r="C6" s="302"/>
    </row>
    <row r="7" spans="1:5">
      <c r="A7" s="308" t="s">
        <v>79</v>
      </c>
      <c r="B7" s="190"/>
      <c r="C7" s="302"/>
    </row>
    <row r="8" spans="1:5">
      <c r="A8" s="186" t="s">
        <v>882</v>
      </c>
      <c r="B8" s="191">
        <f>SUM(B5:B7)</f>
        <v>0</v>
      </c>
      <c r="C8" s="302"/>
    </row>
    <row r="9" spans="1:5">
      <c r="A9" s="219" t="s">
        <v>623</v>
      </c>
      <c r="B9" s="220"/>
      <c r="C9" s="303"/>
    </row>
    <row r="10" spans="1:5">
      <c r="A10" s="219"/>
      <c r="B10" s="220">
        <f>B8-B9</f>
        <v>0</v>
      </c>
      <c r="C10" s="303"/>
    </row>
    <row r="11" spans="1:5">
      <c r="A11" s="305"/>
      <c r="B11" s="305" t="str">
        <f>IF(B10=0,"OK","NO")</f>
        <v>OK</v>
      </c>
      <c r="C11" s="303"/>
    </row>
  </sheetData>
  <phoneticPr fontId="78" type="noConversion"/>
  <hyperlinks>
    <hyperlink ref="E1" location="目录!A1" display="BACK"/>
  </hyperlinks>
  <pageMargins left="0.75" right="0.75" top="1" bottom="1" header="0.51180555555555596" footer="0.51180555555555596"/>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dimension ref="A1:I22"/>
  <sheetViews>
    <sheetView view="pageBreakPreview" zoomScaleNormal="100" zoomScaleSheetLayoutView="100" workbookViewId="0">
      <selection activeCell="D1" sqref="D1"/>
    </sheetView>
  </sheetViews>
  <sheetFormatPr defaultColWidth="9" defaultRowHeight="20.100000000000001" customHeight="1"/>
  <cols>
    <col min="1" max="2" width="30.59765625" style="99" customWidth="1"/>
    <col min="3" max="3" width="32.09765625" style="99" customWidth="1"/>
    <col min="4" max="5" width="24.59765625" style="99" customWidth="1"/>
    <col min="6" max="16384" width="9" style="99"/>
  </cols>
  <sheetData>
    <row r="1" spans="1:9" s="177" customFormat="1" ht="24.9" customHeight="1">
      <c r="A1" s="48" t="s">
        <v>145</v>
      </c>
      <c r="B1" s="49">
        <f>基础信息!B6</f>
        <v>0</v>
      </c>
      <c r="D1" s="900" t="s">
        <v>146</v>
      </c>
      <c r="E1" s="179"/>
    </row>
    <row r="2" spans="1:9" s="177" customFormat="1" ht="24.9" customHeight="1">
      <c r="A2" s="48" t="s">
        <v>147</v>
      </c>
      <c r="B2" s="49">
        <f>基础信息!B9</f>
        <v>0</v>
      </c>
    </row>
    <row r="3" spans="1:9" s="101" customFormat="1" ht="24.9" customHeight="1">
      <c r="A3" s="91" t="s">
        <v>148</v>
      </c>
      <c r="B3" s="91" t="s">
        <v>1490</v>
      </c>
      <c r="C3" s="177"/>
      <c r="D3" s="177"/>
      <c r="E3" s="177"/>
      <c r="F3" s="177"/>
      <c r="G3" s="177"/>
      <c r="H3" s="177"/>
      <c r="I3" s="177"/>
    </row>
    <row r="4" spans="1:9" s="301" customFormat="1" ht="24.9" customHeight="1">
      <c r="A4" s="203" t="s">
        <v>729</v>
      </c>
      <c r="B4" s="184" t="s">
        <v>773</v>
      </c>
    </row>
    <row r="5" spans="1:9" s="302" customFormat="1" ht="20.100000000000001" customHeight="1">
      <c r="A5" s="186" t="s">
        <v>1491</v>
      </c>
      <c r="B5" s="186"/>
    </row>
    <row r="6" spans="1:9" s="302" customFormat="1" ht="20.100000000000001" customHeight="1">
      <c r="A6" s="186" t="s">
        <v>1492</v>
      </c>
      <c r="B6" s="190"/>
    </row>
    <row r="7" spans="1:9" s="302" customFormat="1" ht="20.100000000000001" customHeight="1">
      <c r="A7" s="186" t="s">
        <v>1493</v>
      </c>
      <c r="B7" s="190"/>
    </row>
    <row r="8" spans="1:9" s="302" customFormat="1" ht="20.100000000000001" customHeight="1">
      <c r="A8" s="186" t="s">
        <v>1494</v>
      </c>
      <c r="B8" s="190"/>
    </row>
    <row r="9" spans="1:9" s="302" customFormat="1" ht="20.100000000000001" customHeight="1">
      <c r="A9" s="186" t="s">
        <v>1495</v>
      </c>
      <c r="B9" s="190"/>
    </row>
    <row r="10" spans="1:9" s="302" customFormat="1" ht="20.100000000000001" customHeight="1">
      <c r="A10" s="186" t="s">
        <v>1496</v>
      </c>
      <c r="B10" s="190"/>
    </row>
    <row r="11" spans="1:9" s="302" customFormat="1" ht="20.100000000000001" customHeight="1">
      <c r="A11" s="186"/>
      <c r="B11" s="190"/>
    </row>
    <row r="12" spans="1:9" s="302" customFormat="1" ht="20.100000000000001" customHeight="1">
      <c r="A12" s="186" t="s">
        <v>882</v>
      </c>
      <c r="B12" s="191">
        <f>SUM(B5:B11)</f>
        <v>0</v>
      </c>
    </row>
    <row r="13" spans="1:9" s="303" customFormat="1" ht="20.100000000000001" customHeight="1">
      <c r="A13" s="219"/>
      <c r="B13" s="220"/>
    </row>
    <row r="14" spans="1:9" s="303" customFormat="1" ht="20.100000000000001" customHeight="1">
      <c r="A14" s="219"/>
      <c r="B14" s="220"/>
      <c r="D14" s="176"/>
    </row>
    <row r="15" spans="1:9" s="303" customFormat="1" ht="20.100000000000001" customHeight="1">
      <c r="A15" s="305"/>
      <c r="B15" s="305"/>
      <c r="D15" s="176"/>
    </row>
    <row r="16" spans="1:9" s="302" customFormat="1" ht="20.100000000000001" customHeight="1">
      <c r="A16" s="186"/>
      <c r="B16" s="190"/>
    </row>
    <row r="17" spans="1:3" s="302" customFormat="1" ht="20.100000000000001" customHeight="1">
      <c r="A17" s="302" t="s">
        <v>1497</v>
      </c>
    </row>
    <row r="18" spans="1:3" s="302" customFormat="1" ht="20.100000000000001" customHeight="1">
      <c r="A18" s="306" t="s">
        <v>1498</v>
      </c>
      <c r="B18" s="306" t="s">
        <v>1499</v>
      </c>
      <c r="C18" s="306" t="s">
        <v>1500</v>
      </c>
    </row>
    <row r="19" spans="1:3" s="302" customFormat="1" ht="20.100000000000001" customHeight="1">
      <c r="A19" s="291" t="s">
        <v>712</v>
      </c>
      <c r="B19" s="190"/>
      <c r="C19" s="190"/>
    </row>
    <row r="20" spans="1:3" s="302" customFormat="1" ht="20.100000000000001" customHeight="1">
      <c r="A20" s="190"/>
      <c r="B20" s="190"/>
      <c r="C20" s="190"/>
    </row>
    <row r="21" spans="1:3" s="302" customFormat="1" ht="20.100000000000001" customHeight="1">
      <c r="A21" s="190" t="s">
        <v>142</v>
      </c>
      <c r="B21" s="190"/>
      <c r="C21" s="190" t="s">
        <v>932</v>
      </c>
    </row>
    <row r="22" spans="1:3" s="304" customFormat="1" ht="13.8"/>
  </sheetData>
  <phoneticPr fontId="78" type="noConversion"/>
  <hyperlinks>
    <hyperlink ref="D1" location="目录!A1" display="BACK"/>
  </hyperlinks>
  <pageMargins left="0.70763888888888904" right="0.70763888888888904" top="0.74791666666666701" bottom="0.74791666666666701" header="0.31388888888888899" footer="0.31388888888888899"/>
  <pageSetup paperSize="9" scale="87" orientation="portrait" blackAndWhite="1" horizontalDpi="1200" verticalDpi="120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dimension ref="A1:I21"/>
  <sheetViews>
    <sheetView view="pageBreakPreview" zoomScaleNormal="100" zoomScaleSheetLayoutView="100" workbookViewId="0">
      <selection activeCell="D1" sqref="D1"/>
    </sheetView>
  </sheetViews>
  <sheetFormatPr defaultColWidth="9" defaultRowHeight="20.100000000000001" customHeight="1"/>
  <cols>
    <col min="1" max="1" width="33.5" style="99" customWidth="1"/>
    <col min="2" max="2" width="30.59765625" style="99" customWidth="1"/>
    <col min="3" max="3" width="32.09765625" style="99" customWidth="1"/>
    <col min="4" max="5" width="24.59765625" style="99" customWidth="1"/>
    <col min="6" max="16384" width="9" style="99"/>
  </cols>
  <sheetData>
    <row r="1" spans="1:9" ht="24.9" customHeight="1">
      <c r="A1" s="6" t="s">
        <v>145</v>
      </c>
      <c r="B1" s="7">
        <f>基础信息!B6</f>
        <v>0</v>
      </c>
      <c r="C1" s="16"/>
      <c r="D1" s="900" t="s">
        <v>146</v>
      </c>
      <c r="E1" s="100"/>
    </row>
    <row r="2" spans="1:9" ht="24.9" customHeight="1">
      <c r="A2" s="6" t="s">
        <v>147</v>
      </c>
      <c r="B2" s="7">
        <f>基础信息!B9</f>
        <v>0</v>
      </c>
      <c r="C2" s="16"/>
      <c r="D2" s="161"/>
    </row>
    <row r="3" spans="1:9" s="98" customFormat="1" ht="24.9" customHeight="1">
      <c r="A3" s="149" t="s">
        <v>148</v>
      </c>
      <c r="B3" s="149" t="s">
        <v>1501</v>
      </c>
      <c r="C3" s="54"/>
      <c r="D3" s="161"/>
      <c r="E3" s="99"/>
      <c r="F3" s="99"/>
      <c r="G3" s="99"/>
      <c r="H3" s="99"/>
      <c r="I3" s="99"/>
    </row>
    <row r="4" spans="1:9" s="158" customFormat="1" ht="24.9" customHeight="1">
      <c r="A4" s="295" t="s">
        <v>1502</v>
      </c>
      <c r="B4" s="296" t="s">
        <v>837</v>
      </c>
      <c r="C4" s="297"/>
    </row>
    <row r="5" spans="1:9" s="96" customFormat="1" ht="20.100000000000001" customHeight="1">
      <c r="A5" s="180" t="s">
        <v>1503</v>
      </c>
      <c r="B5" s="181"/>
      <c r="C5" s="94"/>
    </row>
    <row r="6" spans="1:9" s="96" customFormat="1" ht="20.100000000000001" customHeight="1">
      <c r="A6" s="180" t="s">
        <v>1504</v>
      </c>
      <c r="B6" s="181"/>
      <c r="C6" s="94"/>
    </row>
    <row r="7" spans="1:9" s="96" customFormat="1" ht="20.100000000000001" customHeight="1">
      <c r="A7" s="180" t="s">
        <v>1505</v>
      </c>
      <c r="B7" s="181"/>
      <c r="C7" s="94"/>
      <c r="D7" s="155"/>
    </row>
    <row r="8" spans="1:9" s="96" customFormat="1" ht="20.100000000000001" customHeight="1">
      <c r="A8" s="180" t="s">
        <v>1506</v>
      </c>
      <c r="B8" s="181"/>
      <c r="C8" s="94"/>
    </row>
    <row r="9" spans="1:9" s="96" customFormat="1" ht="20.100000000000001" customHeight="1">
      <c r="A9" s="180"/>
      <c r="B9" s="181"/>
      <c r="C9" s="94"/>
    </row>
    <row r="10" spans="1:9" s="94" customFormat="1" ht="20.100000000000001" customHeight="1">
      <c r="A10" s="180" t="s">
        <v>882</v>
      </c>
      <c r="B10" s="181"/>
    </row>
    <row r="11" spans="1:9" s="94" customFormat="1" ht="20.100000000000001" customHeight="1">
      <c r="A11" s="112"/>
      <c r="B11" s="113"/>
    </row>
    <row r="12" spans="1:9" s="94" customFormat="1" ht="20.100000000000001" customHeight="1">
      <c r="A12" s="112"/>
      <c r="B12" s="113"/>
    </row>
    <row r="13" spans="1:9" s="94" customFormat="1" ht="20.100000000000001" customHeight="1"/>
    <row r="14" spans="1:9" s="94" customFormat="1" ht="20.100000000000001" customHeight="1">
      <c r="A14" s="180"/>
      <c r="B14" s="181"/>
      <c r="C14" s="181"/>
    </row>
    <row r="15" spans="1:9" s="96" customFormat="1" ht="20.100000000000001" customHeight="1">
      <c r="A15" s="298" t="s">
        <v>1507</v>
      </c>
      <c r="B15" s="298"/>
      <c r="C15" s="298"/>
      <c r="D15" s="21"/>
      <c r="E15" s="21"/>
      <c r="F15" s="21"/>
      <c r="G15" s="21"/>
      <c r="H15" s="21"/>
    </row>
    <row r="16" spans="1:9" s="96" customFormat="1" ht="20.100000000000001" customHeight="1">
      <c r="A16" s="299" t="s">
        <v>1508</v>
      </c>
      <c r="B16" s="299" t="s">
        <v>1509</v>
      </c>
      <c r="C16" s="299" t="s">
        <v>1510</v>
      </c>
      <c r="D16" s="21"/>
      <c r="E16" s="21"/>
      <c r="F16" s="21"/>
      <c r="G16" s="21"/>
      <c r="H16" s="21"/>
    </row>
    <row r="17" spans="1:3" s="21" customFormat="1" ht="20.100000000000001" customHeight="1">
      <c r="A17" s="300" t="s">
        <v>712</v>
      </c>
      <c r="B17" s="181"/>
      <c r="C17" s="181"/>
    </row>
    <row r="18" spans="1:3" s="21" customFormat="1" ht="20.100000000000001" customHeight="1">
      <c r="A18" s="181"/>
      <c r="B18" s="181"/>
      <c r="C18" s="181"/>
    </row>
    <row r="19" spans="1:3" s="21" customFormat="1" ht="20.100000000000001" customHeight="1">
      <c r="A19" s="181" t="s">
        <v>142</v>
      </c>
      <c r="B19" s="181"/>
      <c r="C19" s="181" t="s">
        <v>932</v>
      </c>
    </row>
    <row r="20" spans="1:3" s="21" customFormat="1" ht="20.100000000000001" customHeight="1">
      <c r="A20" s="298"/>
      <c r="B20" s="298"/>
      <c r="C20" s="298"/>
    </row>
    <row r="21" spans="1:3" ht="20.100000000000001" customHeight="1">
      <c r="A21" s="98"/>
    </row>
  </sheetData>
  <phoneticPr fontId="78" type="noConversion"/>
  <hyperlinks>
    <hyperlink ref="D1" location="目录!A1" display="BACK"/>
  </hyperlinks>
  <pageMargins left="0.74791666666666701" right="0.59027777777777801" top="0.98402777777777795" bottom="0.98402777777777795" header="0.51180555555555596" footer="0.51180555555555596"/>
  <pageSetup paperSize="9" scale="86" orientation="portrait" blackAndWhite="1"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dimension ref="A1:E22"/>
  <sheetViews>
    <sheetView view="pageBreakPreview" zoomScaleNormal="100" zoomScaleSheetLayoutView="100" workbookViewId="0">
      <selection activeCell="D1" sqref="D1"/>
    </sheetView>
  </sheetViews>
  <sheetFormatPr defaultColWidth="9" defaultRowHeight="20.100000000000001" customHeight="1"/>
  <cols>
    <col min="1" max="3" width="25.59765625" style="5" customWidth="1"/>
    <col min="4" max="4" width="21.8984375" style="5" customWidth="1"/>
    <col min="5" max="5" width="24.59765625" style="5" customWidth="1"/>
    <col min="6" max="16384" width="9" style="5"/>
  </cols>
  <sheetData>
    <row r="1" spans="1:5" s="68" customFormat="1" ht="24.9" customHeight="1">
      <c r="A1" s="6" t="s">
        <v>145</v>
      </c>
      <c r="B1" s="7">
        <f>基础信息!B6</f>
        <v>0</v>
      </c>
      <c r="C1" s="122"/>
      <c r="D1" s="900" t="s">
        <v>146</v>
      </c>
      <c r="E1" s="288"/>
    </row>
    <row r="2" spans="1:5" s="68" customFormat="1" ht="24.9" customHeight="1">
      <c r="A2" s="6" t="s">
        <v>147</v>
      </c>
      <c r="B2" s="7">
        <f>基础信息!B9</f>
        <v>0</v>
      </c>
      <c r="C2" s="122"/>
    </row>
    <row r="3" spans="1:5" s="68" customFormat="1" ht="24.9" customHeight="1">
      <c r="A3" s="68" t="s">
        <v>148</v>
      </c>
      <c r="B3" s="68" t="s">
        <v>1511</v>
      </c>
      <c r="C3" s="122"/>
    </row>
    <row r="4" spans="1:5" s="286" customFormat="1" ht="24.9" customHeight="1">
      <c r="A4" s="289" t="s">
        <v>1512</v>
      </c>
    </row>
    <row r="5" spans="1:5" s="287" customFormat="1" ht="24.9" customHeight="1">
      <c r="A5" s="290" t="s">
        <v>305</v>
      </c>
      <c r="B5" s="290" t="s">
        <v>820</v>
      </c>
      <c r="C5" s="286"/>
    </row>
    <row r="6" spans="1:5" s="183" customFormat="1" ht="20.100000000000001" customHeight="1">
      <c r="A6" s="291" t="s">
        <v>1513</v>
      </c>
      <c r="B6" s="189"/>
    </row>
    <row r="7" spans="1:5" s="183" customFormat="1" ht="20.100000000000001" customHeight="1">
      <c r="A7" s="291" t="s">
        <v>1514</v>
      </c>
      <c r="B7" s="189"/>
    </row>
    <row r="8" spans="1:5" s="183" customFormat="1" ht="20.100000000000001" customHeight="1">
      <c r="A8" s="291" t="s">
        <v>712</v>
      </c>
      <c r="B8" s="189"/>
    </row>
    <row r="9" spans="1:5" s="183" customFormat="1" ht="20.100000000000001" customHeight="1">
      <c r="A9" s="190"/>
      <c r="B9" s="189"/>
    </row>
    <row r="10" spans="1:5" s="183" customFormat="1" ht="20.100000000000001" customHeight="1">
      <c r="A10" s="190" t="s">
        <v>632</v>
      </c>
      <c r="B10" s="191">
        <f>SUM(B6:B9)</f>
        <v>0</v>
      </c>
    </row>
    <row r="11" spans="1:5" s="23" customFormat="1" ht="20.100000000000001" customHeight="1">
      <c r="A11" s="219"/>
      <c r="B11" s="220"/>
    </row>
    <row r="12" spans="1:5" s="23" customFormat="1" ht="20.100000000000001" customHeight="1">
      <c r="A12" s="270"/>
      <c r="B12" s="271"/>
    </row>
    <row r="13" spans="1:5" s="23" customFormat="1" ht="20.100000000000001" customHeight="1">
      <c r="A13" s="221"/>
      <c r="B13" s="221"/>
    </row>
    <row r="14" spans="1:5" s="183" customFormat="1" ht="20.100000000000001" customHeight="1">
      <c r="A14" s="292"/>
      <c r="B14" s="292"/>
      <c r="C14" s="292"/>
    </row>
    <row r="15" spans="1:5" s="183" customFormat="1" ht="20.100000000000001" customHeight="1">
      <c r="A15" s="292"/>
      <c r="B15" s="292"/>
      <c r="C15" s="292"/>
    </row>
    <row r="16" spans="1:5" s="183" customFormat="1" ht="20.100000000000001" customHeight="1">
      <c r="A16" s="293" t="s">
        <v>1515</v>
      </c>
    </row>
    <row r="17" spans="1:3" s="183" customFormat="1" ht="20.100000000000001" customHeight="1">
      <c r="A17" s="203" t="s">
        <v>137</v>
      </c>
      <c r="B17" s="203" t="s">
        <v>1516</v>
      </c>
      <c r="C17" s="203" t="s">
        <v>1422</v>
      </c>
    </row>
    <row r="18" spans="1:3" s="183" customFormat="1" ht="20.100000000000001" customHeight="1">
      <c r="A18" s="291"/>
      <c r="B18" s="294"/>
      <c r="C18" s="291"/>
    </row>
    <row r="19" spans="1:3" s="183" customFormat="1" ht="20.100000000000001" customHeight="1">
      <c r="A19" s="291"/>
      <c r="B19" s="294"/>
      <c r="C19" s="291"/>
    </row>
    <row r="20" spans="1:3" s="183" customFormat="1" ht="20.100000000000001" customHeight="1">
      <c r="A20" s="190" t="s">
        <v>703</v>
      </c>
      <c r="B20" s="191">
        <f>SUM(B18:B19)</f>
        <v>0</v>
      </c>
      <c r="C20" s="190"/>
    </row>
    <row r="21" spans="1:3" s="183" customFormat="1" ht="20.100000000000001" customHeight="1"/>
    <row r="22" spans="1:3" s="1" customFormat="1" ht="20.100000000000001" customHeight="1"/>
  </sheetData>
  <phoneticPr fontId="78" type="noConversion"/>
  <hyperlinks>
    <hyperlink ref="D1" location="目录!A1" display="BACK"/>
  </hyperlinks>
  <pageMargins left="0.43263888888888902" right="0.39305555555555599" top="0.98402777777777795" bottom="0.98402777777777795" header="0.51180555555555596" footer="0.51180555555555596"/>
  <pageSetup paperSize="9" orientation="portrait" blackAndWhite="1"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dimension ref="A1:I74"/>
  <sheetViews>
    <sheetView view="pageBreakPreview" zoomScale="90" zoomScaleNormal="100" zoomScaleSheetLayoutView="90" workbookViewId="0">
      <selection activeCell="B4" sqref="B4"/>
    </sheetView>
  </sheetViews>
  <sheetFormatPr defaultColWidth="9" defaultRowHeight="20.100000000000001" customHeight="1"/>
  <cols>
    <col min="1" max="1" width="24.3984375" style="5" customWidth="1"/>
    <col min="2" max="7" width="16.59765625" style="5" customWidth="1"/>
    <col min="8" max="8" width="11.19921875" style="5" customWidth="1"/>
    <col min="9" max="9" width="9" style="110"/>
    <col min="10" max="16384" width="9" style="5"/>
  </cols>
  <sheetData>
    <row r="1" spans="1:9" ht="24.9" customHeight="1">
      <c r="A1" s="6" t="s">
        <v>145</v>
      </c>
      <c r="B1" s="7">
        <f>基础信息!B6</f>
        <v>0</v>
      </c>
      <c r="C1" s="122"/>
      <c r="D1" s="16"/>
      <c r="E1" s="19"/>
      <c r="F1" s="16"/>
      <c r="G1" s="900" t="s">
        <v>146</v>
      </c>
      <c r="H1" s="16"/>
      <c r="I1" s="122"/>
    </row>
    <row r="2" spans="1:9" ht="24.9" customHeight="1">
      <c r="A2" s="6" t="s">
        <v>147</v>
      </c>
      <c r="B2" s="7">
        <f>基础信息!B9</f>
        <v>0</v>
      </c>
      <c r="C2" s="122"/>
      <c r="D2" s="16"/>
      <c r="E2" s="16"/>
      <c r="F2" s="16"/>
      <c r="G2" s="16"/>
      <c r="H2" s="16"/>
      <c r="I2" s="122"/>
    </row>
    <row r="3" spans="1:9" ht="24.9" customHeight="1">
      <c r="A3" s="68" t="s">
        <v>148</v>
      </c>
      <c r="B3" s="1096" t="s">
        <v>1517</v>
      </c>
      <c r="C3" s="1096"/>
      <c r="D3" s="16"/>
      <c r="E3" s="16"/>
      <c r="F3" s="16"/>
      <c r="G3" s="16"/>
      <c r="H3" s="16"/>
      <c r="I3" s="122"/>
    </row>
    <row r="4" spans="1:9" s="60" customFormat="1" ht="24.9" customHeight="1">
      <c r="A4" s="82" t="s">
        <v>729</v>
      </c>
      <c r="B4" s="82" t="s">
        <v>737</v>
      </c>
      <c r="C4" s="9"/>
      <c r="D4" s="9"/>
      <c r="E4" s="9"/>
      <c r="F4" s="9"/>
      <c r="G4" s="9"/>
      <c r="H4" s="9"/>
      <c r="I4" s="9"/>
    </row>
    <row r="5" spans="1:9" s="1" customFormat="1" ht="20.100000000000001" customHeight="1">
      <c r="A5" s="88" t="s">
        <v>1518</v>
      </c>
      <c r="B5" s="85"/>
    </row>
    <row r="6" spans="1:9" s="1" customFormat="1" ht="20.100000000000001" customHeight="1">
      <c r="A6" s="88" t="s">
        <v>1519</v>
      </c>
      <c r="B6" s="85"/>
    </row>
    <row r="7" spans="1:9" s="1" customFormat="1" ht="20.100000000000001" customHeight="1">
      <c r="A7" s="88" t="s">
        <v>1520</v>
      </c>
      <c r="B7" s="85"/>
    </row>
    <row r="8" spans="1:9" s="1" customFormat="1" ht="20.100000000000001" customHeight="1">
      <c r="A8" s="88" t="s">
        <v>1521</v>
      </c>
      <c r="B8" s="85"/>
    </row>
    <row r="9" spans="1:9" s="1" customFormat="1" ht="20.100000000000001" customHeight="1">
      <c r="A9" s="88" t="s">
        <v>1522</v>
      </c>
      <c r="B9" s="85"/>
    </row>
    <row r="10" spans="1:9" s="1" customFormat="1" ht="20.100000000000001" customHeight="1">
      <c r="A10" s="88" t="s">
        <v>632</v>
      </c>
      <c r="B10" s="280">
        <f>SUM(B5:B9)</f>
        <v>0</v>
      </c>
    </row>
    <row r="11" spans="1:9" s="1" customFormat="1" ht="20.100000000000001" customHeight="1">
      <c r="A11" s="219" t="s">
        <v>623</v>
      </c>
      <c r="B11" s="220"/>
    </row>
    <row r="12" spans="1:9" s="1" customFormat="1" ht="20.100000000000001" customHeight="1">
      <c r="A12" s="270"/>
      <c r="B12" s="271">
        <f>B10-B11</f>
        <v>0</v>
      </c>
    </row>
    <row r="13" spans="1:9" s="1" customFormat="1" ht="20.100000000000001" customHeight="1">
      <c r="A13" s="221"/>
      <c r="B13" s="221" t="str">
        <f>IF(B12=0,"OK","NO")</f>
        <v>OK</v>
      </c>
    </row>
    <row r="14" spans="1:9" s="1" customFormat="1" ht="20.100000000000001" customHeight="1">
      <c r="A14" s="281" t="s">
        <v>1523</v>
      </c>
      <c r="B14" s="281"/>
      <c r="C14" s="281"/>
    </row>
    <row r="15" spans="1:9" s="1" customFormat="1" ht="20.100000000000001" customHeight="1">
      <c r="A15" s="82" t="s">
        <v>729</v>
      </c>
      <c r="B15" s="81" t="s">
        <v>773</v>
      </c>
    </row>
    <row r="16" spans="1:9" s="1" customFormat="1" ht="20.100000000000001" customHeight="1">
      <c r="A16" s="282" t="s">
        <v>1524</v>
      </c>
      <c r="B16" s="85"/>
    </row>
    <row r="17" spans="1:5" s="1" customFormat="1" ht="20.100000000000001" customHeight="1">
      <c r="A17" s="88" t="s">
        <v>1389</v>
      </c>
      <c r="B17" s="86"/>
    </row>
    <row r="18" spans="1:5" s="1" customFormat="1" ht="20.100000000000001" customHeight="1">
      <c r="A18" s="88" t="s">
        <v>1391</v>
      </c>
      <c r="B18" s="85"/>
    </row>
    <row r="19" spans="1:5" s="1" customFormat="1" ht="20.100000000000001" customHeight="1">
      <c r="A19" s="282" t="s">
        <v>1525</v>
      </c>
      <c r="B19" s="86"/>
    </row>
    <row r="20" spans="1:5" s="1" customFormat="1" ht="20.100000000000001" customHeight="1">
      <c r="A20" s="282" t="s">
        <v>882</v>
      </c>
      <c r="B20" s="280">
        <f>SUM(B16:B19)</f>
        <v>0</v>
      </c>
    </row>
    <row r="21" spans="1:5" s="1" customFormat="1" ht="20.100000000000001" customHeight="1">
      <c r="A21" s="219" t="s">
        <v>623</v>
      </c>
      <c r="B21" s="220"/>
    </row>
    <row r="22" spans="1:5" s="1" customFormat="1" ht="20.100000000000001" customHeight="1">
      <c r="A22" s="219"/>
      <c r="B22" s="220">
        <f>B20-B21</f>
        <v>0</v>
      </c>
    </row>
    <row r="23" spans="1:5" s="1" customFormat="1" ht="20.100000000000001" customHeight="1">
      <c r="A23" s="221"/>
      <c r="B23" s="221" t="str">
        <f>IF(B22=0,"OK","NO")</f>
        <v>OK</v>
      </c>
    </row>
    <row r="24" spans="1:5" s="1" customFormat="1" ht="20.100000000000001" customHeight="1">
      <c r="A24" s="1091" t="s">
        <v>1526</v>
      </c>
      <c r="B24" s="1091"/>
      <c r="C24" s="1091"/>
    </row>
    <row r="25" spans="1:5" s="1" customFormat="1" ht="20.100000000000001" customHeight="1">
      <c r="A25" s="283"/>
    </row>
    <row r="26" spans="1:5" s="1" customFormat="1" ht="20.100000000000001" customHeight="1">
      <c r="A26" s="283" t="s">
        <v>1527</v>
      </c>
    </row>
    <row r="27" spans="1:5" s="1" customFormat="1" ht="20.100000000000001" customHeight="1">
      <c r="A27" s="82" t="s">
        <v>1528</v>
      </c>
      <c r="B27" s="82" t="s">
        <v>1529</v>
      </c>
      <c r="C27" s="82" t="s">
        <v>1530</v>
      </c>
      <c r="D27" s="82" t="s">
        <v>1531</v>
      </c>
      <c r="E27" s="82" t="s">
        <v>1532</v>
      </c>
    </row>
    <row r="28" spans="1:5" s="1" customFormat="1" ht="20.100000000000001" customHeight="1">
      <c r="A28" s="88"/>
      <c r="B28" s="85"/>
      <c r="C28" s="85"/>
      <c r="D28" s="85"/>
      <c r="E28" s="85"/>
    </row>
    <row r="29" spans="1:5" s="1" customFormat="1" ht="20.100000000000001" customHeight="1">
      <c r="A29" s="88"/>
      <c r="B29" s="85"/>
      <c r="C29" s="85"/>
      <c r="D29" s="85"/>
      <c r="E29" s="85"/>
    </row>
    <row r="30" spans="1:5" s="1" customFormat="1" ht="20.100000000000001" customHeight="1">
      <c r="A30" s="88" t="s">
        <v>1334</v>
      </c>
      <c r="B30" s="280">
        <f>SUM(B28:B29)</f>
        <v>0</v>
      </c>
      <c r="C30" s="85"/>
      <c r="D30" s="85"/>
      <c r="E30" s="280">
        <f>SUM(E28:E29)</f>
        <v>0</v>
      </c>
    </row>
    <row r="31" spans="1:5" s="1" customFormat="1" ht="20.100000000000001" customHeight="1">
      <c r="A31" s="219" t="s">
        <v>623</v>
      </c>
      <c r="B31" s="284"/>
      <c r="C31" s="284"/>
      <c r="D31" s="284"/>
      <c r="E31" s="220"/>
    </row>
    <row r="32" spans="1:5" s="1" customFormat="1" ht="20.100000000000001" customHeight="1">
      <c r="A32" s="219"/>
      <c r="B32" s="284"/>
      <c r="C32" s="284"/>
      <c r="D32" s="284"/>
      <c r="E32" s="220">
        <f>E30-E31</f>
        <v>0</v>
      </c>
    </row>
    <row r="33" spans="1:7" s="1" customFormat="1" ht="20.100000000000001" customHeight="1">
      <c r="A33" s="221"/>
      <c r="E33" s="221" t="str">
        <f>IF(E32=0,"OK","NO")</f>
        <v>OK</v>
      </c>
    </row>
    <row r="34" spans="1:7" s="1" customFormat="1" ht="20.100000000000001" customHeight="1">
      <c r="A34" s="273" t="s">
        <v>1533</v>
      </c>
    </row>
    <row r="35" spans="1:7" s="1" customFormat="1" ht="20.100000000000001" customHeight="1">
      <c r="A35" s="82" t="s">
        <v>1528</v>
      </c>
      <c r="B35" s="82" t="s">
        <v>1011</v>
      </c>
      <c r="C35" s="82" t="s">
        <v>1534</v>
      </c>
      <c r="D35" s="82" t="s">
        <v>1535</v>
      </c>
      <c r="E35" s="82" t="s">
        <v>1536</v>
      </c>
      <c r="F35" s="82" t="s">
        <v>1537</v>
      </c>
      <c r="G35" s="82" t="s">
        <v>810</v>
      </c>
    </row>
    <row r="36" spans="1:7" s="1" customFormat="1" ht="20.100000000000001" customHeight="1">
      <c r="A36" s="88"/>
      <c r="B36" s="85"/>
      <c r="C36" s="85"/>
      <c r="D36" s="85"/>
      <c r="E36" s="85"/>
      <c r="F36" s="85"/>
      <c r="G36" s="85"/>
    </row>
    <row r="37" spans="1:7" s="1" customFormat="1" ht="20.100000000000001" customHeight="1">
      <c r="A37" s="88"/>
      <c r="B37" s="85"/>
      <c r="C37" s="85"/>
      <c r="D37" s="85"/>
      <c r="E37" s="85"/>
      <c r="F37" s="85"/>
      <c r="G37" s="85" t="s">
        <v>1538</v>
      </c>
    </row>
    <row r="38" spans="1:7" s="1" customFormat="1" ht="20.100000000000001" customHeight="1">
      <c r="A38" s="282" t="s">
        <v>882</v>
      </c>
      <c r="B38" s="280">
        <f>SUM(B36:B37)</f>
        <v>0</v>
      </c>
      <c r="C38" s="280">
        <f t="shared" ref="C38:G38" si="0">SUM(C36:C37)</f>
        <v>0</v>
      </c>
      <c r="D38" s="280">
        <f t="shared" si="0"/>
        <v>0</v>
      </c>
      <c r="E38" s="280">
        <f t="shared" si="0"/>
        <v>0</v>
      </c>
      <c r="F38" s="280">
        <f t="shared" si="0"/>
        <v>0</v>
      </c>
      <c r="G38" s="280">
        <f t="shared" si="0"/>
        <v>0</v>
      </c>
    </row>
    <row r="39" spans="1:7" s="1" customFormat="1" ht="20.100000000000001" customHeight="1">
      <c r="A39" s="201" t="s">
        <v>651</v>
      </c>
    </row>
    <row r="40" spans="1:7" s="1" customFormat="1" ht="20.100000000000001" customHeight="1">
      <c r="A40" s="273" t="s">
        <v>1539</v>
      </c>
    </row>
    <row r="41" spans="1:7" s="1" customFormat="1" ht="20.100000000000001" customHeight="1">
      <c r="A41" s="82" t="s">
        <v>729</v>
      </c>
      <c r="B41" s="81" t="s">
        <v>773</v>
      </c>
    </row>
    <row r="42" spans="1:7" s="1" customFormat="1" ht="20.100000000000001" customHeight="1">
      <c r="A42" s="88" t="s">
        <v>1540</v>
      </c>
      <c r="B42" s="85"/>
    </row>
    <row r="43" spans="1:7" s="1" customFormat="1" ht="20.100000000000001" customHeight="1">
      <c r="A43" s="88"/>
      <c r="B43" s="85"/>
    </row>
    <row r="44" spans="1:7" s="1" customFormat="1" ht="20.100000000000001" customHeight="1">
      <c r="A44" s="88"/>
      <c r="B44" s="85"/>
    </row>
    <row r="45" spans="1:7" s="1" customFormat="1" ht="20.100000000000001" customHeight="1">
      <c r="A45" s="88" t="s">
        <v>632</v>
      </c>
      <c r="B45" s="280">
        <f>SUM(B42:B44)</f>
        <v>0</v>
      </c>
    </row>
    <row r="46" spans="1:7" s="1" customFormat="1" ht="20.100000000000001" customHeight="1">
      <c r="A46" s="219" t="s">
        <v>623</v>
      </c>
      <c r="B46" s="220"/>
    </row>
    <row r="47" spans="1:7" s="1" customFormat="1" ht="20.100000000000001" customHeight="1">
      <c r="A47" s="270"/>
      <c r="B47" s="271">
        <f>B45-B46</f>
        <v>0</v>
      </c>
    </row>
    <row r="48" spans="1:7" s="1" customFormat="1" ht="20.100000000000001" customHeight="1">
      <c r="A48" s="221"/>
      <c r="B48" s="221" t="str">
        <f>IF(B47=0,"OK","NO")</f>
        <v>OK</v>
      </c>
    </row>
    <row r="49" spans="1:1" s="1" customFormat="1" ht="20.100000000000001" customHeight="1">
      <c r="A49" s="283"/>
    </row>
    <row r="50" spans="1:1" s="1" customFormat="1" ht="20.100000000000001" customHeight="1">
      <c r="A50" s="283"/>
    </row>
    <row r="51" spans="1:1" s="1" customFormat="1" ht="20.100000000000001" customHeight="1">
      <c r="A51" s="283"/>
    </row>
    <row r="52" spans="1:1" s="1" customFormat="1" ht="20.100000000000001" customHeight="1">
      <c r="A52" s="283"/>
    </row>
    <row r="53" spans="1:1" s="1" customFormat="1" ht="20.100000000000001" customHeight="1">
      <c r="A53" s="283"/>
    </row>
    <row r="54" spans="1:1" s="1" customFormat="1" ht="20.100000000000001" customHeight="1">
      <c r="A54" s="283"/>
    </row>
    <row r="55" spans="1:1" s="1" customFormat="1" ht="20.100000000000001" customHeight="1">
      <c r="A55" s="283"/>
    </row>
    <row r="56" spans="1:1" s="1" customFormat="1" ht="20.100000000000001" customHeight="1">
      <c r="A56" s="283"/>
    </row>
    <row r="57" spans="1:1" s="1" customFormat="1" ht="20.100000000000001" customHeight="1">
      <c r="A57" s="283"/>
    </row>
    <row r="58" spans="1:1" s="1" customFormat="1" ht="20.100000000000001" customHeight="1">
      <c r="A58" s="283"/>
    </row>
    <row r="59" spans="1:1" s="1" customFormat="1" ht="20.100000000000001" customHeight="1">
      <c r="A59" s="283"/>
    </row>
    <row r="60" spans="1:1" s="1" customFormat="1" ht="20.100000000000001" customHeight="1">
      <c r="A60" s="283"/>
    </row>
    <row r="61" spans="1:1" s="1" customFormat="1" ht="20.100000000000001" customHeight="1">
      <c r="A61" s="283"/>
    </row>
    <row r="62" spans="1:1" s="1" customFormat="1" ht="20.100000000000001" customHeight="1">
      <c r="A62" s="283"/>
    </row>
    <row r="63" spans="1:1" s="1" customFormat="1" ht="20.100000000000001" customHeight="1">
      <c r="A63" s="283"/>
    </row>
    <row r="64" spans="1:1" s="1" customFormat="1" ht="20.100000000000001" customHeight="1">
      <c r="A64" s="283"/>
    </row>
    <row r="65" spans="1:9" s="1" customFormat="1" ht="20.100000000000001" customHeight="1">
      <c r="A65" s="283"/>
    </row>
    <row r="66" spans="1:9" s="1" customFormat="1" ht="20.100000000000001" customHeight="1">
      <c r="A66" s="283"/>
    </row>
    <row r="67" spans="1:9" s="110" customFormat="1" ht="20.100000000000001" customHeight="1">
      <c r="A67" s="285"/>
    </row>
    <row r="68" spans="1:9" s="110" customFormat="1" ht="20.100000000000001" customHeight="1">
      <c r="A68" s="285"/>
    </row>
    <row r="69" spans="1:9" s="110" customFormat="1" ht="20.100000000000001" customHeight="1">
      <c r="A69" s="285"/>
    </row>
    <row r="70" spans="1:9" s="110" customFormat="1" ht="20.100000000000001" customHeight="1">
      <c r="A70" s="285"/>
    </row>
    <row r="71" spans="1:9" ht="20.100000000000001" customHeight="1">
      <c r="H71" s="110"/>
      <c r="I71" s="5"/>
    </row>
    <row r="72" spans="1:9" ht="20.100000000000001" customHeight="1">
      <c r="H72" s="110"/>
      <c r="I72" s="5"/>
    </row>
    <row r="73" spans="1:9" ht="20.100000000000001" customHeight="1">
      <c r="H73" s="110"/>
      <c r="I73" s="5"/>
    </row>
    <row r="74" spans="1:9" ht="20.100000000000001" customHeight="1">
      <c r="H74" s="110"/>
      <c r="I74" s="5"/>
    </row>
  </sheetData>
  <mergeCells count="2">
    <mergeCell ref="B3:C3"/>
    <mergeCell ref="A24:C24"/>
  </mergeCells>
  <phoneticPr fontId="78" type="noConversion"/>
  <hyperlinks>
    <hyperlink ref="G1" location="目录!A1" display="BACK"/>
  </hyperlinks>
  <pageMargins left="0.47152777777777799" right="0.27500000000000002" top="0.51180555555555596" bottom="0.51180555555555596" header="0.27500000000000002" footer="0.27500000000000002"/>
  <pageSetup paperSize="9" scale="84" orientation="landscape" blackAndWhite="1" r:id="rId1"/>
  <headerFooter alignWithMargins="0"/>
  <rowBreaks count="1" manualBreakCount="1">
    <brk id="25" max="16383" man="1"/>
  </row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dimension ref="A1:I40"/>
  <sheetViews>
    <sheetView view="pageBreakPreview" zoomScaleNormal="100" zoomScaleSheetLayoutView="100" workbookViewId="0">
      <selection activeCell="B9" sqref="B9"/>
    </sheetView>
  </sheetViews>
  <sheetFormatPr defaultColWidth="9" defaultRowHeight="20.100000000000001" customHeight="1"/>
  <cols>
    <col min="1" max="1" width="24.3984375" style="5" customWidth="1"/>
    <col min="2" max="2" width="25" style="5" customWidth="1"/>
    <col min="3" max="7" width="16.59765625" style="5" customWidth="1"/>
    <col min="8" max="8" width="11.19921875" style="5" customWidth="1"/>
    <col min="9" max="9" width="9" style="110"/>
    <col min="10" max="16384" width="9" style="5"/>
  </cols>
  <sheetData>
    <row r="1" spans="1:9" ht="24.9" customHeight="1">
      <c r="A1" s="6" t="s">
        <v>145</v>
      </c>
      <c r="B1" s="7">
        <f>基础信息!B6</f>
        <v>0</v>
      </c>
      <c r="C1" s="122"/>
      <c r="D1" s="16"/>
      <c r="E1" s="19"/>
      <c r="F1" s="900" t="s">
        <v>146</v>
      </c>
      <c r="G1" s="16"/>
    </row>
    <row r="2" spans="1:9" ht="24.9" customHeight="1">
      <c r="A2" s="6" t="s">
        <v>147</v>
      </c>
      <c r="B2" s="7">
        <f>基础信息!B9</f>
        <v>0</v>
      </c>
      <c r="C2" s="122"/>
      <c r="D2" s="16"/>
      <c r="E2" s="16"/>
      <c r="F2" s="16"/>
      <c r="G2" s="16"/>
    </row>
    <row r="3" spans="1:9" ht="24.9" customHeight="1">
      <c r="A3" s="68" t="s">
        <v>148</v>
      </c>
      <c r="B3" s="68" t="s">
        <v>1541</v>
      </c>
      <c r="C3" s="122"/>
      <c r="D3" s="16"/>
      <c r="E3" s="16"/>
      <c r="F3" s="16"/>
      <c r="G3" s="16"/>
    </row>
    <row r="4" spans="1:9" s="60" customFormat="1" ht="24.9" customHeight="1">
      <c r="A4" s="10" t="s">
        <v>729</v>
      </c>
      <c r="B4" s="225" t="s">
        <v>773</v>
      </c>
      <c r="C4" s="9"/>
      <c r="D4" s="9"/>
      <c r="E4" s="9"/>
      <c r="F4" s="9"/>
      <c r="G4" s="9"/>
    </row>
    <row r="5" spans="1:9" s="1" customFormat="1" ht="20.100000000000001" customHeight="1">
      <c r="A5" s="26" t="s">
        <v>1542</v>
      </c>
      <c r="B5" s="26"/>
    </row>
    <row r="6" spans="1:9" s="1" customFormat="1" ht="20.100000000000001" customHeight="1">
      <c r="A6" s="278" t="s">
        <v>1543</v>
      </c>
      <c r="B6" s="26"/>
    </row>
    <row r="7" spans="1:9" s="1" customFormat="1" ht="20.100000000000001" customHeight="1">
      <c r="A7" s="983" t="s">
        <v>2125</v>
      </c>
      <c r="B7" s="970"/>
    </row>
    <row r="8" spans="1:9" s="1" customFormat="1" ht="20.100000000000001" customHeight="1">
      <c r="A8" s="26" t="s">
        <v>632</v>
      </c>
      <c r="B8" s="14">
        <f>SUM(B5:B6)</f>
        <v>0</v>
      </c>
    </row>
    <row r="9" spans="1:9" s="3" customFormat="1" ht="20.100000000000001" customHeight="1">
      <c r="A9" s="112" t="s">
        <v>623</v>
      </c>
      <c r="B9" s="113"/>
      <c r="C9" s="1"/>
      <c r="D9" s="1"/>
      <c r="H9" s="1"/>
    </row>
    <row r="10" spans="1:9" s="3" customFormat="1" ht="20.100000000000001" customHeight="1">
      <c r="A10" s="109"/>
      <c r="B10" s="115">
        <f>B8-B9</f>
        <v>0</v>
      </c>
      <c r="H10" s="1"/>
    </row>
    <row r="11" spans="1:9" s="3" customFormat="1" ht="20.100000000000001" customHeight="1">
      <c r="A11" s="23"/>
      <c r="B11" s="23" t="str">
        <f>IF(B10=0,"OK","NO")</f>
        <v>OK</v>
      </c>
      <c r="H11" s="1"/>
    </row>
    <row r="12" spans="1:9" s="3" customFormat="1" ht="20.100000000000001" customHeight="1">
      <c r="H12" s="1"/>
    </row>
    <row r="13" spans="1:9" s="3" customFormat="1" ht="20.100000000000001" customHeight="1">
      <c r="A13" s="224" t="s">
        <v>994</v>
      </c>
      <c r="I13" s="1"/>
    </row>
    <row r="14" spans="1:9" s="3" customFormat="1" ht="20.100000000000001" customHeight="1">
      <c r="A14" s="222" t="s">
        <v>1544</v>
      </c>
      <c r="I14" s="1"/>
    </row>
    <row r="15" spans="1:9" s="3" customFormat="1" ht="20.100000000000001" customHeight="1">
      <c r="A15" s="222" t="s">
        <v>1545</v>
      </c>
      <c r="I15" s="1"/>
    </row>
    <row r="16" spans="1:9" s="3" customFormat="1" ht="20.100000000000001" customHeight="1">
      <c r="A16" s="222" t="s">
        <v>1546</v>
      </c>
      <c r="I16" s="1"/>
    </row>
    <row r="17" spans="1:9" s="3" customFormat="1" ht="20.100000000000001" customHeight="1">
      <c r="A17" s="222" t="s">
        <v>1547</v>
      </c>
      <c r="I17" s="1"/>
    </row>
    <row r="18" spans="1:9" s="3" customFormat="1" ht="20.100000000000001" customHeight="1">
      <c r="A18" s="222" t="s">
        <v>1548</v>
      </c>
      <c r="I18" s="1"/>
    </row>
    <row r="19" spans="1:9" s="3" customFormat="1" ht="20.100000000000001" customHeight="1">
      <c r="A19" s="984" t="s">
        <v>2126</v>
      </c>
      <c r="I19" s="1"/>
    </row>
    <row r="20" spans="1:9" s="3" customFormat="1" ht="20.100000000000001" customHeight="1">
      <c r="A20" s="3" t="s">
        <v>1549</v>
      </c>
      <c r="I20" s="1"/>
    </row>
    <row r="21" spans="1:9" s="3" customFormat="1" ht="20.100000000000001" customHeight="1">
      <c r="A21" s="10" t="s">
        <v>1528</v>
      </c>
      <c r="B21" s="10" t="s">
        <v>1529</v>
      </c>
      <c r="C21" s="10" t="s">
        <v>1530</v>
      </c>
      <c r="D21" s="10" t="s">
        <v>1531</v>
      </c>
      <c r="E21" s="10" t="s">
        <v>1532</v>
      </c>
      <c r="I21" s="1"/>
    </row>
    <row r="22" spans="1:9" s="3" customFormat="1" ht="20.100000000000001" customHeight="1">
      <c r="A22" s="26"/>
      <c r="B22" s="12"/>
      <c r="C22" s="12"/>
      <c r="D22" s="12"/>
      <c r="E22" s="12"/>
      <c r="I22" s="1"/>
    </row>
    <row r="23" spans="1:9" s="3" customFormat="1" ht="20.100000000000001" customHeight="1">
      <c r="A23" s="26"/>
      <c r="B23" s="12"/>
      <c r="C23" s="12"/>
      <c r="D23" s="12"/>
      <c r="E23" s="12"/>
      <c r="I23" s="1"/>
    </row>
    <row r="24" spans="1:9" s="3" customFormat="1" ht="20.100000000000001" customHeight="1">
      <c r="A24" s="26" t="s">
        <v>1334</v>
      </c>
      <c r="B24" s="279">
        <f>SUM(B22:B23)</f>
        <v>0</v>
      </c>
      <c r="C24" s="12"/>
      <c r="D24" s="12"/>
      <c r="E24" s="279">
        <f>SUM(E22:E23)</f>
        <v>0</v>
      </c>
      <c r="I24" s="1"/>
    </row>
    <row r="25" spans="1:9" s="3" customFormat="1" ht="20.100000000000001" customHeight="1">
      <c r="A25" s="3" t="s">
        <v>1550</v>
      </c>
      <c r="I25" s="1"/>
    </row>
    <row r="26" spans="1:9" s="3" customFormat="1" ht="20.100000000000001" customHeight="1">
      <c r="A26" s="10" t="s">
        <v>1528</v>
      </c>
      <c r="B26" s="10" t="s">
        <v>1011</v>
      </c>
      <c r="C26" s="10" t="s">
        <v>1534</v>
      </c>
      <c r="D26" s="10" t="s">
        <v>1535</v>
      </c>
      <c r="E26" s="10" t="s">
        <v>1536</v>
      </c>
      <c r="F26" s="10" t="s">
        <v>1537</v>
      </c>
      <c r="G26" s="10" t="s">
        <v>810</v>
      </c>
      <c r="I26" s="1"/>
    </row>
    <row r="27" spans="1:9" s="3" customFormat="1" ht="20.100000000000001" customHeight="1">
      <c r="A27" s="26"/>
      <c r="B27" s="26"/>
      <c r="C27" s="26"/>
      <c r="D27" s="26"/>
      <c r="E27" s="26"/>
      <c r="F27" s="26"/>
      <c r="G27" s="26"/>
      <c r="I27" s="1"/>
    </row>
    <row r="28" spans="1:9" s="3" customFormat="1" ht="20.100000000000001" customHeight="1">
      <c r="A28" s="26"/>
      <c r="B28" s="26"/>
      <c r="C28" s="26"/>
      <c r="D28" s="26"/>
      <c r="E28" s="26"/>
      <c r="F28" s="26"/>
      <c r="G28" s="26" t="s">
        <v>1538</v>
      </c>
      <c r="I28" s="1"/>
    </row>
    <row r="29" spans="1:9" s="3" customFormat="1" ht="20.100000000000001" customHeight="1">
      <c r="A29" s="227" t="s">
        <v>882</v>
      </c>
      <c r="B29" s="279">
        <f>SUM(B27:B28)</f>
        <v>0</v>
      </c>
      <c r="C29" s="279">
        <f>SUM(C27:C28)</f>
        <v>0</v>
      </c>
      <c r="D29" s="279">
        <f t="shared" ref="D29:G29" si="0">SUM(D27:D28)</f>
        <v>0</v>
      </c>
      <c r="E29" s="279">
        <f t="shared" si="0"/>
        <v>0</v>
      </c>
      <c r="F29" s="279">
        <f t="shared" si="0"/>
        <v>0</v>
      </c>
      <c r="G29" s="279">
        <f t="shared" si="0"/>
        <v>0</v>
      </c>
      <c r="I29" s="1"/>
    </row>
    <row r="30" spans="1:9" s="3" customFormat="1" ht="20.100000000000001" customHeight="1">
      <c r="A30" s="3" t="s">
        <v>651</v>
      </c>
      <c r="I30" s="1"/>
    </row>
    <row r="31" spans="1:9" s="3" customFormat="1" ht="20.100000000000001" customHeight="1">
      <c r="A31" s="272" t="s">
        <v>1551</v>
      </c>
      <c r="I31" s="1"/>
    </row>
    <row r="32" spans="1:9" s="3" customFormat="1" ht="20.100000000000001" customHeight="1">
      <c r="A32" s="1059" t="s">
        <v>1552</v>
      </c>
      <c r="B32" s="1059" t="s">
        <v>1011</v>
      </c>
      <c r="C32" s="1059" t="s">
        <v>1553</v>
      </c>
      <c r="D32" s="1059" t="s">
        <v>1554</v>
      </c>
      <c r="E32" s="10" t="s">
        <v>1021</v>
      </c>
      <c r="F32" s="10" t="s">
        <v>683</v>
      </c>
      <c r="G32" s="1059" t="s">
        <v>1555</v>
      </c>
      <c r="I32" s="1"/>
    </row>
    <row r="33" spans="1:9" s="3" customFormat="1" ht="20.100000000000001" customHeight="1">
      <c r="A33" s="1059"/>
      <c r="B33" s="1059"/>
      <c r="C33" s="1059"/>
      <c r="D33" s="1059"/>
      <c r="E33" s="10" t="s">
        <v>1556</v>
      </c>
      <c r="F33" s="10" t="s">
        <v>1557</v>
      </c>
      <c r="G33" s="1059"/>
      <c r="I33" s="1"/>
    </row>
    <row r="34" spans="1:9" s="3" customFormat="1" ht="20.100000000000001" customHeight="1">
      <c r="A34" s="26"/>
      <c r="B34" s="12"/>
      <c r="C34" s="12"/>
      <c r="D34" s="12"/>
      <c r="E34" s="12"/>
      <c r="F34" s="12"/>
      <c r="G34" s="12"/>
      <c r="I34" s="1"/>
    </row>
    <row r="35" spans="1:9" s="3" customFormat="1" ht="20.100000000000001" customHeight="1">
      <c r="A35" s="26"/>
      <c r="B35" s="12"/>
      <c r="C35" s="12"/>
      <c r="D35" s="12"/>
      <c r="E35" s="12"/>
      <c r="F35" s="12"/>
      <c r="G35" s="12"/>
      <c r="I35" s="1"/>
    </row>
    <row r="36" spans="1:9" s="3" customFormat="1" ht="20.100000000000001" customHeight="1">
      <c r="A36" s="26"/>
      <c r="B36" s="12"/>
      <c r="C36" s="12"/>
      <c r="D36" s="12"/>
      <c r="E36" s="12"/>
      <c r="F36" s="12"/>
      <c r="G36" s="12"/>
      <c r="I36" s="1"/>
    </row>
    <row r="37" spans="1:9" s="3" customFormat="1" ht="20.100000000000001" customHeight="1">
      <c r="A37" s="26" t="s">
        <v>142</v>
      </c>
      <c r="B37" s="14">
        <f>SUM(B34:B36)</f>
        <v>0</v>
      </c>
      <c r="C37" s="14">
        <f t="shared" ref="C37:F37" si="1">SUM(C34:C36)</f>
        <v>0</v>
      </c>
      <c r="D37" s="14">
        <f t="shared" si="1"/>
        <v>0</v>
      </c>
      <c r="E37" s="14">
        <f t="shared" si="1"/>
        <v>0</v>
      </c>
      <c r="F37" s="14">
        <f t="shared" si="1"/>
        <v>0</v>
      </c>
      <c r="G37" s="12"/>
      <c r="I37" s="1"/>
    </row>
    <row r="38" spans="1:9" s="3" customFormat="1" ht="20.100000000000001" customHeight="1">
      <c r="A38" s="3" t="s">
        <v>651</v>
      </c>
      <c r="I38" s="1"/>
    </row>
    <row r="39" spans="1:9" s="3" customFormat="1" ht="20.100000000000001" customHeight="1">
      <c r="A39" s="222" t="s">
        <v>1558</v>
      </c>
      <c r="I39" s="1"/>
    </row>
    <row r="40" spans="1:9" s="3" customFormat="1" ht="20.100000000000001" customHeight="1">
      <c r="A40" s="222" t="s">
        <v>1559</v>
      </c>
      <c r="I40" s="1"/>
    </row>
  </sheetData>
  <mergeCells count="5">
    <mergeCell ref="A32:A33"/>
    <mergeCell ref="B32:B33"/>
    <mergeCell ref="C32:C33"/>
    <mergeCell ref="D32:D33"/>
    <mergeCell ref="G32:G33"/>
  </mergeCells>
  <phoneticPr fontId="78" type="noConversion"/>
  <hyperlinks>
    <hyperlink ref="F1" location="目录!A1" display="BACK"/>
  </hyperlinks>
  <pageMargins left="0.70763888888888904" right="0.70763888888888904" top="0.74791666666666701" bottom="0.74791666666666701" header="0.31388888888888899" footer="0.31388888888888899"/>
  <pageSetup paperSize="9" scale="92" orientation="landscape" blackAndWhite="1" horizontalDpi="1200" verticalDpi="120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dimension ref="A1:I59"/>
  <sheetViews>
    <sheetView view="pageBreakPreview" zoomScaleNormal="100" zoomScaleSheetLayoutView="100" workbookViewId="0">
      <selection activeCell="B8" sqref="B8"/>
    </sheetView>
  </sheetViews>
  <sheetFormatPr defaultColWidth="9" defaultRowHeight="20.100000000000001" customHeight="1"/>
  <cols>
    <col min="1" max="1" width="19.8984375" style="5" customWidth="1"/>
    <col min="2" max="2" width="16.5" style="5" customWidth="1"/>
    <col min="3" max="3" width="20" style="5" customWidth="1"/>
    <col min="4" max="4" width="22.09765625" style="5" customWidth="1"/>
    <col min="5" max="5" width="19.69921875" style="5" customWidth="1"/>
    <col min="6" max="6" width="19" style="5" customWidth="1"/>
    <col min="7" max="7" width="17.5" style="5" customWidth="1"/>
    <col min="8" max="9" width="9" style="110"/>
    <col min="10" max="16384" width="9" style="5"/>
  </cols>
  <sheetData>
    <row r="1" spans="1:9" s="16" customFormat="1" ht="24.9" customHeight="1">
      <c r="A1" s="6" t="s">
        <v>145</v>
      </c>
      <c r="B1" s="7">
        <f>基础信息!B6</f>
        <v>0</v>
      </c>
      <c r="D1" s="900" t="s">
        <v>146</v>
      </c>
      <c r="E1" s="19"/>
      <c r="H1" s="122"/>
      <c r="I1" s="122"/>
    </row>
    <row r="2" spans="1:9" s="16" customFormat="1" ht="24.9" customHeight="1">
      <c r="A2" s="6" t="s">
        <v>147</v>
      </c>
      <c r="B2" s="7">
        <f>基础信息!B9</f>
        <v>0</v>
      </c>
      <c r="H2" s="122"/>
      <c r="I2" s="122"/>
    </row>
    <row r="3" spans="1:9" s="16" customFormat="1" ht="24.9" customHeight="1">
      <c r="A3" s="68" t="s">
        <v>148</v>
      </c>
      <c r="B3" s="68" t="s">
        <v>1560</v>
      </c>
      <c r="H3" s="122"/>
      <c r="I3" s="122"/>
    </row>
    <row r="4" spans="1:9" s="252" customFormat="1" ht="24.9" customHeight="1">
      <c r="A4" s="252" t="s">
        <v>1561</v>
      </c>
    </row>
    <row r="5" spans="1:9" s="274" customFormat="1" ht="24.9" customHeight="1">
      <c r="A5" s="257" t="s">
        <v>729</v>
      </c>
      <c r="B5" s="258" t="s">
        <v>773</v>
      </c>
      <c r="C5" s="258" t="s">
        <v>1562</v>
      </c>
      <c r="D5" s="258" t="s">
        <v>1294</v>
      </c>
      <c r="E5" s="257" t="s">
        <v>1563</v>
      </c>
    </row>
    <row r="6" spans="1:9" s="254" customFormat="1" ht="20.100000000000001" customHeight="1">
      <c r="A6" s="180" t="s">
        <v>1524</v>
      </c>
      <c r="B6" s="259"/>
      <c r="C6" s="259"/>
      <c r="D6" s="259"/>
      <c r="E6" s="259"/>
    </row>
    <row r="7" spans="1:9" s="254" customFormat="1" ht="20.100000000000001" customHeight="1">
      <c r="A7" s="181" t="s">
        <v>1389</v>
      </c>
      <c r="B7" s="261"/>
      <c r="C7" s="259"/>
      <c r="D7" s="259"/>
      <c r="E7" s="259"/>
    </row>
    <row r="8" spans="1:9" s="254" customFormat="1" ht="20.100000000000001" customHeight="1">
      <c r="A8" s="181" t="s">
        <v>1391</v>
      </c>
      <c r="B8" s="259"/>
      <c r="C8" s="259"/>
      <c r="D8" s="259"/>
      <c r="E8" s="259"/>
    </row>
    <row r="9" spans="1:9" s="254" customFormat="1" ht="20.100000000000001" customHeight="1">
      <c r="A9" s="180" t="s">
        <v>1525</v>
      </c>
      <c r="B9" s="259"/>
      <c r="C9" s="259"/>
      <c r="D9" s="259"/>
      <c r="E9" s="259"/>
    </row>
    <row r="10" spans="1:9" s="254" customFormat="1" ht="20.100000000000001" customHeight="1">
      <c r="A10" s="180" t="s">
        <v>953</v>
      </c>
      <c r="B10" s="260">
        <f>SUM(B6:B9)</f>
        <v>0</v>
      </c>
      <c r="C10" s="261"/>
      <c r="D10" s="260">
        <f t="shared" ref="D10" si="0">SUM(D6:D9)</f>
        <v>0</v>
      </c>
      <c r="E10" s="259"/>
    </row>
    <row r="11" spans="1:9" s="254" customFormat="1" ht="26.25" customHeight="1">
      <c r="A11" s="180" t="s">
        <v>1564</v>
      </c>
      <c r="B11" s="259"/>
      <c r="C11" s="259"/>
      <c r="D11" s="259"/>
      <c r="E11" s="259"/>
    </row>
    <row r="12" spans="1:9" s="254" customFormat="1" ht="20.100000000000001" customHeight="1">
      <c r="A12" s="180" t="s">
        <v>882</v>
      </c>
      <c r="B12" s="260">
        <f>B10-B11</f>
        <v>0</v>
      </c>
      <c r="C12" s="261"/>
      <c r="D12" s="260">
        <f>D10-D11</f>
        <v>0</v>
      </c>
      <c r="E12" s="259"/>
    </row>
    <row r="13" spans="1:9" s="254" customFormat="1" ht="20.100000000000001" customHeight="1">
      <c r="A13" s="112" t="s">
        <v>623</v>
      </c>
      <c r="B13" s="113"/>
      <c r="C13" s="261"/>
      <c r="D13" s="261"/>
      <c r="E13" s="259"/>
    </row>
    <row r="14" spans="1:9" s="254" customFormat="1" ht="20.100000000000001" customHeight="1">
      <c r="A14" s="109"/>
      <c r="B14" s="115">
        <f>B12-B13</f>
        <v>0</v>
      </c>
      <c r="C14" s="276"/>
      <c r="D14" s="276"/>
      <c r="E14" s="277"/>
    </row>
    <row r="15" spans="1:9" s="254" customFormat="1" ht="20.100000000000001" customHeight="1">
      <c r="A15" s="23"/>
      <c r="B15" s="23" t="str">
        <f>IF(B14=0,"OK","NO")</f>
        <v>OK</v>
      </c>
      <c r="C15" s="262"/>
      <c r="D15" s="262"/>
      <c r="E15" s="264"/>
    </row>
    <row r="16" spans="1:9" s="254" customFormat="1" ht="20.100000000000001" customHeight="1">
      <c r="A16" s="262"/>
      <c r="B16" s="262"/>
      <c r="C16" s="262"/>
      <c r="D16" s="262"/>
      <c r="E16" s="264"/>
    </row>
    <row r="17" spans="1:9" s="254" customFormat="1" ht="20.100000000000001" customHeight="1">
      <c r="A17" s="222" t="s">
        <v>1565</v>
      </c>
    </row>
    <row r="18" spans="1:9" s="254" customFormat="1" ht="20.100000000000001" customHeight="1"/>
    <row r="19" spans="1:9" s="254" customFormat="1" ht="20.100000000000001" customHeight="1">
      <c r="A19" s="273" t="s">
        <v>1566</v>
      </c>
    </row>
    <row r="20" spans="1:9" s="254" customFormat="1" ht="20.100000000000001" customHeight="1">
      <c r="A20" s="257" t="s">
        <v>729</v>
      </c>
      <c r="B20" s="258" t="s">
        <v>773</v>
      </c>
    </row>
    <row r="21" spans="1:9" s="254" customFormat="1" ht="20.100000000000001" customHeight="1">
      <c r="A21" s="180" t="s">
        <v>1524</v>
      </c>
      <c r="B21" s="259"/>
    </row>
    <row r="22" spans="1:9" s="254" customFormat="1" ht="20.100000000000001" customHeight="1">
      <c r="A22" s="181" t="s">
        <v>1389</v>
      </c>
      <c r="B22" s="261"/>
    </row>
    <row r="23" spans="1:9" s="254" customFormat="1" ht="20.100000000000001" customHeight="1">
      <c r="A23" s="181" t="s">
        <v>1391</v>
      </c>
      <c r="B23" s="259"/>
    </row>
    <row r="24" spans="1:9" s="254" customFormat="1" ht="20.100000000000001" customHeight="1">
      <c r="A24" s="180" t="s">
        <v>1525</v>
      </c>
      <c r="B24" s="261"/>
    </row>
    <row r="25" spans="1:9" s="254" customFormat="1" ht="20.100000000000001" customHeight="1">
      <c r="A25" s="180" t="s">
        <v>882</v>
      </c>
      <c r="B25" s="260">
        <f>SUM(B21:B24)</f>
        <v>0</v>
      </c>
    </row>
    <row r="26" spans="1:9" s="254" customFormat="1" ht="20.100000000000001" customHeight="1">
      <c r="A26" s="112" t="s">
        <v>623</v>
      </c>
      <c r="B26" s="113"/>
      <c r="E26" s="264"/>
    </row>
    <row r="27" spans="1:9" s="254" customFormat="1" ht="20.100000000000001" customHeight="1">
      <c r="A27" s="109"/>
      <c r="B27" s="115">
        <f>B25-B26</f>
        <v>0</v>
      </c>
      <c r="C27" s="262"/>
      <c r="D27" s="262"/>
      <c r="E27" s="264"/>
    </row>
    <row r="28" spans="1:9" s="254" customFormat="1" ht="20.100000000000001" customHeight="1">
      <c r="A28" s="23"/>
      <c r="B28" s="23" t="str">
        <f>IF(B27=0,"OK","NO")</f>
        <v>OK</v>
      </c>
      <c r="C28" s="262"/>
      <c r="D28" s="262"/>
      <c r="E28" s="264"/>
    </row>
    <row r="29" spans="1:9" s="254" customFormat="1" ht="20.100000000000001" customHeight="1">
      <c r="A29" s="222" t="s">
        <v>1567</v>
      </c>
    </row>
    <row r="30" spans="1:9" s="275" customFormat="1" ht="13.8"/>
    <row r="31" spans="1:9" s="275" customFormat="1" ht="13.8"/>
    <row r="32" spans="1:9" ht="20.100000000000001" customHeight="1">
      <c r="G32" s="110"/>
      <c r="I32" s="5"/>
    </row>
    <row r="33" spans="7:9" ht="20.100000000000001" customHeight="1">
      <c r="G33" s="110"/>
      <c r="I33" s="5"/>
    </row>
    <row r="34" spans="7:9" ht="20.100000000000001" customHeight="1">
      <c r="G34" s="110"/>
      <c r="I34" s="5"/>
    </row>
    <row r="35" spans="7:9" ht="20.100000000000001" customHeight="1">
      <c r="G35" s="110"/>
      <c r="I35" s="5"/>
    </row>
    <row r="36" spans="7:9" ht="20.100000000000001" customHeight="1">
      <c r="G36" s="110"/>
      <c r="I36" s="5"/>
    </row>
    <row r="37" spans="7:9" ht="20.100000000000001" customHeight="1">
      <c r="G37" s="110"/>
      <c r="I37" s="5"/>
    </row>
    <row r="38" spans="7:9" ht="20.100000000000001" customHeight="1">
      <c r="G38" s="110"/>
      <c r="I38" s="5"/>
    </row>
    <row r="39" spans="7:9" ht="20.100000000000001" customHeight="1">
      <c r="G39" s="110"/>
      <c r="I39" s="5"/>
    </row>
    <row r="40" spans="7:9" ht="20.100000000000001" customHeight="1">
      <c r="G40" s="110"/>
      <c r="I40" s="5"/>
    </row>
    <row r="41" spans="7:9" ht="20.100000000000001" customHeight="1">
      <c r="G41" s="110"/>
      <c r="I41" s="5"/>
    </row>
    <row r="42" spans="7:9" ht="20.100000000000001" customHeight="1">
      <c r="G42" s="110"/>
      <c r="I42" s="5"/>
    </row>
    <row r="43" spans="7:9" ht="20.100000000000001" customHeight="1">
      <c r="G43" s="110"/>
      <c r="I43" s="5"/>
    </row>
    <row r="44" spans="7:9" ht="20.100000000000001" customHeight="1">
      <c r="G44" s="110"/>
      <c r="I44" s="5"/>
    </row>
    <row r="45" spans="7:9" ht="20.100000000000001" customHeight="1">
      <c r="G45" s="110"/>
      <c r="I45" s="5"/>
    </row>
    <row r="46" spans="7:9" ht="20.100000000000001" customHeight="1">
      <c r="G46" s="110"/>
      <c r="I46" s="5"/>
    </row>
    <row r="47" spans="7:9" ht="20.100000000000001" customHeight="1">
      <c r="G47" s="110"/>
      <c r="I47" s="5"/>
    </row>
    <row r="48" spans="7:9" ht="20.100000000000001" customHeight="1">
      <c r="G48" s="110"/>
      <c r="I48" s="5"/>
    </row>
    <row r="49" spans="7:9" ht="20.100000000000001" customHeight="1">
      <c r="G49" s="110"/>
      <c r="I49" s="5"/>
    </row>
    <row r="50" spans="7:9" ht="20.100000000000001" customHeight="1">
      <c r="G50" s="110"/>
      <c r="I50" s="5"/>
    </row>
    <row r="51" spans="7:9" ht="20.100000000000001" customHeight="1">
      <c r="G51" s="110"/>
      <c r="I51" s="5"/>
    </row>
    <row r="52" spans="7:9" ht="20.100000000000001" customHeight="1">
      <c r="G52" s="110"/>
      <c r="I52" s="5"/>
    </row>
    <row r="53" spans="7:9" ht="20.100000000000001" customHeight="1">
      <c r="G53" s="110"/>
      <c r="I53" s="5"/>
    </row>
    <row r="54" spans="7:9" ht="20.100000000000001" customHeight="1">
      <c r="G54" s="110"/>
      <c r="I54" s="5"/>
    </row>
    <row r="55" spans="7:9" ht="20.100000000000001" customHeight="1">
      <c r="G55" s="110"/>
      <c r="I55" s="5"/>
    </row>
    <row r="56" spans="7:9" ht="20.100000000000001" customHeight="1">
      <c r="G56" s="110"/>
      <c r="I56" s="5"/>
    </row>
    <row r="57" spans="7:9" ht="20.100000000000001" customHeight="1">
      <c r="G57" s="110"/>
      <c r="I57" s="5"/>
    </row>
    <row r="58" spans="7:9" ht="20.100000000000001" customHeight="1">
      <c r="G58" s="110"/>
      <c r="I58" s="5"/>
    </row>
    <row r="59" spans="7:9" ht="20.100000000000001" customHeight="1">
      <c r="G59" s="110"/>
      <c r="I59" s="5"/>
    </row>
  </sheetData>
  <phoneticPr fontId="78" type="noConversion"/>
  <hyperlinks>
    <hyperlink ref="D1" location="目录!A1" display="BACK"/>
  </hyperlinks>
  <pageMargins left="0.27500000000000002" right="0.27500000000000002" top="0.51180555555555596" bottom="0.51180555555555596" header="0.27500000000000002" footer="0.27500000000000002"/>
  <pageSetup paperSize="9" scale="79" orientation="landscape" blackAndWhite="1"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dimension ref="A1:J86"/>
  <sheetViews>
    <sheetView view="pageBreakPreview" zoomScaleNormal="100" zoomScaleSheetLayoutView="100" workbookViewId="0">
      <selection activeCell="B9" sqref="B9"/>
    </sheetView>
  </sheetViews>
  <sheetFormatPr defaultColWidth="9" defaultRowHeight="20.100000000000001" customHeight="1"/>
  <cols>
    <col min="1" max="1" width="20.5" style="5" customWidth="1"/>
    <col min="2" max="2" width="17.69921875" style="5" customWidth="1"/>
    <col min="3" max="3" width="18.59765625" style="5" customWidth="1"/>
    <col min="4" max="4" width="20.09765625" style="5" customWidth="1"/>
    <col min="5" max="5" width="18.09765625" style="5" customWidth="1"/>
    <col min="6" max="6" width="14.59765625" style="5" customWidth="1"/>
    <col min="7" max="8" width="15.3984375" style="5" customWidth="1"/>
    <col min="9" max="9" width="9" style="110"/>
    <col min="10" max="16384" width="9" style="5"/>
  </cols>
  <sheetData>
    <row r="1" spans="1:10" s="16" customFormat="1" ht="24.9" customHeight="1">
      <c r="A1" s="6" t="s">
        <v>145</v>
      </c>
      <c r="B1" s="7">
        <f>基础信息!B6</f>
        <v>0</v>
      </c>
      <c r="E1" s="900" t="s">
        <v>146</v>
      </c>
      <c r="I1" s="122"/>
    </row>
    <row r="2" spans="1:10" s="16" customFormat="1" ht="24.9" customHeight="1">
      <c r="A2" s="6" t="s">
        <v>147</v>
      </c>
      <c r="B2" s="7">
        <f>基础信息!B9</f>
        <v>0</v>
      </c>
      <c r="I2" s="122"/>
    </row>
    <row r="3" spans="1:10" s="122" customFormat="1" ht="24.9" customHeight="1">
      <c r="A3" s="68" t="s">
        <v>148</v>
      </c>
      <c r="B3" s="68" t="s">
        <v>1568</v>
      </c>
    </row>
    <row r="4" spans="1:10" s="185" customFormat="1" ht="24.9" customHeight="1">
      <c r="A4" s="185" t="s">
        <v>1569</v>
      </c>
    </row>
    <row r="5" spans="1:10" s="182" customFormat="1" ht="24.9" customHeight="1">
      <c r="A5" s="203" t="s">
        <v>729</v>
      </c>
      <c r="B5" s="184" t="s">
        <v>773</v>
      </c>
      <c r="C5" s="267"/>
      <c r="D5" s="267"/>
      <c r="E5" s="185"/>
      <c r="F5" s="185"/>
      <c r="G5" s="185"/>
      <c r="H5" s="185"/>
      <c r="I5" s="185"/>
      <c r="J5" s="185"/>
    </row>
    <row r="6" spans="1:10" s="182" customFormat="1" ht="24.9" customHeight="1">
      <c r="A6" s="268"/>
      <c r="B6" s="269"/>
      <c r="C6" s="267"/>
      <c r="D6" s="267"/>
      <c r="E6" s="185"/>
      <c r="F6" s="185"/>
      <c r="G6" s="185"/>
      <c r="H6" s="185"/>
      <c r="I6" s="185"/>
      <c r="J6" s="185"/>
    </row>
    <row r="7" spans="1:10" s="182" customFormat="1" ht="24.9" customHeight="1">
      <c r="A7" s="268"/>
      <c r="B7" s="269"/>
      <c r="C7" s="267"/>
      <c r="D7" s="267"/>
      <c r="E7" s="185"/>
      <c r="F7" s="185"/>
      <c r="G7" s="185"/>
      <c r="H7" s="185"/>
      <c r="I7" s="185"/>
      <c r="J7" s="185"/>
    </row>
    <row r="8" spans="1:10" s="183" customFormat="1" ht="20.100000000000001" customHeight="1">
      <c r="A8" s="190" t="s">
        <v>632</v>
      </c>
      <c r="B8" s="191">
        <f>SUM(B6:B7)</f>
        <v>0</v>
      </c>
      <c r="C8" s="196"/>
      <c r="D8" s="196"/>
    </row>
    <row r="9" spans="1:10" s="183" customFormat="1" ht="20.100000000000001" customHeight="1">
      <c r="A9" s="219" t="s">
        <v>623</v>
      </c>
      <c r="B9" s="220"/>
      <c r="C9" s="196"/>
      <c r="D9" s="196"/>
      <c r="E9" s="197"/>
    </row>
    <row r="10" spans="1:10" s="183" customFormat="1" ht="20.100000000000001" customHeight="1">
      <c r="A10" s="270"/>
      <c r="B10" s="271">
        <f>B8-B9</f>
        <v>0</v>
      </c>
      <c r="C10" s="196"/>
      <c r="D10" s="196"/>
      <c r="E10" s="197"/>
    </row>
    <row r="11" spans="1:10" s="183" customFormat="1" ht="20.100000000000001" customHeight="1">
      <c r="A11" s="221"/>
      <c r="B11" s="221" t="str">
        <f>IF(B10=0,"OK","NO")</f>
        <v>OK</v>
      </c>
      <c r="C11" s="196"/>
      <c r="D11" s="196"/>
      <c r="E11" s="197"/>
    </row>
    <row r="12" spans="1:10" s="183" customFormat="1" ht="20.100000000000001" customHeight="1">
      <c r="A12" s="221"/>
      <c r="B12" s="221"/>
      <c r="C12" s="196"/>
      <c r="D12" s="196"/>
      <c r="E12" s="197"/>
    </row>
    <row r="13" spans="1:10" s="183" customFormat="1" ht="20.100000000000001" customHeight="1">
      <c r="A13" s="221"/>
      <c r="B13" s="221"/>
      <c r="C13" s="196"/>
      <c r="D13" s="196"/>
      <c r="E13" s="197"/>
    </row>
    <row r="14" spans="1:10" s="183" customFormat="1" ht="20.100000000000001" customHeight="1">
      <c r="A14" s="222" t="s">
        <v>1570</v>
      </c>
    </row>
    <row r="15" spans="1:10" s="183" customFormat="1" ht="20.100000000000001" customHeight="1">
      <c r="A15" s="203" t="s">
        <v>1528</v>
      </c>
      <c r="B15" s="203" t="s">
        <v>1529</v>
      </c>
      <c r="C15" s="203" t="s">
        <v>1530</v>
      </c>
      <c r="D15" s="203" t="s">
        <v>1531</v>
      </c>
      <c r="E15" s="203" t="s">
        <v>1532</v>
      </c>
    </row>
    <row r="16" spans="1:10" s="183" customFormat="1" ht="20.100000000000001" customHeight="1">
      <c r="A16" s="190"/>
      <c r="B16" s="190"/>
      <c r="C16" s="190"/>
      <c r="D16" s="190"/>
      <c r="E16" s="190"/>
    </row>
    <row r="17" spans="1:7" s="183" customFormat="1" ht="20.100000000000001" customHeight="1">
      <c r="A17" s="190"/>
      <c r="B17" s="190"/>
      <c r="C17" s="190"/>
      <c r="D17" s="190"/>
      <c r="E17" s="190"/>
    </row>
    <row r="18" spans="1:7" s="183" customFormat="1" ht="20.100000000000001" customHeight="1">
      <c r="A18" s="190" t="s">
        <v>1334</v>
      </c>
      <c r="B18" s="188">
        <f>SUM(B16:B17)</f>
        <v>0</v>
      </c>
      <c r="C18" s="189"/>
      <c r="D18" s="189"/>
      <c r="E18" s="188">
        <f>SUM(E16:E17)</f>
        <v>0</v>
      </c>
    </row>
    <row r="19" spans="1:7" s="183" customFormat="1" ht="20.100000000000001" customHeight="1">
      <c r="A19" s="197"/>
      <c r="B19" s="196"/>
      <c r="C19" s="197"/>
      <c r="D19" s="197"/>
      <c r="E19" s="196"/>
    </row>
    <row r="20" spans="1:7" s="183" customFormat="1" ht="20.100000000000001" customHeight="1">
      <c r="A20" s="197"/>
      <c r="B20" s="196"/>
      <c r="C20" s="197"/>
      <c r="D20" s="197"/>
      <c r="E20" s="196"/>
    </row>
    <row r="21" spans="1:7" s="183" customFormat="1" ht="20.100000000000001" customHeight="1">
      <c r="A21" s="183" t="s">
        <v>1571</v>
      </c>
    </row>
    <row r="22" spans="1:7" s="183" customFormat="1" ht="20.100000000000001" customHeight="1">
      <c r="A22" s="203" t="s">
        <v>1528</v>
      </c>
      <c r="B22" s="203" t="s">
        <v>1011</v>
      </c>
      <c r="C22" s="203" t="s">
        <v>1534</v>
      </c>
      <c r="D22" s="203" t="s">
        <v>1535</v>
      </c>
      <c r="E22" s="203" t="s">
        <v>1536</v>
      </c>
      <c r="F22" s="203" t="s">
        <v>1537</v>
      </c>
      <c r="G22" s="203" t="s">
        <v>810</v>
      </c>
    </row>
    <row r="23" spans="1:7" s="183" customFormat="1" ht="20.100000000000001" customHeight="1">
      <c r="A23" s="190"/>
      <c r="B23" s="189"/>
      <c r="C23" s="189"/>
      <c r="D23" s="189"/>
      <c r="E23" s="189"/>
      <c r="F23" s="189"/>
      <c r="G23" s="189"/>
    </row>
    <row r="24" spans="1:7" s="183" customFormat="1" ht="20.100000000000001" customHeight="1">
      <c r="A24" s="190"/>
      <c r="B24" s="189"/>
      <c r="C24" s="189"/>
      <c r="D24" s="189"/>
      <c r="E24" s="189"/>
      <c r="F24" s="189"/>
      <c r="G24" s="189" t="s">
        <v>1538</v>
      </c>
    </row>
    <row r="25" spans="1:7" s="183" customFormat="1" ht="20.100000000000001" customHeight="1">
      <c r="A25" s="190" t="s">
        <v>1334</v>
      </c>
      <c r="B25" s="188">
        <f>SUM(B23:B24)</f>
        <v>0</v>
      </c>
      <c r="C25" s="188">
        <f t="shared" ref="C25:G25" si="0">SUM(C23:C24)</f>
        <v>0</v>
      </c>
      <c r="D25" s="188">
        <f t="shared" si="0"/>
        <v>0</v>
      </c>
      <c r="E25" s="188">
        <f t="shared" si="0"/>
        <v>0</v>
      </c>
      <c r="F25" s="188">
        <f t="shared" si="0"/>
        <v>0</v>
      </c>
      <c r="G25" s="188">
        <f t="shared" si="0"/>
        <v>0</v>
      </c>
    </row>
    <row r="26" spans="1:7" s="183" customFormat="1" ht="20.100000000000001" customHeight="1">
      <c r="A26" s="186" t="s">
        <v>1572</v>
      </c>
      <c r="B26" s="187"/>
      <c r="C26" s="187"/>
      <c r="D26" s="187"/>
      <c r="E26" s="187"/>
      <c r="F26" s="187"/>
      <c r="G26" s="187"/>
    </row>
    <row r="27" spans="1:7" s="183" customFormat="1" ht="20.100000000000001" customHeight="1">
      <c r="A27" s="186" t="s">
        <v>882</v>
      </c>
      <c r="B27" s="188">
        <f>B25-B26</f>
        <v>0</v>
      </c>
      <c r="C27" s="188">
        <f t="shared" ref="C27:G27" si="1">C25-C26</f>
        <v>0</v>
      </c>
      <c r="D27" s="188">
        <f t="shared" si="1"/>
        <v>0</v>
      </c>
      <c r="E27" s="188">
        <f t="shared" si="1"/>
        <v>0</v>
      </c>
      <c r="F27" s="188">
        <f t="shared" si="1"/>
        <v>0</v>
      </c>
      <c r="G27" s="188">
        <f t="shared" si="1"/>
        <v>0</v>
      </c>
    </row>
    <row r="28" spans="1:7" s="183" customFormat="1" ht="20.100000000000001" customHeight="1">
      <c r="A28" s="196"/>
      <c r="B28" s="196"/>
      <c r="C28" s="196"/>
      <c r="D28" s="196"/>
      <c r="E28" s="196"/>
      <c r="F28" s="196"/>
      <c r="G28" s="196"/>
    </row>
    <row r="29" spans="1:7" s="183" customFormat="1" ht="20.100000000000001" customHeight="1">
      <c r="A29" s="196"/>
      <c r="B29" s="196"/>
      <c r="C29" s="196"/>
      <c r="D29" s="196"/>
      <c r="E29" s="196"/>
      <c r="F29" s="196"/>
      <c r="G29" s="196"/>
    </row>
    <row r="30" spans="1:7" s="183" customFormat="1" ht="20.100000000000001" customHeight="1">
      <c r="A30" s="198" t="s">
        <v>1573</v>
      </c>
    </row>
    <row r="31" spans="1:7" s="198" customFormat="1" ht="20.100000000000001" customHeight="1">
      <c r="A31" s="1121" t="s">
        <v>1574</v>
      </c>
      <c r="B31" s="1121"/>
      <c r="C31" s="1121"/>
      <c r="D31" s="1121"/>
      <c r="E31" s="1121"/>
      <c r="F31" s="1121"/>
      <c r="G31" s="1121"/>
    </row>
    <row r="32" spans="1:7" s="198" customFormat="1" ht="33.75" customHeight="1">
      <c r="A32" s="1122" t="s">
        <v>1575</v>
      </c>
      <c r="B32" s="1122"/>
      <c r="C32" s="1122"/>
      <c r="D32" s="1122"/>
      <c r="E32" s="1122"/>
      <c r="F32" s="1122"/>
      <c r="G32" s="1122"/>
    </row>
    <row r="33" spans="1:9" s="198" customFormat="1" ht="33.75" customHeight="1">
      <c r="A33" s="1122" t="s">
        <v>1576</v>
      </c>
      <c r="B33" s="1122"/>
      <c r="C33" s="1122"/>
      <c r="D33" s="1122"/>
      <c r="E33" s="1122"/>
      <c r="F33" s="1122"/>
      <c r="G33" s="1122"/>
    </row>
    <row r="34" spans="1:9" s="198" customFormat="1" ht="33.75" customHeight="1">
      <c r="A34" s="1122" t="s">
        <v>1577</v>
      </c>
      <c r="B34" s="1122"/>
      <c r="C34" s="1122"/>
      <c r="D34" s="1122"/>
      <c r="E34" s="1122"/>
      <c r="F34" s="1122"/>
      <c r="G34" s="1122"/>
    </row>
    <row r="35" spans="1:9" s="183" customFormat="1" ht="20.100000000000001" customHeight="1">
      <c r="A35" s="222" t="s">
        <v>1578</v>
      </c>
    </row>
    <row r="36" spans="1:9" s="183" customFormat="1" ht="20.100000000000001" customHeight="1">
      <c r="A36" s="222" t="s">
        <v>1579</v>
      </c>
      <c r="B36" s="272"/>
      <c r="C36" s="272"/>
      <c r="D36" s="272"/>
      <c r="E36" s="272"/>
      <c r="F36" s="272"/>
      <c r="G36" s="272"/>
    </row>
    <row r="37" spans="1:9" s="183" customFormat="1" ht="20.100000000000001" customHeight="1">
      <c r="A37" s="224" t="s">
        <v>1580</v>
      </c>
      <c r="B37" s="273"/>
      <c r="C37" s="273"/>
      <c r="D37" s="273"/>
      <c r="E37" s="273"/>
      <c r="F37" s="273"/>
      <c r="G37" s="273"/>
    </row>
    <row r="38" spans="1:9" s="183" customFormat="1" ht="20.100000000000001" customHeight="1">
      <c r="A38" s="222" t="s">
        <v>1581</v>
      </c>
      <c r="B38" s="273"/>
      <c r="C38" s="273"/>
      <c r="D38" s="273"/>
      <c r="E38" s="273"/>
      <c r="F38" s="273"/>
      <c r="G38" s="273"/>
    </row>
    <row r="39" spans="1:9" s="183" customFormat="1" ht="20.100000000000001" customHeight="1">
      <c r="A39" s="224" t="s">
        <v>1582</v>
      </c>
    </row>
    <row r="40" spans="1:9" s="183" customFormat="1" ht="20.100000000000001" customHeight="1">
      <c r="A40" s="1120" t="s">
        <v>1583</v>
      </c>
      <c r="B40" s="1119" t="s">
        <v>1294</v>
      </c>
      <c r="C40" s="1119"/>
      <c r="D40" s="1119" t="s">
        <v>1191</v>
      </c>
      <c r="E40" s="1119"/>
      <c r="F40" s="1119" t="s">
        <v>1295</v>
      </c>
      <c r="G40" s="1119"/>
      <c r="H40" s="1119" t="s">
        <v>773</v>
      </c>
      <c r="I40" s="1119"/>
    </row>
    <row r="41" spans="1:9" s="183" customFormat="1" ht="20.100000000000001" customHeight="1">
      <c r="A41" s="1120"/>
      <c r="B41" s="184" t="s">
        <v>1584</v>
      </c>
      <c r="C41" s="184" t="s">
        <v>896</v>
      </c>
      <c r="D41" s="184" t="s">
        <v>1584</v>
      </c>
      <c r="E41" s="184" t="s">
        <v>896</v>
      </c>
      <c r="F41" s="184" t="s">
        <v>1584</v>
      </c>
      <c r="G41" s="184" t="s">
        <v>896</v>
      </c>
      <c r="H41" s="184" t="s">
        <v>1584</v>
      </c>
      <c r="I41" s="184" t="s">
        <v>896</v>
      </c>
    </row>
    <row r="42" spans="1:9" s="183" customFormat="1" ht="20.100000000000001" customHeight="1">
      <c r="A42" s="186" t="s">
        <v>1585</v>
      </c>
      <c r="B42" s="187"/>
      <c r="C42" s="187"/>
      <c r="D42" s="187"/>
      <c r="E42" s="187"/>
      <c r="F42" s="187"/>
      <c r="G42" s="187"/>
      <c r="H42" s="187"/>
      <c r="I42" s="187"/>
    </row>
    <row r="43" spans="1:9" s="183" customFormat="1" ht="20.100000000000001" customHeight="1">
      <c r="A43" s="186"/>
      <c r="B43" s="187"/>
      <c r="C43" s="187"/>
      <c r="D43" s="187"/>
      <c r="E43" s="187"/>
      <c r="F43" s="187"/>
      <c r="G43" s="187"/>
      <c r="H43" s="187"/>
      <c r="I43" s="187" t="s">
        <v>1538</v>
      </c>
    </row>
    <row r="44" spans="1:9" s="183" customFormat="1" ht="20.100000000000001" customHeight="1">
      <c r="A44" s="186" t="s">
        <v>882</v>
      </c>
      <c r="B44" s="188">
        <f>SUM(B42:B43)</f>
        <v>0</v>
      </c>
      <c r="C44" s="188">
        <f t="shared" ref="C44:I44" si="2">SUM(C42:C43)</f>
        <v>0</v>
      </c>
      <c r="D44" s="188">
        <f t="shared" si="2"/>
        <v>0</v>
      </c>
      <c r="E44" s="188">
        <f t="shared" si="2"/>
        <v>0</v>
      </c>
      <c r="F44" s="188">
        <f t="shared" si="2"/>
        <v>0</v>
      </c>
      <c r="G44" s="188">
        <f t="shared" si="2"/>
        <v>0</v>
      </c>
      <c r="H44" s="188">
        <f t="shared" si="2"/>
        <v>0</v>
      </c>
      <c r="I44" s="188">
        <f t="shared" si="2"/>
        <v>0</v>
      </c>
    </row>
    <row r="45" spans="1:9" s="183" customFormat="1" ht="20.100000000000001" customHeight="1">
      <c r="A45" s="224" t="s">
        <v>1586</v>
      </c>
    </row>
    <row r="46" spans="1:9" s="204" customFormat="1" ht="13.8"/>
    <row r="47" spans="1:9" s="204" customFormat="1" ht="13.8"/>
    <row r="48" spans="1:9" ht="20.100000000000001" customHeight="1">
      <c r="H48" s="110"/>
      <c r="I48" s="5"/>
    </row>
    <row r="49" spans="8:9" ht="20.100000000000001" customHeight="1">
      <c r="H49" s="110"/>
      <c r="I49" s="5"/>
    </row>
    <row r="50" spans="8:9" ht="20.100000000000001" customHeight="1">
      <c r="H50" s="110"/>
      <c r="I50" s="5"/>
    </row>
    <row r="51" spans="8:9" ht="20.100000000000001" customHeight="1">
      <c r="H51" s="110"/>
      <c r="I51" s="5"/>
    </row>
    <row r="52" spans="8:9" ht="20.100000000000001" customHeight="1">
      <c r="H52" s="110"/>
      <c r="I52" s="5"/>
    </row>
    <row r="53" spans="8:9" ht="20.100000000000001" customHeight="1">
      <c r="H53" s="110"/>
      <c r="I53" s="5"/>
    </row>
    <row r="54" spans="8:9" ht="20.100000000000001" customHeight="1">
      <c r="H54" s="110"/>
      <c r="I54" s="5"/>
    </row>
    <row r="55" spans="8:9" ht="20.100000000000001" customHeight="1">
      <c r="H55" s="110"/>
      <c r="I55" s="5"/>
    </row>
    <row r="56" spans="8:9" ht="20.100000000000001" customHeight="1">
      <c r="H56" s="110"/>
      <c r="I56" s="5"/>
    </row>
    <row r="57" spans="8:9" ht="20.100000000000001" customHeight="1">
      <c r="H57" s="110"/>
      <c r="I57" s="5"/>
    </row>
    <row r="58" spans="8:9" ht="20.100000000000001" customHeight="1">
      <c r="H58" s="110"/>
      <c r="I58" s="5"/>
    </row>
    <row r="59" spans="8:9" ht="20.100000000000001" customHeight="1">
      <c r="H59" s="110"/>
      <c r="I59" s="5"/>
    </row>
    <row r="60" spans="8:9" ht="20.100000000000001" customHeight="1">
      <c r="H60" s="110"/>
      <c r="I60" s="5"/>
    </row>
    <row r="61" spans="8:9" ht="20.100000000000001" customHeight="1">
      <c r="H61" s="110"/>
      <c r="I61" s="5"/>
    </row>
    <row r="62" spans="8:9" ht="20.100000000000001" customHeight="1">
      <c r="H62" s="110"/>
      <c r="I62" s="5"/>
    </row>
    <row r="63" spans="8:9" ht="20.100000000000001" customHeight="1">
      <c r="H63" s="110"/>
      <c r="I63" s="5"/>
    </row>
    <row r="64" spans="8:9" ht="20.100000000000001" customHeight="1">
      <c r="H64" s="110"/>
      <c r="I64" s="5"/>
    </row>
    <row r="65" spans="8:9" ht="20.100000000000001" customHeight="1">
      <c r="H65" s="110"/>
      <c r="I65" s="5"/>
    </row>
    <row r="66" spans="8:9" ht="20.100000000000001" customHeight="1">
      <c r="H66" s="110"/>
      <c r="I66" s="5"/>
    </row>
    <row r="67" spans="8:9" ht="20.100000000000001" customHeight="1">
      <c r="H67" s="110"/>
      <c r="I67" s="5"/>
    </row>
    <row r="68" spans="8:9" ht="20.100000000000001" customHeight="1">
      <c r="H68" s="110"/>
      <c r="I68" s="5"/>
    </row>
    <row r="69" spans="8:9" ht="20.100000000000001" customHeight="1">
      <c r="H69" s="110"/>
      <c r="I69" s="5"/>
    </row>
    <row r="70" spans="8:9" ht="20.100000000000001" customHeight="1">
      <c r="H70" s="110"/>
      <c r="I70" s="5"/>
    </row>
    <row r="71" spans="8:9" ht="20.100000000000001" customHeight="1">
      <c r="H71" s="110"/>
      <c r="I71" s="5"/>
    </row>
    <row r="72" spans="8:9" ht="20.100000000000001" customHeight="1">
      <c r="H72" s="110"/>
      <c r="I72" s="5"/>
    </row>
    <row r="73" spans="8:9" ht="20.100000000000001" customHeight="1">
      <c r="H73" s="110"/>
      <c r="I73" s="5"/>
    </row>
    <row r="74" spans="8:9" ht="20.100000000000001" customHeight="1">
      <c r="H74" s="110"/>
      <c r="I74" s="5"/>
    </row>
    <row r="75" spans="8:9" ht="20.100000000000001" customHeight="1">
      <c r="H75" s="110"/>
      <c r="I75" s="5"/>
    </row>
    <row r="76" spans="8:9" ht="20.100000000000001" customHeight="1">
      <c r="H76" s="110"/>
      <c r="I76" s="5"/>
    </row>
    <row r="77" spans="8:9" ht="20.100000000000001" customHeight="1">
      <c r="H77" s="110"/>
      <c r="I77" s="5"/>
    </row>
    <row r="78" spans="8:9" ht="20.100000000000001" customHeight="1">
      <c r="H78" s="110"/>
      <c r="I78" s="5"/>
    </row>
    <row r="79" spans="8:9" ht="20.100000000000001" customHeight="1">
      <c r="H79" s="110"/>
      <c r="I79" s="5"/>
    </row>
    <row r="80" spans="8:9" ht="20.100000000000001" customHeight="1">
      <c r="H80" s="110"/>
      <c r="I80" s="5"/>
    </row>
    <row r="81" spans="8:9" ht="20.100000000000001" customHeight="1">
      <c r="H81" s="110"/>
      <c r="I81" s="5"/>
    </row>
    <row r="82" spans="8:9" ht="20.100000000000001" customHeight="1">
      <c r="H82" s="110"/>
      <c r="I82" s="5"/>
    </row>
    <row r="83" spans="8:9" ht="20.100000000000001" customHeight="1">
      <c r="H83" s="110"/>
      <c r="I83" s="5"/>
    </row>
    <row r="84" spans="8:9" ht="20.100000000000001" customHeight="1">
      <c r="H84" s="110"/>
      <c r="I84" s="5"/>
    </row>
    <row r="85" spans="8:9" ht="20.100000000000001" customHeight="1">
      <c r="H85" s="110"/>
      <c r="I85" s="5"/>
    </row>
    <row r="86" spans="8:9" ht="20.100000000000001" customHeight="1">
      <c r="H86" s="110"/>
      <c r="I86" s="5"/>
    </row>
  </sheetData>
  <mergeCells count="9">
    <mergeCell ref="H40:I40"/>
    <mergeCell ref="A40:A41"/>
    <mergeCell ref="A31:G31"/>
    <mergeCell ref="A32:G32"/>
    <mergeCell ref="A33:G33"/>
    <mergeCell ref="A34:G34"/>
    <mergeCell ref="B40:C40"/>
    <mergeCell ref="D40:E40"/>
    <mergeCell ref="F40:G40"/>
  </mergeCells>
  <phoneticPr fontId="78" type="noConversion"/>
  <hyperlinks>
    <hyperlink ref="E1" location="目录!A1" display="BACK"/>
  </hyperlinks>
  <pageMargins left="0.27500000000000002" right="0.27500000000000002" top="0.51180555555555596" bottom="0.51180555555555596" header="0.27500000000000002" footer="0.27500000000000002"/>
  <pageSetup paperSize="9" scale="88" orientation="landscape" blackAndWhite="1" r:id="rId1"/>
  <headerFooter alignWithMargins="0">
    <oddFooter>&amp;C&amp;P/&amp;N</oddFooter>
  </headerFooter>
  <rowBreaks count="1" manualBreakCount="1">
    <brk id="24" max="8" man="1"/>
  </row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13"/>
  <sheetViews>
    <sheetView workbookViewId="0">
      <selection activeCell="B11" sqref="B11"/>
    </sheetView>
  </sheetViews>
  <sheetFormatPr defaultColWidth="9" defaultRowHeight="15.6"/>
  <cols>
    <col min="1" max="1" width="25.3984375" customWidth="1"/>
    <col min="2" max="2" width="23.5" customWidth="1"/>
  </cols>
  <sheetData>
    <row r="1" spans="1:4">
      <c r="A1" s="6" t="s">
        <v>145</v>
      </c>
      <c r="B1" s="7">
        <f>基础信息!B6</f>
        <v>0</v>
      </c>
      <c r="C1" s="250"/>
      <c r="D1" s="900" t="s">
        <v>146</v>
      </c>
    </row>
    <row r="2" spans="1:4">
      <c r="A2" s="6" t="s">
        <v>147</v>
      </c>
      <c r="B2" s="7">
        <f>基础信息!B9</f>
        <v>0</v>
      </c>
      <c r="C2" s="250"/>
      <c r="D2" s="250"/>
    </row>
    <row r="3" spans="1:4">
      <c r="A3" s="1005" t="s">
        <v>148</v>
      </c>
      <c r="B3" s="127" t="s">
        <v>2156</v>
      </c>
      <c r="C3" s="250"/>
      <c r="D3" s="250"/>
    </row>
    <row r="4" spans="1:4">
      <c r="A4" s="256"/>
      <c r="B4" s="252"/>
      <c r="C4" s="252"/>
      <c r="D4" s="252"/>
    </row>
    <row r="10" spans="1:4">
      <c r="A10" s="1008" t="s">
        <v>632</v>
      </c>
      <c r="B10" s="524">
        <f>SUM(B4:B9)</f>
        <v>0</v>
      </c>
    </row>
    <row r="11" spans="1:4">
      <c r="A11" s="1007" t="s">
        <v>650</v>
      </c>
      <c r="B11" s="524"/>
    </row>
    <row r="12" spans="1:4">
      <c r="A12" s="1007"/>
      <c r="B12" s="524">
        <f>B10-B11</f>
        <v>0</v>
      </c>
    </row>
    <row r="13" spans="1:4">
      <c r="B13" s="221" t="str">
        <f>IF(B12=0,"OK","NO")</f>
        <v>OK</v>
      </c>
    </row>
  </sheetData>
  <phoneticPr fontId="78" type="noConversion"/>
  <hyperlinks>
    <hyperlink ref="D1" location="目录!A1" display="BACK"/>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6"/>
  <dimension ref="A1:D19"/>
  <sheetViews>
    <sheetView workbookViewId="0">
      <selection activeCell="B15" sqref="B15"/>
    </sheetView>
  </sheetViews>
  <sheetFormatPr defaultColWidth="9" defaultRowHeight="15.6"/>
  <cols>
    <col min="1" max="1" width="25.3984375" customWidth="1"/>
    <col min="2" max="2" width="23.5" customWidth="1"/>
  </cols>
  <sheetData>
    <row r="1" spans="1:4">
      <c r="A1" s="6" t="s">
        <v>145</v>
      </c>
      <c r="B1" s="7">
        <f>基础信息!B6</f>
        <v>0</v>
      </c>
      <c r="C1" s="250"/>
      <c r="D1" s="900" t="s">
        <v>146</v>
      </c>
    </row>
    <row r="2" spans="1:4">
      <c r="A2" s="6" t="s">
        <v>147</v>
      </c>
      <c r="B2" s="7">
        <f>基础信息!B9</f>
        <v>0</v>
      </c>
      <c r="C2" s="250"/>
      <c r="D2" s="250"/>
    </row>
    <row r="3" spans="1:4">
      <c r="A3" s="68" t="s">
        <v>148</v>
      </c>
      <c r="B3" s="68" t="s">
        <v>1587</v>
      </c>
      <c r="C3" s="250"/>
      <c r="D3" s="250"/>
    </row>
    <row r="4" spans="1:4">
      <c r="A4" s="256"/>
      <c r="B4" s="252"/>
      <c r="C4" s="252"/>
      <c r="D4" s="252"/>
    </row>
    <row r="5" spans="1:4">
      <c r="A5" s="257" t="s">
        <v>729</v>
      </c>
      <c r="B5" s="258" t="s">
        <v>773</v>
      </c>
      <c r="C5" s="252"/>
      <c r="D5" s="252"/>
    </row>
    <row r="6" spans="1:4">
      <c r="A6" s="266" t="s">
        <v>86</v>
      </c>
      <c r="B6" s="259">
        <f>'RP 065-1'!B11</f>
        <v>0</v>
      </c>
      <c r="C6" s="254"/>
      <c r="D6" s="254"/>
    </row>
    <row r="7" spans="1:4">
      <c r="A7" s="266" t="s">
        <v>1588</v>
      </c>
      <c r="B7" s="259">
        <f>'RP 065-2'!E7</f>
        <v>0</v>
      </c>
      <c r="C7" s="254"/>
      <c r="D7" s="254"/>
    </row>
    <row r="8" spans="1:4">
      <c r="A8" s="181"/>
      <c r="B8" s="259"/>
      <c r="C8" s="254"/>
      <c r="D8" s="254"/>
    </row>
    <row r="9" spans="1:4">
      <c r="A9" s="181" t="s">
        <v>1024</v>
      </c>
      <c r="B9" s="260">
        <f>SUM(B6:B8)</f>
        <v>0</v>
      </c>
      <c r="C9" s="254"/>
      <c r="D9" s="254"/>
    </row>
    <row r="10" spans="1:4">
      <c r="A10" s="181" t="s">
        <v>1589</v>
      </c>
      <c r="B10" s="261"/>
      <c r="C10" s="254"/>
      <c r="D10" s="254"/>
    </row>
    <row r="11" spans="1:4">
      <c r="A11" s="181" t="s">
        <v>632</v>
      </c>
      <c r="B11" s="260">
        <f>B9-B10</f>
        <v>0</v>
      </c>
      <c r="C11" s="254"/>
      <c r="D11" s="254"/>
    </row>
    <row r="12" spans="1:4">
      <c r="A12" s="112" t="s">
        <v>623</v>
      </c>
      <c r="B12" s="113"/>
      <c r="C12" s="254"/>
      <c r="D12" s="254"/>
    </row>
    <row r="13" spans="1:4">
      <c r="A13" s="112"/>
      <c r="B13" s="113">
        <f>B11-B12</f>
        <v>0</v>
      </c>
      <c r="C13" s="262"/>
      <c r="D13" s="254"/>
    </row>
    <row r="14" spans="1:4">
      <c r="A14" s="94"/>
      <c r="B14" s="263" t="str">
        <f>IF(B13=0,"OK","NO")</f>
        <v>OK</v>
      </c>
      <c r="C14" s="262"/>
      <c r="D14" s="254"/>
    </row>
    <row r="15" spans="1:4">
      <c r="A15" s="112" t="s">
        <v>623</v>
      </c>
      <c r="B15" s="113"/>
      <c r="C15" s="254"/>
      <c r="D15" s="254"/>
    </row>
    <row r="16" spans="1:4">
      <c r="A16" s="109"/>
      <c r="B16" s="115">
        <f>B10-B15</f>
        <v>0</v>
      </c>
      <c r="C16" s="262"/>
      <c r="D16" s="254"/>
    </row>
    <row r="17" spans="1:4">
      <c r="A17" s="23"/>
      <c r="B17" s="23" t="str">
        <f>IF(B16=0,"OK","NO")</f>
        <v>OK</v>
      </c>
      <c r="C17" s="262"/>
      <c r="D17" s="254"/>
    </row>
    <row r="18" spans="1:4">
      <c r="A18" s="264"/>
      <c r="B18" s="262"/>
      <c r="C18" s="262"/>
      <c r="D18" s="254"/>
    </row>
    <row r="19" spans="1:4">
      <c r="A19" s="222" t="s">
        <v>1590</v>
      </c>
      <c r="B19" s="254"/>
      <c r="C19" s="254"/>
      <c r="D19" s="254"/>
    </row>
  </sheetData>
  <phoneticPr fontId="78" type="noConversion"/>
  <hyperlinks>
    <hyperlink ref="D1" location="目录!A1" display="BACK"/>
  </hyperlinks>
  <pageMargins left="0.75" right="0.75" top="1" bottom="1" header="0.51180555555555596" footer="0.51180555555555596"/>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7"/>
  <dimension ref="A1:O23"/>
  <sheetViews>
    <sheetView view="pageBreakPreview" zoomScaleNormal="100" zoomScaleSheetLayoutView="100" workbookViewId="0">
      <selection activeCell="B15" sqref="B15"/>
    </sheetView>
  </sheetViews>
  <sheetFormatPr defaultColWidth="9" defaultRowHeight="20.100000000000001" customHeight="1"/>
  <cols>
    <col min="1" max="1" width="24.69921875" style="5" customWidth="1"/>
    <col min="2" max="2" width="24.59765625" style="5" customWidth="1"/>
    <col min="3" max="3" width="26.5" style="5" customWidth="1"/>
    <col min="4" max="4" width="17.59765625" style="5" customWidth="1"/>
    <col min="5" max="5" width="23.59765625" style="5" customWidth="1"/>
    <col min="6" max="6" width="25.3984375" style="5" customWidth="1"/>
    <col min="7" max="16384" width="9" style="5"/>
  </cols>
  <sheetData>
    <row r="1" spans="1:5" s="250" customFormat="1" ht="24.75" customHeight="1">
      <c r="A1" s="6" t="s">
        <v>145</v>
      </c>
      <c r="B1" s="7">
        <f>基础信息!B6</f>
        <v>0</v>
      </c>
      <c r="E1" s="900" t="s">
        <v>146</v>
      </c>
    </row>
    <row r="2" spans="1:5" s="250" customFormat="1" ht="24.9" customHeight="1">
      <c r="A2" s="6" t="s">
        <v>147</v>
      </c>
      <c r="B2" s="7">
        <f>基础信息!B9</f>
        <v>0</v>
      </c>
    </row>
    <row r="3" spans="1:5" s="251" customFormat="1" ht="24.9" customHeight="1">
      <c r="A3" s="68" t="s">
        <v>148</v>
      </c>
      <c r="B3" s="68" t="s">
        <v>1587</v>
      </c>
      <c r="C3" s="250"/>
      <c r="D3" s="250"/>
      <c r="E3" s="250"/>
    </row>
    <row r="4" spans="1:5" s="252" customFormat="1" ht="24.9" customHeight="1">
      <c r="A4" s="256" t="s">
        <v>1591</v>
      </c>
    </row>
    <row r="5" spans="1:5" s="253" customFormat="1" ht="24.9" customHeight="1">
      <c r="A5" s="257" t="s">
        <v>729</v>
      </c>
      <c r="B5" s="258" t="s">
        <v>773</v>
      </c>
      <c r="C5" s="252"/>
      <c r="D5" s="252"/>
    </row>
    <row r="6" spans="1:5" s="254" customFormat="1" ht="20.100000000000001" customHeight="1">
      <c r="A6" s="181" t="s">
        <v>1540</v>
      </c>
      <c r="B6" s="259"/>
    </row>
    <row r="7" spans="1:5" s="254" customFormat="1" ht="20.100000000000001" customHeight="1">
      <c r="A7" s="181"/>
      <c r="B7" s="259"/>
    </row>
    <row r="8" spans="1:5" s="254" customFormat="1" ht="20.100000000000001" customHeight="1">
      <c r="A8" s="181"/>
      <c r="B8" s="259"/>
    </row>
    <row r="9" spans="1:5" s="254" customFormat="1" ht="20.100000000000001" customHeight="1">
      <c r="A9" s="181" t="s">
        <v>1024</v>
      </c>
      <c r="B9" s="260">
        <f>SUM(B6:B8)</f>
        <v>0</v>
      </c>
    </row>
    <row r="10" spans="1:5" s="254" customFormat="1" ht="20.100000000000001" customHeight="1">
      <c r="A10" s="181" t="s">
        <v>1589</v>
      </c>
      <c r="B10" s="261"/>
    </row>
    <row r="11" spans="1:5" s="254" customFormat="1" ht="20.100000000000001" customHeight="1">
      <c r="A11" s="181" t="s">
        <v>632</v>
      </c>
      <c r="B11" s="260">
        <f>B9-B10</f>
        <v>0</v>
      </c>
    </row>
    <row r="12" spans="1:5" s="254" customFormat="1" ht="20.100000000000001" customHeight="1">
      <c r="A12" s="112" t="s">
        <v>623</v>
      </c>
      <c r="B12" s="113"/>
    </row>
    <row r="13" spans="1:5" s="254" customFormat="1" ht="20.100000000000001" customHeight="1">
      <c r="A13" s="112"/>
      <c r="B13" s="113">
        <f>B11-B12</f>
        <v>0</v>
      </c>
      <c r="C13" s="262"/>
    </row>
    <row r="14" spans="1:5" s="254" customFormat="1" ht="20.100000000000001" customHeight="1">
      <c r="A14" s="94"/>
      <c r="B14" s="263" t="str">
        <f>IF(B13=0,"OK","NO")</f>
        <v>OK</v>
      </c>
      <c r="C14" s="262"/>
    </row>
    <row r="15" spans="1:5" s="254" customFormat="1" ht="20.100000000000001" customHeight="1">
      <c r="A15" s="112" t="s">
        <v>623</v>
      </c>
      <c r="B15" s="113"/>
    </row>
    <row r="16" spans="1:5" s="254" customFormat="1" ht="20.100000000000001" customHeight="1">
      <c r="A16" s="109"/>
      <c r="B16" s="115">
        <f>B10-B15</f>
        <v>0</v>
      </c>
      <c r="C16" s="262"/>
    </row>
    <row r="17" spans="1:15" s="254" customFormat="1" ht="20.100000000000001" customHeight="1">
      <c r="A17" s="23"/>
      <c r="B17" s="23" t="str">
        <f>IF(B16=0,"OK","NO")</f>
        <v>OK</v>
      </c>
      <c r="C17" s="262"/>
    </row>
    <row r="18" spans="1:15" s="254" customFormat="1" ht="20.100000000000001" customHeight="1">
      <c r="A18" s="264"/>
      <c r="B18" s="262"/>
      <c r="C18" s="262"/>
    </row>
    <row r="19" spans="1:15" s="254" customFormat="1" ht="20.100000000000001" customHeight="1">
      <c r="A19" s="222" t="s">
        <v>1590</v>
      </c>
    </row>
    <row r="20" spans="1:15" s="254" customFormat="1" ht="20.100000000000001" customHeight="1">
      <c r="A20" s="265"/>
      <c r="B20" s="265"/>
      <c r="C20" s="265"/>
    </row>
    <row r="21" spans="1:15" ht="20.100000000000001" customHeight="1">
      <c r="A21" s="110"/>
      <c r="F21" s="110"/>
      <c r="G21" s="110"/>
      <c r="H21" s="110"/>
      <c r="I21" s="110"/>
      <c r="J21" s="110"/>
      <c r="K21" s="110"/>
      <c r="L21" s="110"/>
      <c r="M21" s="110"/>
      <c r="N21" s="110"/>
      <c r="O21" s="110"/>
    </row>
    <row r="22" spans="1:15" ht="20.100000000000001" customHeight="1">
      <c r="A22" s="110"/>
    </row>
    <row r="23" spans="1:15" ht="20.100000000000001" customHeight="1">
      <c r="A23" s="110"/>
    </row>
  </sheetData>
  <phoneticPr fontId="78" type="noConversion"/>
  <hyperlinks>
    <hyperlink ref="E1" location="目录!A1" display="BACK"/>
  </hyperlinks>
  <pageMargins left="0.82638888888888895" right="0.27500000000000002" top="0.82638888888888895" bottom="0.51180555555555596" header="0.27500000000000002" footer="0.27500000000000002"/>
  <pageSetup paperSize="9" orientation="landscape" blackAndWhite="1"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8"/>
  <dimension ref="A1:M14"/>
  <sheetViews>
    <sheetView view="pageBreakPreview" zoomScale="90" zoomScaleNormal="100" zoomScaleSheetLayoutView="90" workbookViewId="0">
      <selection activeCell="E8" sqref="E8"/>
    </sheetView>
  </sheetViews>
  <sheetFormatPr defaultColWidth="9" defaultRowHeight="20.100000000000001" customHeight="1"/>
  <cols>
    <col min="1" max="1" width="13.8984375" style="5" customWidth="1"/>
    <col min="2" max="2" width="24.59765625" style="5" customWidth="1"/>
    <col min="3" max="3" width="20.8984375" style="5" customWidth="1"/>
    <col min="4" max="4" width="22.59765625" style="5" customWidth="1"/>
    <col min="5" max="5" width="22.5" style="5" customWidth="1"/>
    <col min="6" max="6" width="19.5" style="5" customWidth="1"/>
    <col min="7" max="16384" width="9" style="5"/>
  </cols>
  <sheetData>
    <row r="1" spans="1:13" s="16" customFormat="1" ht="24.9" customHeight="1">
      <c r="A1" s="6" t="s">
        <v>145</v>
      </c>
      <c r="B1" s="7">
        <f>基础信息!B6</f>
        <v>0</v>
      </c>
      <c r="E1" s="900" t="s">
        <v>146</v>
      </c>
    </row>
    <row r="2" spans="1:13" s="16" customFormat="1" ht="24.9" customHeight="1">
      <c r="A2" s="6" t="s">
        <v>147</v>
      </c>
      <c r="B2" s="7">
        <f>基础信息!B9</f>
        <v>0</v>
      </c>
    </row>
    <row r="3" spans="1:13" s="122" customFormat="1" ht="24.9" customHeight="1">
      <c r="A3" s="68" t="s">
        <v>148</v>
      </c>
      <c r="B3" s="68" t="s">
        <v>1592</v>
      </c>
      <c r="C3" s="16"/>
      <c r="D3" s="16"/>
      <c r="E3" s="16"/>
      <c r="F3" s="16"/>
      <c r="G3" s="16"/>
      <c r="H3" s="16"/>
      <c r="I3" s="16"/>
    </row>
    <row r="4" spans="1:13" s="17" customFormat="1" ht="24.9" customHeight="1">
      <c r="A4" s="169" t="s">
        <v>1593</v>
      </c>
      <c r="B4" s="169" t="s">
        <v>1594</v>
      </c>
      <c r="C4" s="169" t="s">
        <v>1312</v>
      </c>
      <c r="D4" s="169" t="s">
        <v>1313</v>
      </c>
      <c r="E4" s="169" t="s">
        <v>886</v>
      </c>
      <c r="F4" s="9"/>
    </row>
    <row r="5" spans="1:13" s="1" customFormat="1" ht="20.100000000000001" customHeight="1">
      <c r="A5" s="244"/>
      <c r="B5" s="171"/>
      <c r="C5" s="171"/>
      <c r="D5" s="171"/>
      <c r="E5" s="113">
        <f>B5+C5-D5</f>
        <v>0</v>
      </c>
      <c r="F5" s="245"/>
    </row>
    <row r="6" spans="1:13" s="1" customFormat="1" ht="20.100000000000001" customHeight="1">
      <c r="A6" s="244"/>
      <c r="B6" s="12"/>
      <c r="C6" s="171"/>
      <c r="D6" s="171"/>
      <c r="E6" s="113">
        <f>B6+C6-D6</f>
        <v>0</v>
      </c>
      <c r="F6" s="245"/>
    </row>
    <row r="7" spans="1:13" s="1" customFormat="1" ht="20.100000000000001" customHeight="1">
      <c r="A7" s="26" t="s">
        <v>632</v>
      </c>
      <c r="B7" s="14">
        <f>SUM(B5:B6)</f>
        <v>0</v>
      </c>
      <c r="C7" s="14">
        <f t="shared" ref="C7:E7" si="0">SUM(C5:C6)</f>
        <v>0</v>
      </c>
      <c r="D7" s="14">
        <f t="shared" si="0"/>
        <v>0</v>
      </c>
      <c r="E7" s="14">
        <f t="shared" si="0"/>
        <v>0</v>
      </c>
      <c r="F7" s="245"/>
    </row>
    <row r="8" spans="1:13" s="1" customFormat="1" ht="20.100000000000001" customHeight="1">
      <c r="A8" s="112" t="s">
        <v>623</v>
      </c>
      <c r="B8" s="246"/>
      <c r="C8" s="124"/>
      <c r="D8" s="124"/>
      <c r="E8" s="113"/>
      <c r="F8" s="245"/>
    </row>
    <row r="9" spans="1:13" s="1" customFormat="1" ht="20.100000000000001" customHeight="1">
      <c r="A9" s="109"/>
      <c r="B9" s="247"/>
      <c r="C9" s="125"/>
      <c r="D9" s="125"/>
      <c r="E9" s="115">
        <f>E7-E8</f>
        <v>0</v>
      </c>
      <c r="F9" s="245"/>
    </row>
    <row r="10" spans="1:13" s="1" customFormat="1" ht="20.100000000000001" customHeight="1">
      <c r="A10" s="23"/>
      <c r="B10" s="247"/>
      <c r="C10" s="125"/>
      <c r="D10" s="248"/>
      <c r="E10" s="248" t="str">
        <f>IF(E9=0,"OK","NO")</f>
        <v>OK</v>
      </c>
      <c r="F10" s="245"/>
    </row>
    <row r="11" spans="1:13" s="1" customFormat="1" ht="20.100000000000001" customHeight="1">
      <c r="A11" s="27"/>
      <c r="B11" s="27"/>
      <c r="C11" s="249"/>
      <c r="D11" s="249"/>
      <c r="E11" s="27"/>
    </row>
    <row r="12" spans="1:13" s="3" customFormat="1" ht="20.100000000000001" customHeight="1">
      <c r="A12" s="209" t="s">
        <v>1595</v>
      </c>
      <c r="F12" s="1"/>
      <c r="G12" s="1"/>
      <c r="H12" s="1"/>
      <c r="I12" s="1"/>
      <c r="J12" s="1"/>
      <c r="K12" s="1"/>
      <c r="L12" s="1"/>
      <c r="M12" s="1"/>
    </row>
    <row r="13" spans="1:13" s="3" customFormat="1" ht="20.100000000000001" customHeight="1">
      <c r="A13" s="209" t="s">
        <v>1596</v>
      </c>
      <c r="F13" s="1"/>
      <c r="G13" s="1"/>
      <c r="H13" s="1"/>
      <c r="I13" s="1"/>
      <c r="J13" s="1"/>
      <c r="K13" s="1"/>
      <c r="L13" s="1"/>
      <c r="M13" s="1"/>
    </row>
    <row r="14" spans="1:13" s="3" customFormat="1" ht="20.100000000000001" customHeight="1">
      <c r="A14" s="209" t="s">
        <v>1597</v>
      </c>
    </row>
  </sheetData>
  <phoneticPr fontId="78" type="noConversion"/>
  <hyperlinks>
    <hyperlink ref="E1" location="目录!A1" display="BACK"/>
  </hyperlinks>
  <pageMargins left="0.51180555555555596" right="0.51180555555555596" top="0.98402777777777795" bottom="0.98402777777777795" header="0.51180555555555596" footer="0.51180555555555596"/>
  <pageSetup paperSize="9" orientation="landscape" blackAndWhite="1"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9"/>
  <dimension ref="A1:G105"/>
  <sheetViews>
    <sheetView view="pageBreakPreview" zoomScaleNormal="100" zoomScaleSheetLayoutView="100" workbookViewId="0">
      <selection activeCell="B13" sqref="B13"/>
    </sheetView>
  </sheetViews>
  <sheetFormatPr defaultColWidth="9" defaultRowHeight="20.100000000000001" customHeight="1"/>
  <cols>
    <col min="1" max="1" width="24.69921875" style="5" customWidth="1"/>
    <col min="2" max="2" width="24.59765625" style="5" customWidth="1"/>
    <col min="3" max="3" width="26.5" style="5" customWidth="1"/>
    <col min="4" max="4" width="17.59765625" style="5" customWidth="1"/>
    <col min="5" max="5" width="23.59765625" style="5" customWidth="1"/>
    <col min="6" max="6" width="25.3984375" style="5" customWidth="1"/>
    <col min="7" max="16384" width="9" style="5"/>
  </cols>
  <sheetData>
    <row r="1" spans="1:7" s="16" customFormat="1" ht="24.9" customHeight="1">
      <c r="A1" s="6" t="s">
        <v>145</v>
      </c>
      <c r="B1" s="7">
        <f>基础信息!B6</f>
        <v>0</v>
      </c>
      <c r="E1" s="900" t="s">
        <v>146</v>
      </c>
    </row>
    <row r="2" spans="1:7" s="16" customFormat="1" ht="24.9" customHeight="1">
      <c r="A2" s="6" t="s">
        <v>147</v>
      </c>
      <c r="B2" s="7">
        <f>基础信息!B9</f>
        <v>0</v>
      </c>
    </row>
    <row r="3" spans="1:7" s="122" customFormat="1" ht="24.9" customHeight="1">
      <c r="A3" s="68" t="s">
        <v>148</v>
      </c>
      <c r="B3" s="68" t="s">
        <v>1598</v>
      </c>
      <c r="C3" s="16"/>
      <c r="D3" s="16"/>
      <c r="E3" s="16"/>
    </row>
    <row r="4" spans="1:7" s="210" customFormat="1" ht="24.9" customHeight="1">
      <c r="A4" s="214" t="s">
        <v>1599</v>
      </c>
      <c r="B4" s="215"/>
      <c r="C4" s="215"/>
      <c r="D4" s="215"/>
    </row>
    <row r="5" spans="1:7" s="211" customFormat="1" ht="24.9" customHeight="1">
      <c r="A5" s="175" t="s">
        <v>968</v>
      </c>
      <c r="B5" s="175" t="s">
        <v>969</v>
      </c>
      <c r="C5" s="175" t="s">
        <v>1190</v>
      </c>
      <c r="D5" s="215"/>
    </row>
    <row r="6" spans="1:7" s="212" customFormat="1" ht="20.100000000000001" customHeight="1">
      <c r="A6" s="176" t="s">
        <v>1600</v>
      </c>
      <c r="B6" s="216"/>
      <c r="C6" s="216"/>
      <c r="D6" s="217"/>
    </row>
    <row r="7" spans="1:7" s="212" customFormat="1" ht="20.100000000000001" customHeight="1">
      <c r="A7" s="176" t="s">
        <v>1435</v>
      </c>
      <c r="B7" s="216"/>
      <c r="C7" s="216"/>
      <c r="D7" s="217"/>
    </row>
    <row r="8" spans="1:7" s="212" customFormat="1" ht="38.25" customHeight="1">
      <c r="A8" s="176" t="s">
        <v>1601</v>
      </c>
      <c r="B8" s="216"/>
      <c r="C8" s="216"/>
      <c r="D8" s="217"/>
    </row>
    <row r="9" spans="1:7" s="212" customFormat="1" ht="20.100000000000001" customHeight="1">
      <c r="A9" s="176" t="s">
        <v>1602</v>
      </c>
      <c r="B9" s="216"/>
      <c r="C9" s="216"/>
      <c r="D9" s="217"/>
      <c r="G9" s="3"/>
    </row>
    <row r="10" spans="1:7" s="212" customFormat="1" ht="20.100000000000001" customHeight="1">
      <c r="A10" s="176" t="s">
        <v>979</v>
      </c>
      <c r="B10" s="218">
        <f>SUM(B6:B9)</f>
        <v>0</v>
      </c>
      <c r="C10" s="218">
        <f>SUM(C6:C9)</f>
        <v>0</v>
      </c>
      <c r="D10" s="217"/>
    </row>
    <row r="11" spans="1:7" s="212" customFormat="1" ht="28.5" customHeight="1">
      <c r="A11" s="176" t="s">
        <v>1603</v>
      </c>
      <c r="B11" s="216"/>
      <c r="C11" s="216"/>
      <c r="D11" s="217"/>
    </row>
    <row r="12" spans="1:7" s="212" customFormat="1" ht="20.100000000000001" customHeight="1">
      <c r="A12" s="176" t="s">
        <v>961</v>
      </c>
      <c r="B12" s="218">
        <f>B10-B11</f>
        <v>0</v>
      </c>
      <c r="C12" s="218">
        <f>C10-C11</f>
        <v>0</v>
      </c>
      <c r="D12" s="217"/>
    </row>
    <row r="13" spans="1:7" s="183" customFormat="1" ht="20.100000000000001" customHeight="1">
      <c r="A13" s="219" t="s">
        <v>623</v>
      </c>
      <c r="B13" s="220"/>
      <c r="C13" s="187"/>
    </row>
    <row r="14" spans="1:7" s="183" customFormat="1" ht="20.100000000000001" customHeight="1">
      <c r="A14" s="219"/>
      <c r="B14" s="220">
        <f>B12-B13</f>
        <v>0</v>
      </c>
      <c r="C14" s="187"/>
    </row>
    <row r="15" spans="1:7" s="183" customFormat="1" ht="20.100000000000001" customHeight="1">
      <c r="A15" s="221"/>
      <c r="B15" s="221" t="str">
        <f>IF(B14=0,"OK","NO")</f>
        <v>OK</v>
      </c>
      <c r="C15" s="196"/>
    </row>
    <row r="16" spans="1:7" s="212" customFormat="1" ht="20.100000000000001" customHeight="1">
      <c r="A16" s="222" t="s">
        <v>1604</v>
      </c>
      <c r="B16" s="217"/>
      <c r="C16" s="217"/>
      <c r="D16" s="217"/>
    </row>
    <row r="17" spans="1:4" s="212" customFormat="1" ht="20.100000000000001" customHeight="1">
      <c r="A17" s="222" t="s">
        <v>1605</v>
      </c>
      <c r="B17" s="217"/>
      <c r="C17" s="217"/>
      <c r="D17" s="217"/>
    </row>
    <row r="18" spans="1:4" s="212" customFormat="1" ht="20.100000000000001" customHeight="1">
      <c r="A18" s="223" t="s">
        <v>1606</v>
      </c>
      <c r="B18" s="217"/>
      <c r="C18" s="217"/>
      <c r="D18" s="217"/>
    </row>
    <row r="19" spans="1:4" s="212" customFormat="1" ht="20.100000000000001" customHeight="1">
      <c r="A19" s="224" t="s">
        <v>1607</v>
      </c>
      <c r="B19" s="217"/>
      <c r="C19" s="217"/>
      <c r="D19" s="217"/>
    </row>
    <row r="20" spans="1:4" s="212" customFormat="1" ht="20.100000000000001" customHeight="1">
      <c r="A20" s="225" t="s">
        <v>1608</v>
      </c>
      <c r="B20" s="225" t="s">
        <v>1609</v>
      </c>
      <c r="C20" s="225" t="s">
        <v>1610</v>
      </c>
      <c r="D20" s="217"/>
    </row>
    <row r="21" spans="1:4" s="212" customFormat="1" ht="20.100000000000001" customHeight="1">
      <c r="A21" s="226" t="s">
        <v>1123</v>
      </c>
      <c r="B21" s="227"/>
      <c r="C21" s="227"/>
      <c r="D21" s="217"/>
    </row>
    <row r="22" spans="1:4" s="212" customFormat="1" ht="31.5" customHeight="1">
      <c r="A22" s="226" t="s">
        <v>1611</v>
      </c>
      <c r="B22" s="227"/>
      <c r="C22" s="227"/>
      <c r="D22" s="217"/>
    </row>
    <row r="23" spans="1:4" s="212" customFormat="1" ht="20.100000000000001" customHeight="1">
      <c r="A23" s="228" t="s">
        <v>1612</v>
      </c>
      <c r="B23" s="227"/>
      <c r="C23" s="227"/>
      <c r="D23" s="217"/>
    </row>
    <row r="24" spans="1:4" s="212" customFormat="1" ht="20.100000000000001" customHeight="1">
      <c r="A24" s="228" t="s">
        <v>1613</v>
      </c>
      <c r="B24" s="227"/>
      <c r="C24" s="227"/>
      <c r="D24" s="217"/>
    </row>
    <row r="25" spans="1:4" s="212" customFormat="1" ht="20.100000000000001" customHeight="1">
      <c r="A25" s="228" t="s">
        <v>1614</v>
      </c>
      <c r="B25" s="227"/>
      <c r="C25" s="227"/>
      <c r="D25" s="217"/>
    </row>
    <row r="26" spans="1:4" s="212" customFormat="1" ht="20.100000000000001" customHeight="1">
      <c r="A26" s="228" t="s">
        <v>1615</v>
      </c>
      <c r="B26" s="227"/>
      <c r="C26" s="227"/>
      <c r="D26" s="217"/>
    </row>
    <row r="27" spans="1:4" s="212" customFormat="1" ht="27" customHeight="1">
      <c r="A27" s="226" t="s">
        <v>1616</v>
      </c>
      <c r="B27" s="227"/>
      <c r="C27" s="227"/>
      <c r="D27" s="217"/>
    </row>
    <row r="28" spans="1:4" s="212" customFormat="1" ht="20.100000000000001" customHeight="1">
      <c r="A28" s="228" t="s">
        <v>1617</v>
      </c>
      <c r="B28" s="227"/>
      <c r="C28" s="227"/>
      <c r="D28" s="217"/>
    </row>
    <row r="29" spans="1:4" s="212" customFormat="1" ht="20.100000000000001" customHeight="1">
      <c r="A29" s="229"/>
      <c r="B29" s="176"/>
      <c r="C29" s="176"/>
      <c r="D29" s="217"/>
    </row>
    <row r="30" spans="1:4" s="212" customFormat="1" ht="20.100000000000001" customHeight="1">
      <c r="A30" s="229"/>
      <c r="B30" s="176"/>
      <c r="C30" s="176"/>
      <c r="D30" s="217"/>
    </row>
    <row r="31" spans="1:4" s="212" customFormat="1" ht="20.100000000000001" customHeight="1">
      <c r="A31" s="226" t="s">
        <v>1618</v>
      </c>
      <c r="B31" s="227"/>
      <c r="C31" s="227"/>
      <c r="D31" s="217"/>
    </row>
    <row r="32" spans="1:4" s="212" customFormat="1" ht="20.100000000000001" customHeight="1">
      <c r="A32" s="228" t="s">
        <v>1619</v>
      </c>
      <c r="B32" s="227"/>
      <c r="C32" s="227"/>
      <c r="D32" s="217"/>
    </row>
    <row r="33" spans="1:4" s="212" customFormat="1" ht="20.100000000000001" customHeight="1">
      <c r="A33" s="228" t="s">
        <v>1620</v>
      </c>
      <c r="B33" s="227"/>
      <c r="C33" s="227"/>
      <c r="D33" s="217"/>
    </row>
    <row r="34" spans="1:4" s="212" customFormat="1" ht="20.100000000000001" customHeight="1">
      <c r="A34" s="228" t="s">
        <v>870</v>
      </c>
      <c r="B34" s="227"/>
      <c r="C34" s="227"/>
      <c r="D34" s="217"/>
    </row>
    <row r="35" spans="1:4" s="212" customFormat="1" ht="20.100000000000001" customHeight="1">
      <c r="A35" s="226" t="s">
        <v>1621</v>
      </c>
      <c r="B35" s="227"/>
      <c r="C35" s="227"/>
      <c r="D35" s="217"/>
    </row>
    <row r="36" spans="1:4" s="212" customFormat="1" ht="20.100000000000001" customHeight="1">
      <c r="A36" s="230"/>
      <c r="B36" s="217"/>
      <c r="C36" s="217"/>
      <c r="D36" s="217"/>
    </row>
    <row r="37" spans="1:4" s="212" customFormat="1" ht="20.100000000000001" customHeight="1">
      <c r="A37" s="231" t="s">
        <v>1622</v>
      </c>
      <c r="B37" s="217"/>
      <c r="C37" s="217"/>
      <c r="D37" s="217"/>
    </row>
    <row r="38" spans="1:4" s="212" customFormat="1" ht="20.100000000000001" customHeight="1">
      <c r="A38" s="225" t="s">
        <v>1608</v>
      </c>
      <c r="B38" s="225" t="s">
        <v>1609</v>
      </c>
      <c r="C38" s="225" t="s">
        <v>1610</v>
      </c>
      <c r="D38" s="217"/>
    </row>
    <row r="39" spans="1:4" s="212" customFormat="1" ht="20.100000000000001" customHeight="1">
      <c r="A39" s="226" t="s">
        <v>1123</v>
      </c>
      <c r="B39" s="227"/>
      <c r="C39" s="227"/>
      <c r="D39" s="217"/>
    </row>
    <row r="40" spans="1:4" s="212" customFormat="1" ht="31.5" customHeight="1">
      <c r="A40" s="226" t="s">
        <v>1611</v>
      </c>
      <c r="B40" s="227"/>
      <c r="C40" s="227"/>
      <c r="D40" s="217"/>
    </row>
    <row r="41" spans="1:4" s="212" customFormat="1" ht="20.100000000000001" customHeight="1">
      <c r="A41" s="228" t="s">
        <v>1623</v>
      </c>
      <c r="B41" s="227"/>
      <c r="C41" s="227"/>
      <c r="D41" s="217"/>
    </row>
    <row r="42" spans="1:4" s="212" customFormat="1" ht="20.100000000000001" customHeight="1">
      <c r="A42" s="228" t="s">
        <v>1624</v>
      </c>
      <c r="B42" s="227"/>
      <c r="C42" s="227"/>
      <c r="D42" s="217"/>
    </row>
    <row r="43" spans="1:4" s="212" customFormat="1" ht="31.5" customHeight="1">
      <c r="A43" s="226" t="s">
        <v>1616</v>
      </c>
      <c r="B43" s="227"/>
      <c r="C43" s="227"/>
      <c r="D43" s="217"/>
    </row>
    <row r="44" spans="1:4" s="212" customFormat="1" ht="35.25" customHeight="1">
      <c r="A44" s="228" t="s">
        <v>1625</v>
      </c>
      <c r="B44" s="227"/>
      <c r="C44" s="227"/>
      <c r="D44" s="217"/>
    </row>
    <row r="45" spans="1:4" s="212" customFormat="1" ht="39.75" customHeight="1">
      <c r="A45" s="228" t="s">
        <v>1626</v>
      </c>
      <c r="B45" s="227"/>
      <c r="C45" s="227"/>
      <c r="D45" s="217"/>
    </row>
    <row r="46" spans="1:4" s="212" customFormat="1" ht="20.100000000000001" customHeight="1">
      <c r="A46" s="226" t="s">
        <v>1618</v>
      </c>
      <c r="B46" s="227"/>
      <c r="C46" s="227"/>
      <c r="D46" s="217"/>
    </row>
    <row r="47" spans="1:4" s="212" customFormat="1" ht="20.100000000000001" customHeight="1">
      <c r="A47" s="229"/>
      <c r="B47" s="227"/>
      <c r="C47" s="227"/>
      <c r="D47" s="217"/>
    </row>
    <row r="48" spans="1:4" s="212" customFormat="1" ht="20.100000000000001" customHeight="1">
      <c r="A48" s="229"/>
      <c r="B48" s="227"/>
      <c r="C48" s="227"/>
      <c r="D48" s="217"/>
    </row>
    <row r="49" spans="1:4" s="212" customFormat="1" ht="20.100000000000001" customHeight="1">
      <c r="A49" s="228" t="s">
        <v>870</v>
      </c>
      <c r="B49" s="227"/>
      <c r="C49" s="227"/>
      <c r="D49" s="217"/>
    </row>
    <row r="50" spans="1:4" s="212" customFormat="1" ht="20.100000000000001" customHeight="1">
      <c r="A50" s="226" t="s">
        <v>1621</v>
      </c>
      <c r="B50" s="227"/>
      <c r="C50" s="227"/>
      <c r="D50" s="217"/>
    </row>
    <row r="51" spans="1:4" s="212" customFormat="1" ht="20.100000000000001" customHeight="1">
      <c r="A51" s="1078" t="s">
        <v>1627</v>
      </c>
      <c r="B51" s="1078"/>
      <c r="C51" s="1078"/>
      <c r="D51" s="217"/>
    </row>
    <row r="52" spans="1:4" s="212" customFormat="1" ht="20.100000000000001" customHeight="1">
      <c r="A52" s="232" t="s">
        <v>1628</v>
      </c>
      <c r="B52" s="217"/>
      <c r="C52" s="217"/>
      <c r="D52" s="217"/>
    </row>
    <row r="53" spans="1:4" s="212" customFormat="1" ht="20.100000000000001" customHeight="1">
      <c r="A53" s="225" t="s">
        <v>1608</v>
      </c>
      <c r="B53" s="225" t="s">
        <v>1609</v>
      </c>
      <c r="C53" s="225" t="s">
        <v>1610</v>
      </c>
      <c r="D53" s="217"/>
    </row>
    <row r="54" spans="1:4" s="212" customFormat="1" ht="20.100000000000001" customHeight="1">
      <c r="A54" s="233" t="s">
        <v>1629</v>
      </c>
      <c r="B54" s="227"/>
      <c r="C54" s="227"/>
      <c r="D54" s="217"/>
    </row>
    <row r="55" spans="1:4" s="212" customFormat="1" ht="31.5" customHeight="1">
      <c r="A55" s="233" t="s">
        <v>1630</v>
      </c>
      <c r="B55" s="227"/>
      <c r="C55" s="227"/>
      <c r="D55" s="217"/>
    </row>
    <row r="56" spans="1:4" s="212" customFormat="1" ht="31.5" customHeight="1">
      <c r="A56" s="233" t="s">
        <v>1631</v>
      </c>
      <c r="B56" s="227"/>
      <c r="C56" s="227"/>
      <c r="D56" s="217"/>
    </row>
    <row r="57" spans="1:4" s="212" customFormat="1" ht="20.100000000000001" customHeight="1">
      <c r="A57" s="233" t="s">
        <v>1632</v>
      </c>
      <c r="B57" s="227"/>
      <c r="C57" s="227"/>
      <c r="D57" s="217"/>
    </row>
    <row r="58" spans="1:4" s="212" customFormat="1" ht="20.100000000000001" customHeight="1">
      <c r="A58" s="233" t="s">
        <v>1633</v>
      </c>
      <c r="B58" s="227"/>
      <c r="C58" s="227"/>
      <c r="D58" s="217"/>
    </row>
    <row r="59" spans="1:4" s="212" customFormat="1" ht="20.100000000000001" customHeight="1">
      <c r="A59" s="1081" t="s">
        <v>1634</v>
      </c>
      <c r="B59" s="1081"/>
      <c r="C59" s="1081"/>
      <c r="D59" s="217"/>
    </row>
    <row r="60" spans="1:4" s="212" customFormat="1" ht="20.100000000000001" customHeight="1">
      <c r="A60" s="1076" t="s">
        <v>1635</v>
      </c>
      <c r="B60" s="1076"/>
      <c r="C60" s="1076"/>
      <c r="D60" s="217"/>
    </row>
    <row r="61" spans="1:4" s="212" customFormat="1" ht="55.5" customHeight="1">
      <c r="A61" s="1077" t="s">
        <v>1636</v>
      </c>
      <c r="B61" s="1077"/>
      <c r="C61" s="1077"/>
      <c r="D61" s="217"/>
    </row>
    <row r="62" spans="1:4" s="212" customFormat="1" ht="20.100000000000001" customHeight="1">
      <c r="A62" s="236" t="s">
        <v>1637</v>
      </c>
      <c r="B62" s="217"/>
      <c r="C62" s="217"/>
      <c r="D62" s="217"/>
    </row>
    <row r="63" spans="1:4" s="212" customFormat="1" ht="20.100000000000001" customHeight="1">
      <c r="A63" s="237" t="s">
        <v>877</v>
      </c>
      <c r="B63" s="237" t="s">
        <v>1638</v>
      </c>
      <c r="C63" s="217"/>
      <c r="D63" s="217"/>
    </row>
    <row r="64" spans="1:4" s="212" customFormat="1" ht="20.100000000000001" customHeight="1">
      <c r="A64" s="238" t="s">
        <v>1639</v>
      </c>
      <c r="B64" s="239"/>
      <c r="C64" s="217"/>
      <c r="D64" s="217"/>
    </row>
    <row r="65" spans="1:4" s="212" customFormat="1" ht="20.100000000000001" customHeight="1">
      <c r="A65" s="238" t="s">
        <v>1640</v>
      </c>
      <c r="B65" s="239"/>
      <c r="C65" s="217"/>
      <c r="D65" s="217"/>
    </row>
    <row r="66" spans="1:4" s="212" customFormat="1" ht="20.100000000000001" customHeight="1">
      <c r="A66" s="238" t="s">
        <v>1641</v>
      </c>
      <c r="B66" s="239"/>
      <c r="C66" s="217"/>
      <c r="D66" s="217"/>
    </row>
    <row r="67" spans="1:4" s="212" customFormat="1" ht="20.100000000000001" customHeight="1">
      <c r="A67" s="238" t="s">
        <v>1642</v>
      </c>
      <c r="B67" s="239"/>
      <c r="C67" s="217"/>
      <c r="D67" s="217"/>
    </row>
    <row r="68" spans="1:4" s="212" customFormat="1" ht="20.100000000000001" customHeight="1">
      <c r="A68" s="238" t="s">
        <v>882</v>
      </c>
      <c r="B68" s="238"/>
      <c r="C68" s="217"/>
      <c r="D68" s="217"/>
    </row>
    <row r="69" spans="1:4" s="212" customFormat="1" ht="20.100000000000001" customHeight="1">
      <c r="A69" s="240" t="s">
        <v>1643</v>
      </c>
      <c r="B69" s="217"/>
      <c r="C69" s="217"/>
      <c r="D69" s="217"/>
    </row>
    <row r="70" spans="1:4" s="212" customFormat="1" ht="20.100000000000001" customHeight="1">
      <c r="A70" s="1079" t="s">
        <v>968</v>
      </c>
      <c r="B70" s="1079" t="s">
        <v>1644</v>
      </c>
      <c r="C70" s="1079"/>
      <c r="D70" s="217"/>
    </row>
    <row r="71" spans="1:4" s="212" customFormat="1" ht="20.100000000000001" customHeight="1">
      <c r="A71" s="1079"/>
      <c r="B71" s="241" t="s">
        <v>969</v>
      </c>
      <c r="C71" s="241" t="s">
        <v>1190</v>
      </c>
      <c r="D71" s="217"/>
    </row>
    <row r="72" spans="1:4" s="212" customFormat="1" ht="20.100000000000001" customHeight="1">
      <c r="A72" s="242" t="s">
        <v>1645</v>
      </c>
      <c r="B72" s="242"/>
      <c r="C72" s="242"/>
      <c r="D72" s="217"/>
    </row>
    <row r="73" spans="1:4" s="212" customFormat="1" ht="20.100000000000001" customHeight="1">
      <c r="A73" s="242" t="s">
        <v>1646</v>
      </c>
      <c r="B73" s="242"/>
      <c r="C73" s="242"/>
      <c r="D73" s="217"/>
    </row>
    <row r="74" spans="1:4" s="212" customFormat="1" ht="20.100000000000001" customHeight="1">
      <c r="A74" s="242" t="s">
        <v>1647</v>
      </c>
      <c r="B74" s="242"/>
      <c r="C74" s="242"/>
      <c r="D74" s="217"/>
    </row>
    <row r="75" spans="1:4" s="212" customFormat="1" ht="20.100000000000001" customHeight="1">
      <c r="A75" s="242" t="s">
        <v>1648</v>
      </c>
      <c r="B75" s="242"/>
      <c r="C75" s="242"/>
      <c r="D75" s="217"/>
    </row>
    <row r="76" spans="1:4" s="212" customFormat="1" ht="20.100000000000001" customHeight="1">
      <c r="A76" s="242" t="s">
        <v>870</v>
      </c>
      <c r="B76" s="242"/>
      <c r="C76" s="242"/>
      <c r="D76" s="217"/>
    </row>
    <row r="77" spans="1:4" s="212" customFormat="1" ht="20.100000000000001" customHeight="1">
      <c r="A77" s="242" t="s">
        <v>1649</v>
      </c>
      <c r="B77" s="242"/>
      <c r="C77" s="242"/>
      <c r="D77" s="217"/>
    </row>
    <row r="78" spans="1:4" s="212" customFormat="1" ht="20.100000000000001" customHeight="1">
      <c r="A78" s="242" t="s">
        <v>1647</v>
      </c>
      <c r="B78" s="242"/>
      <c r="C78" s="242"/>
      <c r="D78" s="217"/>
    </row>
    <row r="79" spans="1:4" s="212" customFormat="1" ht="20.100000000000001" customHeight="1">
      <c r="A79" s="242" t="s">
        <v>1648</v>
      </c>
      <c r="B79" s="242"/>
      <c r="C79" s="242"/>
      <c r="D79" s="217"/>
    </row>
    <row r="80" spans="1:4" s="212" customFormat="1" ht="20.100000000000001" customHeight="1">
      <c r="A80" s="242" t="s">
        <v>870</v>
      </c>
      <c r="B80" s="242"/>
      <c r="C80" s="242"/>
      <c r="D80" s="217"/>
    </row>
    <row r="81" spans="1:4" s="212" customFormat="1" ht="20.100000000000001" customHeight="1">
      <c r="A81" s="242" t="s">
        <v>881</v>
      </c>
      <c r="B81" s="242"/>
      <c r="C81" s="242"/>
      <c r="D81" s="217"/>
    </row>
    <row r="82" spans="1:4" s="212" customFormat="1" ht="20.100000000000001" customHeight="1">
      <c r="A82" s="243" t="s">
        <v>1650</v>
      </c>
      <c r="B82" s="243"/>
      <c r="C82" s="243"/>
      <c r="D82" s="217"/>
    </row>
    <row r="83" spans="1:4" s="212" customFormat="1" ht="20.100000000000001" customHeight="1">
      <c r="A83" s="1076" t="s">
        <v>1651</v>
      </c>
      <c r="B83" s="1076"/>
      <c r="C83" s="1076"/>
      <c r="D83" s="217"/>
    </row>
    <row r="84" spans="1:4" s="212" customFormat="1" ht="20.100000000000001" customHeight="1">
      <c r="A84" s="1076" t="s">
        <v>1652</v>
      </c>
      <c r="B84" s="1076"/>
      <c r="C84" s="1076"/>
      <c r="D84" s="217"/>
    </row>
    <row r="85" spans="1:4" s="212" customFormat="1" ht="20.100000000000001" customHeight="1">
      <c r="A85" s="240" t="s">
        <v>1653</v>
      </c>
      <c r="B85" s="217"/>
      <c r="C85" s="217"/>
      <c r="D85" s="217"/>
    </row>
    <row r="86" spans="1:4" s="212" customFormat="1" ht="20.100000000000001" customHeight="1">
      <c r="A86" s="225" t="s">
        <v>877</v>
      </c>
      <c r="B86" s="225" t="s">
        <v>773</v>
      </c>
      <c r="C86" s="225" t="s">
        <v>1294</v>
      </c>
      <c r="D86" s="217"/>
    </row>
    <row r="87" spans="1:4" s="212" customFormat="1" ht="20.100000000000001" customHeight="1">
      <c r="A87" s="242" t="s">
        <v>1654</v>
      </c>
      <c r="B87" s="176"/>
      <c r="C87" s="176"/>
      <c r="D87" s="217"/>
    </row>
    <row r="88" spans="1:4" s="212" customFormat="1" ht="20.100000000000001" customHeight="1">
      <c r="A88" s="242" t="s">
        <v>1655</v>
      </c>
      <c r="B88" s="176"/>
      <c r="C88" s="176"/>
      <c r="D88" s="217"/>
    </row>
    <row r="89" spans="1:4" s="212" customFormat="1" ht="20.100000000000001" customHeight="1">
      <c r="A89" s="242" t="s">
        <v>1656</v>
      </c>
      <c r="B89" s="176"/>
      <c r="C89" s="176"/>
      <c r="D89" s="217"/>
    </row>
    <row r="90" spans="1:4" s="212" customFormat="1" ht="20.100000000000001" customHeight="1">
      <c r="A90" s="242" t="s">
        <v>1657</v>
      </c>
      <c r="B90" s="176"/>
      <c r="C90" s="176"/>
      <c r="D90" s="217"/>
    </row>
    <row r="91" spans="1:4" s="212" customFormat="1" ht="20.100000000000001" customHeight="1">
      <c r="A91" s="242" t="s">
        <v>1658</v>
      </c>
      <c r="B91" s="176"/>
      <c r="C91" s="176"/>
      <c r="D91" s="217"/>
    </row>
    <row r="92" spans="1:4" s="212" customFormat="1" ht="20.100000000000001" customHeight="1">
      <c r="A92" s="242" t="s">
        <v>870</v>
      </c>
      <c r="B92" s="176"/>
      <c r="C92" s="176"/>
      <c r="D92" s="217"/>
    </row>
    <row r="93" spans="1:4" s="212" customFormat="1" ht="20.100000000000001" customHeight="1">
      <c r="A93" s="240" t="s">
        <v>1659</v>
      </c>
      <c r="B93" s="217"/>
      <c r="C93" s="217"/>
      <c r="D93" s="217"/>
    </row>
    <row r="94" spans="1:4" s="212" customFormat="1" ht="20.100000000000001" customHeight="1">
      <c r="A94" s="1123" t="s">
        <v>1260</v>
      </c>
      <c r="B94" s="1123" t="s">
        <v>1660</v>
      </c>
      <c r="C94" s="1123" t="s">
        <v>1661</v>
      </c>
      <c r="D94" s="1123"/>
    </row>
    <row r="95" spans="1:4" s="212" customFormat="1" ht="20.100000000000001" customHeight="1">
      <c r="A95" s="1123"/>
      <c r="B95" s="1123"/>
      <c r="C95" s="237" t="s">
        <v>1662</v>
      </c>
      <c r="D95" s="237" t="s">
        <v>1663</v>
      </c>
    </row>
    <row r="96" spans="1:4" s="212" customFormat="1" ht="20.100000000000001" customHeight="1">
      <c r="A96" s="238" t="s">
        <v>1664</v>
      </c>
      <c r="B96" s="239"/>
      <c r="C96" s="239"/>
      <c r="D96" s="239"/>
    </row>
    <row r="97" spans="1:4" s="212" customFormat="1" ht="20.100000000000001" customHeight="1">
      <c r="A97" s="238" t="s">
        <v>1665</v>
      </c>
      <c r="B97" s="239"/>
      <c r="C97" s="239"/>
      <c r="D97" s="239"/>
    </row>
    <row r="98" spans="1:4" s="212" customFormat="1" ht="20.100000000000001" customHeight="1">
      <c r="A98" s="239" t="s">
        <v>1656</v>
      </c>
      <c r="B98" s="239"/>
      <c r="C98" s="239"/>
      <c r="D98" s="239"/>
    </row>
    <row r="99" spans="1:4" s="212" customFormat="1" ht="20.100000000000001" customHeight="1">
      <c r="A99" s="238" t="s">
        <v>1666</v>
      </c>
      <c r="B99" s="239"/>
      <c r="C99" s="239"/>
      <c r="D99" s="239"/>
    </row>
    <row r="100" spans="1:4" s="212" customFormat="1" ht="20.100000000000001" customHeight="1">
      <c r="A100" s="238" t="s">
        <v>1667</v>
      </c>
      <c r="B100" s="239"/>
      <c r="C100" s="239"/>
      <c r="D100" s="239"/>
    </row>
    <row r="101" spans="1:4" s="212" customFormat="1" ht="20.100000000000001" customHeight="1">
      <c r="A101" s="232" t="s">
        <v>1088</v>
      </c>
      <c r="B101" s="217"/>
      <c r="C101" s="217"/>
      <c r="D101" s="217"/>
    </row>
    <row r="102" spans="1:4" s="212" customFormat="1" ht="28.5" customHeight="1">
      <c r="A102" s="1077" t="s">
        <v>1668</v>
      </c>
      <c r="B102" s="1077"/>
      <c r="C102" s="1077"/>
      <c r="D102" s="1077"/>
    </row>
    <row r="103" spans="1:4" s="212" customFormat="1" ht="20.100000000000001" customHeight="1">
      <c r="A103" s="1077" t="s">
        <v>1669</v>
      </c>
      <c r="B103" s="1077"/>
      <c r="C103" s="1077"/>
      <c r="D103" s="1077"/>
    </row>
    <row r="104" spans="1:4" s="212" customFormat="1" ht="20.100000000000001" customHeight="1">
      <c r="A104" s="1076" t="s">
        <v>1670</v>
      </c>
      <c r="B104" s="1076"/>
      <c r="C104" s="1076"/>
      <c r="D104" s="1076"/>
    </row>
    <row r="105" spans="1:4" s="213" customFormat="1" ht="18" customHeight="1"/>
  </sheetData>
  <mergeCells count="14">
    <mergeCell ref="A51:C51"/>
    <mergeCell ref="A59:C59"/>
    <mergeCell ref="A60:C60"/>
    <mergeCell ref="A61:C61"/>
    <mergeCell ref="B70:C70"/>
    <mergeCell ref="A104:D104"/>
    <mergeCell ref="A70:A71"/>
    <mergeCell ref="A94:A95"/>
    <mergeCell ref="B94:B95"/>
    <mergeCell ref="A83:C83"/>
    <mergeCell ref="A84:C84"/>
    <mergeCell ref="C94:D94"/>
    <mergeCell ref="A102:D102"/>
    <mergeCell ref="A103:D103"/>
  </mergeCells>
  <phoneticPr fontId="78" type="noConversion"/>
  <hyperlinks>
    <hyperlink ref="E1" location="目录!A1" display="BACK"/>
  </hyperlinks>
  <pageMargins left="0.70763888888888904" right="0.70763888888888904" top="0.74791666666666701" bottom="0.74791666666666701" header="0.31388888888888899" footer="0.31388888888888899"/>
  <pageSetup paperSize="9" scale="87" orientation="portrait" blackAndWhite="1" horizontalDpi="1200" verticalDpi="1200" r:id="rId1"/>
  <rowBreaks count="2" manualBreakCount="2">
    <brk id="36" max="3" man="1"/>
    <brk id="68" max="3" man="1"/>
  </row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0"/>
  <dimension ref="A1:G19"/>
  <sheetViews>
    <sheetView view="pageBreakPreview" zoomScaleNormal="100" zoomScaleSheetLayoutView="100" workbookViewId="0">
      <selection activeCell="B14" sqref="B14"/>
    </sheetView>
  </sheetViews>
  <sheetFormatPr defaultColWidth="9" defaultRowHeight="20.100000000000001" customHeight="1"/>
  <cols>
    <col min="1" max="1" width="20" style="5" customWidth="1"/>
    <col min="2" max="5" width="24.59765625" style="5" customWidth="1"/>
    <col min="6" max="6" width="24" style="5" customWidth="1"/>
    <col min="7" max="16384" width="9" style="5"/>
  </cols>
  <sheetData>
    <row r="1" spans="1:7" s="16" customFormat="1" ht="20.100000000000001" customHeight="1">
      <c r="A1" s="6" t="s">
        <v>145</v>
      </c>
      <c r="B1" s="7">
        <f>基础信息!B6</f>
        <v>0</v>
      </c>
      <c r="D1" s="900" t="s">
        <v>146</v>
      </c>
      <c r="E1" s="19"/>
    </row>
    <row r="2" spans="1:7" s="16" customFormat="1" ht="20.100000000000001" customHeight="1">
      <c r="A2" s="6" t="s">
        <v>147</v>
      </c>
      <c r="B2" s="7">
        <f>基础信息!B9</f>
        <v>0</v>
      </c>
    </row>
    <row r="3" spans="1:7" s="122" customFormat="1" ht="20.100000000000001" customHeight="1">
      <c r="A3" s="68" t="s">
        <v>148</v>
      </c>
      <c r="B3" s="68" t="s">
        <v>1671</v>
      </c>
      <c r="C3" s="16"/>
      <c r="D3" s="16"/>
      <c r="E3" s="16"/>
      <c r="F3" s="16"/>
    </row>
    <row r="4" spans="1:7" s="182" customFormat="1" ht="13.8">
      <c r="A4" s="203" t="s">
        <v>729</v>
      </c>
      <c r="B4" s="184" t="s">
        <v>773</v>
      </c>
      <c r="C4" s="184" t="s">
        <v>1672</v>
      </c>
    </row>
    <row r="5" spans="1:7" s="202" customFormat="1" ht="20.100000000000001" customHeight="1">
      <c r="A5" s="186" t="s">
        <v>1673</v>
      </c>
      <c r="B5" s="187"/>
      <c r="C5" s="190"/>
    </row>
    <row r="6" spans="1:7" s="202" customFormat="1" ht="20.100000000000001" customHeight="1">
      <c r="A6" s="190" t="s">
        <v>1674</v>
      </c>
      <c r="B6" s="189"/>
      <c r="C6" s="190"/>
    </row>
    <row r="7" spans="1:7" s="202" customFormat="1" ht="20.100000000000001" customHeight="1">
      <c r="A7" s="190" t="s">
        <v>1675</v>
      </c>
      <c r="B7" s="189"/>
      <c r="C7" s="190"/>
    </row>
    <row r="8" spans="1:7" s="202" customFormat="1" ht="20.100000000000001" customHeight="1">
      <c r="A8" s="190" t="s">
        <v>1676</v>
      </c>
      <c r="B8" s="189"/>
      <c r="C8" s="190"/>
    </row>
    <row r="9" spans="1:7" s="202" customFormat="1" ht="20.100000000000001" customHeight="1">
      <c r="A9" s="190" t="s">
        <v>1677</v>
      </c>
      <c r="B9" s="189"/>
      <c r="C9" s="190"/>
      <c r="G9" s="204"/>
    </row>
    <row r="10" spans="1:7" s="202" customFormat="1" ht="20.100000000000001" customHeight="1">
      <c r="A10" s="190" t="s">
        <v>1678</v>
      </c>
      <c r="B10" s="189"/>
      <c r="C10" s="190"/>
    </row>
    <row r="11" spans="1:7" s="202" customFormat="1" ht="20.100000000000001" customHeight="1">
      <c r="A11" s="982" t="s">
        <v>2134</v>
      </c>
      <c r="B11" s="187"/>
      <c r="C11" s="190"/>
    </row>
    <row r="12" spans="1:7" s="202" customFormat="1" ht="20.100000000000001" customHeight="1">
      <c r="A12" s="190" t="s">
        <v>430</v>
      </c>
      <c r="B12" s="187"/>
      <c r="C12" s="190"/>
    </row>
    <row r="13" spans="1:7" s="202" customFormat="1" ht="20.100000000000001" customHeight="1">
      <c r="A13" s="186" t="s">
        <v>1300</v>
      </c>
      <c r="B13" s="188">
        <f>SUM(B5:B12)</f>
        <v>0</v>
      </c>
      <c r="C13" s="186"/>
    </row>
    <row r="14" spans="1:7" s="110" customFormat="1" ht="20.100000000000001" customHeight="1">
      <c r="A14" s="156" t="s">
        <v>1246</v>
      </c>
      <c r="B14" s="205"/>
      <c r="C14" s="99"/>
      <c r="D14" s="206"/>
    </row>
    <row r="15" spans="1:7" s="110" customFormat="1" ht="20.100000000000001" customHeight="1">
      <c r="A15" s="206"/>
      <c r="B15" s="207">
        <f>E13-B14</f>
        <v>0</v>
      </c>
      <c r="C15" s="5"/>
      <c r="D15" s="206"/>
    </row>
    <row r="16" spans="1:7" s="110" customFormat="1" ht="20.100000000000001" customHeight="1">
      <c r="A16" s="208"/>
      <c r="B16" s="208" t="str">
        <f>IF(B15=0,"OK","NO")</f>
        <v>OK</v>
      </c>
      <c r="C16" s="5"/>
      <c r="D16" s="208"/>
    </row>
    <row r="17" spans="1:5" s="202" customFormat="1" ht="20.100000000000001" customHeight="1">
      <c r="A17" s="209" t="s">
        <v>1679</v>
      </c>
      <c r="B17" s="183"/>
      <c r="C17" s="5"/>
      <c r="D17" s="183"/>
    </row>
    <row r="18" spans="1:5" s="202" customFormat="1" ht="15.6"/>
    <row r="19" spans="1:5" s="202" customFormat="1" ht="33" customHeight="1">
      <c r="A19" s="1124" t="s">
        <v>2135</v>
      </c>
      <c r="B19" s="1124"/>
      <c r="C19" s="1124"/>
      <c r="D19" s="1124"/>
      <c r="E19" s="1124"/>
    </row>
  </sheetData>
  <mergeCells count="1">
    <mergeCell ref="A19:E19"/>
  </mergeCells>
  <phoneticPr fontId="78" type="noConversion"/>
  <hyperlinks>
    <hyperlink ref="D1" location="目录!A1" display="BACK"/>
  </hyperlinks>
  <pageMargins left="0.51180555555555596" right="0.27500000000000002" top="0.70763888888888904" bottom="0.51180555555555596" header="0.27500000000000002" footer="0.27500000000000002"/>
  <pageSetup paperSize="9" orientation="landscape" blackAndWhite="1"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1"/>
  <dimension ref="A1:G25"/>
  <sheetViews>
    <sheetView view="pageBreakPreview" zoomScaleNormal="100" zoomScaleSheetLayoutView="100" workbookViewId="0">
      <selection activeCell="F8" sqref="F8"/>
    </sheetView>
  </sheetViews>
  <sheetFormatPr defaultColWidth="9" defaultRowHeight="20.100000000000001" customHeight="1"/>
  <cols>
    <col min="1" max="1" width="20" style="5" customWidth="1"/>
    <col min="2" max="2" width="24.59765625" style="5" customWidth="1"/>
    <col min="3" max="6" width="14" style="5" customWidth="1"/>
    <col min="7" max="16384" width="9" style="5"/>
  </cols>
  <sheetData>
    <row r="1" spans="1:7" s="16" customFormat="1" ht="24.9" customHeight="1">
      <c r="A1" s="6" t="s">
        <v>145</v>
      </c>
      <c r="B1" s="7">
        <f>基础信息!B6</f>
        <v>0</v>
      </c>
      <c r="E1" s="900" t="s">
        <v>146</v>
      </c>
    </row>
    <row r="2" spans="1:7" s="16" customFormat="1" ht="24.9" customHeight="1">
      <c r="A2" s="6" t="s">
        <v>147</v>
      </c>
      <c r="B2" s="7">
        <f>基础信息!B9</f>
        <v>0</v>
      </c>
    </row>
    <row r="3" spans="1:7" s="122" customFormat="1" ht="24.9" customHeight="1">
      <c r="A3" s="68" t="s">
        <v>148</v>
      </c>
      <c r="B3" s="68" t="s">
        <v>1680</v>
      </c>
      <c r="C3" s="16"/>
      <c r="D3" s="16"/>
      <c r="E3" s="16"/>
      <c r="F3" s="16"/>
    </row>
    <row r="4" spans="1:7" s="182" customFormat="1" ht="24.9" customHeight="1">
      <c r="A4" s="184" t="s">
        <v>877</v>
      </c>
      <c r="B4" s="184" t="s">
        <v>1294</v>
      </c>
      <c r="C4" s="184" t="s">
        <v>1191</v>
      </c>
      <c r="D4" s="184" t="s">
        <v>1295</v>
      </c>
      <c r="E4" s="184" t="s">
        <v>773</v>
      </c>
      <c r="F4" s="184" t="s">
        <v>1672</v>
      </c>
      <c r="G4" s="185"/>
    </row>
    <row r="5" spans="1:7" s="183" customFormat="1" ht="20.100000000000001" customHeight="1">
      <c r="A5" s="186" t="s">
        <v>1681</v>
      </c>
      <c r="B5" s="187"/>
      <c r="C5" s="187"/>
      <c r="D5" s="187"/>
      <c r="E5" s="188">
        <f>B5+C5-D5</f>
        <v>0</v>
      </c>
      <c r="F5" s="187"/>
    </row>
    <row r="6" spans="1:7" s="183" customFormat="1" ht="20.100000000000001" customHeight="1">
      <c r="A6" s="186"/>
      <c r="B6" s="189"/>
      <c r="C6" s="187"/>
      <c r="D6" s="187"/>
      <c r="E6" s="188">
        <f>B6+C6-D6</f>
        <v>0</v>
      </c>
      <c r="F6" s="189"/>
    </row>
    <row r="7" spans="1:7" s="183" customFormat="1" ht="20.100000000000001" customHeight="1">
      <c r="A7" s="190" t="s">
        <v>632</v>
      </c>
      <c r="B7" s="191">
        <f>SUM(B5:B6)</f>
        <v>0</v>
      </c>
      <c r="C7" s="191">
        <f t="shared" ref="C7:F7" si="0">SUM(C5:C6)</f>
        <v>0</v>
      </c>
      <c r="D7" s="191">
        <f t="shared" si="0"/>
        <v>0</v>
      </c>
      <c r="E7" s="191">
        <f t="shared" si="0"/>
        <v>0</v>
      </c>
      <c r="F7" s="191">
        <f t="shared" si="0"/>
        <v>0</v>
      </c>
    </row>
    <row r="8" spans="1:7" s="183" customFormat="1" ht="20.100000000000001" customHeight="1">
      <c r="A8" s="112" t="s">
        <v>623</v>
      </c>
      <c r="B8" s="192"/>
      <c r="C8" s="187"/>
      <c r="D8" s="187"/>
      <c r="E8" s="189"/>
      <c r="F8" s="113"/>
    </row>
    <row r="9" spans="1:7" s="183" customFormat="1" ht="20.100000000000001" customHeight="1">
      <c r="A9" s="109"/>
      <c r="B9" s="193"/>
      <c r="C9" s="194"/>
      <c r="D9" s="194"/>
      <c r="E9" s="195"/>
      <c r="F9" s="115">
        <f>E7-F8</f>
        <v>0</v>
      </c>
    </row>
    <row r="10" spans="1:7" s="183" customFormat="1" ht="20.100000000000001" customHeight="1">
      <c r="A10" s="23"/>
      <c r="C10" s="196"/>
      <c r="D10" s="196"/>
      <c r="E10" s="197"/>
      <c r="F10" s="23" t="str">
        <f>IF(F9=0,"OK","NO")</f>
        <v>OK</v>
      </c>
    </row>
    <row r="11" spans="1:7" s="183" customFormat="1" ht="20.100000000000001" customHeight="1">
      <c r="A11" s="197"/>
      <c r="B11" s="197"/>
      <c r="C11" s="196"/>
      <c r="D11" s="196"/>
      <c r="E11" s="197"/>
      <c r="F11" s="197"/>
    </row>
    <row r="12" spans="1:7" s="183" customFormat="1" ht="20.100000000000001" customHeight="1">
      <c r="A12" s="198" t="s">
        <v>1485</v>
      </c>
      <c r="B12" s="198"/>
      <c r="C12" s="198"/>
      <c r="D12" s="198"/>
      <c r="E12" s="198"/>
      <c r="F12" s="198"/>
    </row>
    <row r="13" spans="1:7" s="183" customFormat="1" ht="20.100000000000001" customHeight="1">
      <c r="A13" s="1126" t="s">
        <v>1682</v>
      </c>
      <c r="B13" s="1126"/>
      <c r="C13" s="1126"/>
      <c r="D13" s="1126"/>
      <c r="E13" s="1126"/>
      <c r="F13" s="1126"/>
    </row>
    <row r="14" spans="1:7" s="183" customFormat="1" ht="20.100000000000001" customHeight="1">
      <c r="A14" s="1126" t="s">
        <v>1683</v>
      </c>
      <c r="B14" s="1126"/>
      <c r="C14" s="1126"/>
      <c r="D14" s="1126"/>
      <c r="E14" s="1126"/>
      <c r="F14" s="1126"/>
    </row>
    <row r="15" spans="1:7" s="183" customFormat="1" ht="20.100000000000001" customHeight="1">
      <c r="A15" s="1127" t="s">
        <v>1684</v>
      </c>
      <c r="B15" s="1126"/>
      <c r="C15" s="1126"/>
      <c r="D15" s="1126"/>
      <c r="E15" s="1126"/>
      <c r="F15" s="1126"/>
    </row>
    <row r="16" spans="1:7" s="183" customFormat="1" ht="20.100000000000001" customHeight="1">
      <c r="A16" s="1128" t="s">
        <v>1685</v>
      </c>
      <c r="B16" s="1128"/>
      <c r="C16" s="1128"/>
      <c r="D16" s="1128"/>
      <c r="E16" s="1128"/>
      <c r="F16" s="1128"/>
    </row>
    <row r="17" spans="1:7" s="1" customFormat="1" ht="42.75" customHeight="1">
      <c r="A17" s="10" t="s">
        <v>1552</v>
      </c>
      <c r="B17" s="10" t="s">
        <v>1011</v>
      </c>
      <c r="C17" s="10" t="s">
        <v>1553</v>
      </c>
      <c r="D17" s="10" t="s">
        <v>1554</v>
      </c>
      <c r="E17" s="10" t="s">
        <v>1686</v>
      </c>
      <c r="F17" s="10" t="s">
        <v>810</v>
      </c>
      <c r="G17" s="10" t="s">
        <v>1555</v>
      </c>
    </row>
    <row r="18" spans="1:7" s="183" customFormat="1" ht="20.100000000000001" customHeight="1">
      <c r="A18" s="88"/>
      <c r="B18" s="199"/>
      <c r="C18" s="199"/>
      <c r="D18" s="199"/>
      <c r="E18" s="199"/>
      <c r="F18" s="199"/>
      <c r="G18" s="199"/>
    </row>
    <row r="19" spans="1:7" s="183" customFormat="1" ht="20.100000000000001" customHeight="1">
      <c r="A19" s="88"/>
      <c r="B19" s="199"/>
      <c r="C19" s="199"/>
      <c r="D19" s="199"/>
      <c r="E19" s="199"/>
      <c r="F19" s="199"/>
      <c r="G19" s="199"/>
    </row>
    <row r="20" spans="1:7" s="3" customFormat="1" ht="20.100000000000001" customHeight="1">
      <c r="A20" s="88"/>
      <c r="B20" s="199"/>
      <c r="C20" s="199"/>
      <c r="D20" s="199"/>
      <c r="E20" s="199"/>
      <c r="F20" s="199"/>
      <c r="G20" s="199"/>
    </row>
    <row r="21" spans="1:7" s="3" customFormat="1" ht="20.100000000000001" customHeight="1">
      <c r="A21" s="88" t="s">
        <v>703</v>
      </c>
      <c r="B21" s="200">
        <f>SUM(B18:B20)</f>
        <v>0</v>
      </c>
      <c r="C21" s="200">
        <f t="shared" ref="C21:G21" si="1">SUM(C18:C20)</f>
        <v>0</v>
      </c>
      <c r="D21" s="200">
        <f t="shared" si="1"/>
        <v>0</v>
      </c>
      <c r="E21" s="200">
        <f t="shared" si="1"/>
        <v>0</v>
      </c>
      <c r="F21" s="200">
        <f t="shared" si="1"/>
        <v>0</v>
      </c>
      <c r="G21" s="200">
        <f t="shared" si="1"/>
        <v>0</v>
      </c>
    </row>
    <row r="22" spans="1:7" s="3" customFormat="1" ht="20.100000000000001" customHeight="1">
      <c r="A22" s="201" t="s">
        <v>651</v>
      </c>
    </row>
    <row r="23" spans="1:7" s="3" customFormat="1" ht="20.100000000000001" customHeight="1">
      <c r="A23" s="1125" t="s">
        <v>1687</v>
      </c>
      <c r="B23" s="1125"/>
      <c r="C23" s="1125"/>
      <c r="D23" s="1125"/>
      <c r="E23" s="1125"/>
      <c r="F23" s="1125"/>
      <c r="G23" s="1125"/>
    </row>
    <row r="24" spans="1:7" s="3" customFormat="1" ht="44.25" customHeight="1">
      <c r="A24" s="1125" t="s">
        <v>1688</v>
      </c>
      <c r="B24" s="1125"/>
      <c r="C24" s="1125"/>
      <c r="D24" s="1125"/>
      <c r="E24" s="1125"/>
      <c r="F24" s="1125"/>
      <c r="G24" s="1125"/>
    </row>
    <row r="25" spans="1:7" s="3" customFormat="1" ht="20.100000000000001" customHeight="1"/>
  </sheetData>
  <mergeCells count="6">
    <mergeCell ref="A24:G24"/>
    <mergeCell ref="A13:F13"/>
    <mergeCell ref="A14:F14"/>
    <mergeCell ref="A15:F15"/>
    <mergeCell ref="A16:F16"/>
    <mergeCell ref="A23:G23"/>
  </mergeCells>
  <phoneticPr fontId="78" type="noConversion"/>
  <hyperlinks>
    <hyperlink ref="E1" location="目录!A1" display="BACK"/>
  </hyperlinks>
  <pageMargins left="0.70763888888888904" right="0.70763888888888904" top="0.74791666666666701" bottom="0.74791666666666701" header="0.31388888888888899" footer="0.31388888888888899"/>
  <pageSetup paperSize="9" scale="74" orientation="portrait" blackAndWhite="1" horizontalDpi="1200" verticalDpi="120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2"/>
  <dimension ref="A1:F11"/>
  <sheetViews>
    <sheetView view="pageBreakPreview" zoomScaleNormal="100" zoomScaleSheetLayoutView="100" workbookViewId="0">
      <selection activeCell="B9" sqref="B9"/>
    </sheetView>
  </sheetViews>
  <sheetFormatPr defaultColWidth="9" defaultRowHeight="20.100000000000001" customHeight="1"/>
  <cols>
    <col min="1" max="1" width="20" style="99" customWidth="1"/>
    <col min="2" max="2" width="24.59765625" style="99" customWidth="1"/>
    <col min="3" max="3" width="22.5" style="99" customWidth="1"/>
    <col min="4" max="6" width="14" style="99" customWidth="1"/>
    <col min="7" max="16384" width="9" style="99"/>
  </cols>
  <sheetData>
    <row r="1" spans="1:6" s="177" customFormat="1" ht="24.9" customHeight="1">
      <c r="A1" s="6" t="s">
        <v>145</v>
      </c>
      <c r="B1" s="7">
        <f>基础信息!B6</f>
        <v>0</v>
      </c>
      <c r="C1" s="900" t="s">
        <v>146</v>
      </c>
      <c r="E1" s="179"/>
    </row>
    <row r="2" spans="1:6" s="177" customFormat="1" ht="24.9" customHeight="1">
      <c r="A2" s="6" t="s">
        <v>147</v>
      </c>
      <c r="B2" s="7">
        <f>基础信息!B9</f>
        <v>0</v>
      </c>
      <c r="C2" s="178"/>
    </row>
    <row r="3" spans="1:6" s="101" customFormat="1" ht="24.9" customHeight="1">
      <c r="A3" s="68" t="s">
        <v>148</v>
      </c>
      <c r="B3" s="68" t="s">
        <v>1689</v>
      </c>
      <c r="C3" s="178"/>
      <c r="D3" s="177"/>
      <c r="E3" s="177"/>
      <c r="F3" s="177"/>
    </row>
    <row r="4" spans="1:6" s="91" customFormat="1" ht="24.9" customHeight="1">
      <c r="A4" s="58" t="s">
        <v>305</v>
      </c>
      <c r="B4" s="166" t="s">
        <v>837</v>
      </c>
    </row>
    <row r="5" spans="1:6" s="21" customFormat="1" ht="20.100000000000001" customHeight="1">
      <c r="A5" s="26"/>
      <c r="B5" s="133"/>
    </row>
    <row r="6" spans="1:6" s="21" customFormat="1" ht="20.100000000000001" customHeight="1">
      <c r="A6" s="26"/>
      <c r="B6" s="133"/>
    </row>
    <row r="7" spans="1:6" s="21" customFormat="1" ht="20.100000000000001" customHeight="1">
      <c r="A7" s="26"/>
      <c r="B7" s="12"/>
    </row>
    <row r="8" spans="1:6" s="21" customFormat="1" ht="20.100000000000001" customHeight="1">
      <c r="A8" s="26" t="s">
        <v>632</v>
      </c>
      <c r="B8" s="14">
        <f>SUM(B5:B7)</f>
        <v>0</v>
      </c>
    </row>
    <row r="9" spans="1:6" s="21" customFormat="1" ht="20.100000000000001" customHeight="1">
      <c r="A9" s="112" t="s">
        <v>623</v>
      </c>
      <c r="B9" s="113"/>
      <c r="D9" s="180"/>
      <c r="E9" s="181"/>
    </row>
    <row r="10" spans="1:6" s="21" customFormat="1" ht="20.100000000000001" customHeight="1">
      <c r="A10" s="112"/>
      <c r="B10" s="113">
        <f>B8-B9</f>
        <v>0</v>
      </c>
      <c r="D10" s="180"/>
      <c r="E10" s="181"/>
    </row>
    <row r="11" spans="1:6" s="21" customFormat="1" ht="20.100000000000001" customHeight="1">
      <c r="A11" s="94"/>
      <c r="B11" s="94" t="str">
        <f>IF(B10=0,"OK","NO")</f>
        <v>OK</v>
      </c>
      <c r="D11" s="180"/>
      <c r="E11" s="181"/>
    </row>
  </sheetData>
  <phoneticPr fontId="78" type="noConversion"/>
  <hyperlinks>
    <hyperlink ref="C1" location="目录!A1" display="BACK"/>
  </hyperlinks>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3"/>
  <dimension ref="A1:I45"/>
  <sheetViews>
    <sheetView view="pageBreakPreview" zoomScaleNormal="100" zoomScaleSheetLayoutView="100" workbookViewId="0">
      <selection activeCell="C10" sqref="C10"/>
    </sheetView>
  </sheetViews>
  <sheetFormatPr defaultColWidth="9" defaultRowHeight="20.100000000000001" customHeight="1"/>
  <cols>
    <col min="1" max="1" width="30.5" style="5" customWidth="1"/>
    <col min="2" max="2" width="26.3984375" style="5" customWidth="1"/>
    <col min="3" max="3" width="20.59765625" style="5" customWidth="1"/>
    <col min="4" max="4" width="21.09765625" style="5" customWidth="1"/>
    <col min="5" max="5" width="27.09765625" style="5" customWidth="1"/>
    <col min="6" max="6" width="23.3984375" style="5" customWidth="1"/>
    <col min="7" max="9" width="9" style="110"/>
    <col min="10" max="16384" width="9" style="5"/>
  </cols>
  <sheetData>
    <row r="1" spans="1:9" s="16" customFormat="1" ht="24.9" customHeight="1">
      <c r="A1" s="6" t="s">
        <v>145</v>
      </c>
      <c r="B1" s="7">
        <f>基础信息!B6</f>
        <v>0</v>
      </c>
      <c r="D1" s="900" t="s">
        <v>146</v>
      </c>
      <c r="E1" s="19"/>
      <c r="G1" s="122"/>
      <c r="H1" s="122"/>
      <c r="I1" s="122"/>
    </row>
    <row r="2" spans="1:9" s="16" customFormat="1" ht="24.9" customHeight="1">
      <c r="A2" s="6" t="s">
        <v>147</v>
      </c>
      <c r="B2" s="7">
        <f>基础信息!B9</f>
        <v>0</v>
      </c>
      <c r="G2" s="122"/>
      <c r="H2" s="122"/>
      <c r="I2" s="122"/>
    </row>
    <row r="3" spans="1:9" s="16" customFormat="1" ht="24.9" customHeight="1">
      <c r="A3" s="68" t="s">
        <v>148</v>
      </c>
      <c r="B3" s="68" t="s">
        <v>1690</v>
      </c>
      <c r="G3" s="122"/>
      <c r="H3" s="122"/>
      <c r="I3" s="122"/>
    </row>
    <row r="4" spans="1:9" s="9" customFormat="1" ht="24.9" customHeight="1">
      <c r="A4" s="9" t="s">
        <v>1691</v>
      </c>
    </row>
    <row r="5" spans="1:9" s="121" customFormat="1" ht="24.9" customHeight="1">
      <c r="A5" s="1059" t="s">
        <v>729</v>
      </c>
      <c r="B5" s="1090" t="s">
        <v>1692</v>
      </c>
      <c r="C5" s="1090"/>
      <c r="D5" s="170"/>
      <c r="E5" s="9"/>
      <c r="F5" s="9"/>
      <c r="G5" s="9"/>
      <c r="H5" s="9"/>
      <c r="I5" s="9"/>
    </row>
    <row r="6" spans="1:9" s="121" customFormat="1" ht="24.9" customHeight="1">
      <c r="A6" s="1059"/>
      <c r="B6" s="169" t="s">
        <v>1693</v>
      </c>
      <c r="C6" s="169" t="s">
        <v>1694</v>
      </c>
      <c r="D6" s="170"/>
      <c r="E6" s="9"/>
      <c r="F6" s="9"/>
      <c r="G6" s="9"/>
      <c r="H6" s="9"/>
      <c r="I6" s="9"/>
    </row>
    <row r="7" spans="1:9" s="3" customFormat="1" ht="20.100000000000001" customHeight="1">
      <c r="A7" s="26" t="s">
        <v>1695</v>
      </c>
      <c r="B7" s="12"/>
      <c r="C7" s="12"/>
      <c r="D7" s="31"/>
      <c r="E7" s="1"/>
      <c r="F7" s="1"/>
      <c r="G7" s="1"/>
      <c r="H7" s="1"/>
      <c r="I7" s="1"/>
    </row>
    <row r="8" spans="1:9" s="3" customFormat="1" ht="20.100000000000001" customHeight="1">
      <c r="A8" s="26" t="s">
        <v>1696</v>
      </c>
      <c r="B8" s="12"/>
      <c r="C8" s="12"/>
      <c r="D8" s="31"/>
      <c r="E8" s="1"/>
      <c r="F8" s="1"/>
      <c r="G8" s="1"/>
      <c r="H8" s="1"/>
      <c r="I8" s="1"/>
    </row>
    <row r="9" spans="1:9" s="3" customFormat="1" ht="20.100000000000001" customHeight="1">
      <c r="A9" s="26" t="s">
        <v>632</v>
      </c>
      <c r="B9" s="12"/>
      <c r="C9" s="14">
        <f>SUM(C7:C8)</f>
        <v>0</v>
      </c>
      <c r="D9" s="31"/>
      <c r="E9" s="114"/>
      <c r="F9" s="1"/>
      <c r="G9" s="1"/>
      <c r="H9" s="1"/>
      <c r="I9" s="1"/>
    </row>
    <row r="10" spans="1:9" s="3" customFormat="1" ht="20.100000000000001" customHeight="1">
      <c r="A10" s="112" t="s">
        <v>623</v>
      </c>
      <c r="B10" s="124"/>
      <c r="C10" s="113"/>
      <c r="D10" s="31"/>
      <c r="E10" s="1"/>
      <c r="F10" s="1"/>
      <c r="G10" s="1"/>
      <c r="H10" s="1"/>
      <c r="I10" s="1"/>
    </row>
    <row r="11" spans="1:9" s="3" customFormat="1" ht="20.100000000000001" customHeight="1">
      <c r="A11" s="109"/>
      <c r="B11" s="125"/>
      <c r="C11" s="115">
        <f>C9-C10</f>
        <v>0</v>
      </c>
      <c r="D11" s="31"/>
      <c r="E11" s="1"/>
      <c r="F11" s="1"/>
      <c r="G11" s="1"/>
      <c r="H11" s="1"/>
      <c r="I11" s="1"/>
    </row>
    <row r="12" spans="1:9" s="23" customFormat="1" ht="20.100000000000001" customHeight="1">
      <c r="C12" s="23" t="str">
        <f>IF(C11=0,"OK","NO")</f>
        <v>OK</v>
      </c>
    </row>
    <row r="13" spans="1:9" s="3" customFormat="1" ht="20.100000000000001" customHeight="1">
      <c r="A13" s="27"/>
      <c r="B13" s="27"/>
      <c r="C13" s="27"/>
      <c r="D13" s="27"/>
      <c r="E13" s="27"/>
      <c r="F13" s="1"/>
      <c r="G13" s="1"/>
      <c r="H13" s="1"/>
      <c r="I13" s="1"/>
    </row>
    <row r="14" spans="1:9" s="3" customFormat="1" ht="20.100000000000001" customHeight="1">
      <c r="A14" s="3" t="s">
        <v>1697</v>
      </c>
      <c r="F14" s="1"/>
      <c r="G14" s="1"/>
      <c r="H14" s="1"/>
      <c r="I14" s="1"/>
    </row>
    <row r="15" spans="1:9" s="3" customFormat="1" ht="20.100000000000001" customHeight="1">
      <c r="A15" s="1059" t="s">
        <v>729</v>
      </c>
      <c r="B15" s="1090" t="s">
        <v>1692</v>
      </c>
      <c r="C15" s="1090"/>
      <c r="D15" s="1129"/>
      <c r="E15" s="1129"/>
      <c r="F15" s="1"/>
      <c r="G15" s="1"/>
      <c r="H15" s="1"/>
      <c r="I15" s="1"/>
    </row>
    <row r="16" spans="1:9" s="1" customFormat="1" ht="20.100000000000001" customHeight="1">
      <c r="A16" s="1059"/>
      <c r="B16" s="169" t="s">
        <v>1693</v>
      </c>
      <c r="C16" s="169" t="s">
        <v>1694</v>
      </c>
      <c r="D16" s="109"/>
      <c r="E16" s="109"/>
    </row>
    <row r="17" spans="1:9" s="1" customFormat="1" ht="20.100000000000001" customHeight="1">
      <c r="A17" s="26" t="s">
        <v>1698</v>
      </c>
      <c r="B17" s="113">
        <f>B18+B19</f>
        <v>0</v>
      </c>
      <c r="C17" s="113">
        <f>C18+C19</f>
        <v>0</v>
      </c>
      <c r="D17" s="109"/>
      <c r="E17" s="109"/>
    </row>
    <row r="18" spans="1:9" s="1" customFormat="1" ht="20.100000000000001" customHeight="1">
      <c r="A18" s="26" t="s">
        <v>1699</v>
      </c>
      <c r="B18" s="171"/>
      <c r="C18" s="12"/>
      <c r="D18" s="109"/>
      <c r="E18" s="109"/>
    </row>
    <row r="19" spans="1:9" s="1" customFormat="1" ht="20.100000000000001" customHeight="1">
      <c r="A19" s="26" t="s">
        <v>1700</v>
      </c>
      <c r="B19" s="171"/>
      <c r="C19" s="12"/>
      <c r="D19" s="109"/>
      <c r="E19" s="109"/>
    </row>
    <row r="20" spans="1:9" s="1" customFormat="1" ht="20.100000000000001" customHeight="1">
      <c r="A20" s="26" t="s">
        <v>1701</v>
      </c>
      <c r="B20" s="171"/>
      <c r="C20" s="171"/>
      <c r="D20" s="109"/>
      <c r="E20" s="109"/>
    </row>
    <row r="21" spans="1:9" s="1" customFormat="1" ht="20.100000000000001" customHeight="1">
      <c r="A21" s="26" t="s">
        <v>632</v>
      </c>
      <c r="B21" s="113">
        <f>SUM(B17,B20)</f>
        <v>0</v>
      </c>
      <c r="C21" s="113">
        <f>SUM(C17,C20)</f>
        <v>0</v>
      </c>
      <c r="D21" s="109"/>
      <c r="E21" s="109"/>
    </row>
    <row r="22" spans="1:9" s="1" customFormat="1" ht="20.100000000000001" customHeight="1">
      <c r="A22" s="27"/>
      <c r="B22" s="115">
        <f>B21-C7</f>
        <v>0</v>
      </c>
      <c r="C22" s="172"/>
      <c r="D22" s="109"/>
      <c r="E22" s="109"/>
    </row>
    <row r="23" spans="1:9" s="23" customFormat="1" ht="20.100000000000001" customHeight="1">
      <c r="B23" s="23" t="str">
        <f>IF(B22=0,"OK","NO")</f>
        <v>OK</v>
      </c>
    </row>
    <row r="24" spans="1:9" s="1" customFormat="1" ht="20.100000000000001" customHeight="1">
      <c r="A24" s="173" t="s">
        <v>1702</v>
      </c>
      <c r="B24" s="174"/>
      <c r="C24" s="174"/>
      <c r="D24" s="174"/>
      <c r="E24" s="174"/>
    </row>
    <row r="25" spans="1:9" s="3" customFormat="1" ht="20.100000000000001" customHeight="1">
      <c r="A25" s="174" t="s">
        <v>1703</v>
      </c>
      <c r="B25" s="174"/>
      <c r="C25" s="174"/>
      <c r="D25" s="174"/>
      <c r="E25" s="174"/>
      <c r="G25" s="1"/>
      <c r="H25" s="1"/>
      <c r="I25" s="1"/>
    </row>
    <row r="26" spans="1:9" s="3" customFormat="1" ht="20.100000000000001" customHeight="1">
      <c r="A26" s="1079" t="s">
        <v>1704</v>
      </c>
      <c r="B26" s="1079" t="s">
        <v>1705</v>
      </c>
      <c r="C26" s="1079"/>
      <c r="D26" s="1079" t="s">
        <v>1706</v>
      </c>
      <c r="E26" s="1079"/>
      <c r="G26" s="1"/>
      <c r="H26" s="1"/>
      <c r="I26" s="1"/>
    </row>
    <row r="27" spans="1:9" s="3" customFormat="1" ht="20.100000000000001" customHeight="1">
      <c r="A27" s="1079"/>
      <c r="B27" s="175" t="s">
        <v>1707</v>
      </c>
      <c r="C27" s="175" t="s">
        <v>1708</v>
      </c>
      <c r="D27" s="175" t="s">
        <v>1707</v>
      </c>
      <c r="E27" s="175" t="s">
        <v>1708</v>
      </c>
      <c r="G27" s="1"/>
      <c r="H27" s="1"/>
      <c r="I27" s="1"/>
    </row>
    <row r="28" spans="1:9" s="3" customFormat="1" ht="20.100000000000001" customHeight="1">
      <c r="A28" s="176"/>
      <c r="B28" s="176"/>
      <c r="C28" s="176"/>
      <c r="D28" s="176"/>
      <c r="E28" s="176"/>
      <c r="G28" s="1"/>
      <c r="H28" s="1"/>
      <c r="I28" s="1"/>
    </row>
    <row r="29" spans="1:9" s="3" customFormat="1" ht="20.100000000000001" customHeight="1">
      <c r="A29" s="176"/>
      <c r="B29" s="176"/>
      <c r="C29" s="176"/>
      <c r="D29" s="176"/>
      <c r="E29" s="176"/>
      <c r="G29" s="1"/>
      <c r="H29" s="1"/>
      <c r="I29" s="1"/>
    </row>
    <row r="30" spans="1:9" s="3" customFormat="1" ht="20.100000000000001" customHeight="1">
      <c r="A30" s="176"/>
      <c r="B30" s="176"/>
      <c r="C30" s="176"/>
      <c r="D30" s="176"/>
      <c r="E30" s="176"/>
      <c r="G30" s="1"/>
      <c r="H30" s="1"/>
      <c r="I30" s="1"/>
    </row>
    <row r="31" spans="1:9" s="3" customFormat="1" ht="20.100000000000001" customHeight="1">
      <c r="A31" s="176" t="s">
        <v>961</v>
      </c>
      <c r="B31" s="176"/>
      <c r="C31" s="176"/>
      <c r="D31" s="176"/>
      <c r="E31" s="176"/>
      <c r="G31" s="1"/>
      <c r="H31" s="1"/>
      <c r="I31" s="1"/>
    </row>
    <row r="32" spans="1:9" s="3" customFormat="1" ht="20.100000000000001" customHeight="1">
      <c r="A32" s="174" t="s">
        <v>1709</v>
      </c>
      <c r="B32" s="174"/>
      <c r="C32" s="174"/>
      <c r="D32" s="174"/>
      <c r="E32" s="174"/>
      <c r="G32" s="1"/>
      <c r="H32" s="1"/>
      <c r="I32" s="1"/>
    </row>
    <row r="33" spans="1:9" s="3" customFormat="1" ht="20.100000000000001" customHeight="1">
      <c r="A33" s="1079" t="s">
        <v>1710</v>
      </c>
      <c r="B33" s="1079" t="s">
        <v>1705</v>
      </c>
      <c r="C33" s="1079"/>
      <c r="D33" s="1079" t="s">
        <v>1706</v>
      </c>
      <c r="E33" s="1079"/>
      <c r="G33" s="1"/>
      <c r="H33" s="1"/>
      <c r="I33" s="1"/>
    </row>
    <row r="34" spans="1:9" s="3" customFormat="1" ht="20.100000000000001" customHeight="1">
      <c r="A34" s="1079"/>
      <c r="B34" s="175" t="s">
        <v>1707</v>
      </c>
      <c r="C34" s="175" t="s">
        <v>1708</v>
      </c>
      <c r="D34" s="175" t="s">
        <v>1707</v>
      </c>
      <c r="E34" s="175" t="s">
        <v>1708</v>
      </c>
      <c r="G34" s="1"/>
      <c r="H34" s="1"/>
      <c r="I34" s="1"/>
    </row>
    <row r="35" spans="1:9" s="3" customFormat="1" ht="20.100000000000001" customHeight="1">
      <c r="A35" s="176"/>
      <c r="B35" s="176"/>
      <c r="C35" s="176"/>
      <c r="D35" s="176"/>
      <c r="E35" s="176"/>
      <c r="G35" s="1"/>
      <c r="H35" s="1"/>
      <c r="I35" s="1"/>
    </row>
    <row r="36" spans="1:9" s="3" customFormat="1" ht="20.100000000000001" customHeight="1">
      <c r="A36" s="176"/>
      <c r="B36" s="176"/>
      <c r="C36" s="176"/>
      <c r="D36" s="176"/>
      <c r="E36" s="176"/>
      <c r="G36" s="1"/>
      <c r="H36" s="1"/>
      <c r="I36" s="1"/>
    </row>
    <row r="37" spans="1:9" s="3" customFormat="1" ht="20.100000000000001" customHeight="1">
      <c r="A37" s="176"/>
      <c r="B37" s="176"/>
      <c r="C37" s="176"/>
      <c r="D37" s="176"/>
      <c r="E37" s="176"/>
      <c r="G37" s="1"/>
      <c r="H37" s="1"/>
      <c r="I37" s="1"/>
    </row>
    <row r="38" spans="1:9" s="3" customFormat="1" ht="20.100000000000001" customHeight="1">
      <c r="A38" s="176" t="s">
        <v>961</v>
      </c>
      <c r="B38" s="176"/>
      <c r="C38" s="176"/>
      <c r="D38" s="176"/>
      <c r="E38" s="176"/>
      <c r="G38" s="1"/>
      <c r="H38" s="1"/>
      <c r="I38" s="1"/>
    </row>
    <row r="39" spans="1:9" s="3" customFormat="1" ht="20.100000000000001" customHeight="1">
      <c r="A39" s="174" t="s">
        <v>1711</v>
      </c>
      <c r="B39" s="174"/>
      <c r="C39" s="174"/>
      <c r="D39" s="174"/>
      <c r="E39" s="174"/>
      <c r="G39" s="1"/>
      <c r="H39" s="1"/>
      <c r="I39" s="1"/>
    </row>
    <row r="40" spans="1:9" s="3" customFormat="1" ht="20.100000000000001" customHeight="1">
      <c r="A40" s="1079" t="s">
        <v>1712</v>
      </c>
      <c r="B40" s="1079" t="s">
        <v>1705</v>
      </c>
      <c r="C40" s="1079"/>
      <c r="D40" s="1079" t="s">
        <v>1706</v>
      </c>
      <c r="E40" s="1079"/>
      <c r="G40" s="1"/>
      <c r="H40" s="1"/>
      <c r="I40" s="1"/>
    </row>
    <row r="41" spans="1:9" s="3" customFormat="1" ht="20.100000000000001" customHeight="1">
      <c r="A41" s="1079"/>
      <c r="B41" s="175" t="s">
        <v>1707</v>
      </c>
      <c r="C41" s="175" t="s">
        <v>1708</v>
      </c>
      <c r="D41" s="175" t="s">
        <v>1707</v>
      </c>
      <c r="E41" s="175" t="s">
        <v>1708</v>
      </c>
      <c r="G41" s="1"/>
      <c r="H41" s="1"/>
      <c r="I41" s="1"/>
    </row>
    <row r="42" spans="1:9" s="3" customFormat="1" ht="20.100000000000001" customHeight="1">
      <c r="A42" s="176"/>
      <c r="B42" s="176"/>
      <c r="C42" s="176"/>
      <c r="D42" s="176"/>
      <c r="E42" s="176"/>
      <c r="G42" s="1"/>
      <c r="H42" s="1"/>
      <c r="I42" s="1"/>
    </row>
    <row r="43" spans="1:9" s="3" customFormat="1" ht="20.100000000000001" customHeight="1">
      <c r="A43" s="176"/>
      <c r="B43" s="176"/>
      <c r="C43" s="176"/>
      <c r="D43" s="176"/>
      <c r="E43" s="176"/>
      <c r="G43" s="1"/>
      <c r="H43" s="1"/>
      <c r="I43" s="1"/>
    </row>
    <row r="44" spans="1:9" s="3" customFormat="1" ht="20.100000000000001" customHeight="1">
      <c r="A44" s="176"/>
      <c r="B44" s="176"/>
      <c r="C44" s="176"/>
      <c r="D44" s="176"/>
      <c r="E44" s="176"/>
      <c r="G44" s="1"/>
      <c r="H44" s="1"/>
      <c r="I44" s="1"/>
    </row>
    <row r="45" spans="1:9" s="3" customFormat="1" ht="20.100000000000001" customHeight="1">
      <c r="A45" s="176" t="s">
        <v>961</v>
      </c>
      <c r="B45" s="176"/>
      <c r="C45" s="176"/>
      <c r="D45" s="176"/>
      <c r="E45" s="176"/>
      <c r="G45" s="1"/>
      <c r="H45" s="1"/>
      <c r="I45" s="1"/>
    </row>
  </sheetData>
  <mergeCells count="14">
    <mergeCell ref="B33:C33"/>
    <mergeCell ref="D33:E33"/>
    <mergeCell ref="B40:C40"/>
    <mergeCell ref="D40:E40"/>
    <mergeCell ref="A5:A6"/>
    <mergeCell ref="A15:A16"/>
    <mergeCell ref="A26:A27"/>
    <mergeCell ref="A33:A34"/>
    <mergeCell ref="A40:A41"/>
    <mergeCell ref="B5:C5"/>
    <mergeCell ref="B15:C15"/>
    <mergeCell ref="D15:E15"/>
    <mergeCell ref="B26:C26"/>
    <mergeCell ref="D26:E26"/>
  </mergeCells>
  <phoneticPr fontId="78" type="noConversion"/>
  <hyperlinks>
    <hyperlink ref="D1" location="目录!A1" display="BACK"/>
  </hyperlinks>
  <pageMargins left="0.27500000000000002" right="0.27500000000000002" top="0.51180555555555596" bottom="0.51180555555555596" header="0.27500000000000002" footer="0.27500000000000002"/>
  <pageSetup paperSize="9" scale="73" orientation="portrait" blackAndWhite="1" r:id="rId1"/>
  <headerFooter alignWithMargins="0"/>
  <rowBreaks count="1" manualBreakCount="1">
    <brk id="21" max="4"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4"/>
  <dimension ref="A1:I22"/>
  <sheetViews>
    <sheetView view="pageBreakPreview" zoomScaleNormal="100" zoomScaleSheetLayoutView="100" workbookViewId="0">
      <selection activeCell="C15" sqref="C15"/>
    </sheetView>
  </sheetViews>
  <sheetFormatPr defaultColWidth="9" defaultRowHeight="20.100000000000001" customHeight="1"/>
  <cols>
    <col min="1" max="1" width="20.19921875" style="5" customWidth="1"/>
    <col min="2" max="2" width="21.69921875" style="5" customWidth="1"/>
    <col min="3" max="3" width="18.59765625" style="5" customWidth="1"/>
    <col min="4" max="4" width="24.3984375" style="5" customWidth="1"/>
    <col min="5" max="5" width="18.09765625" style="5" customWidth="1"/>
    <col min="6" max="9" width="9" style="110"/>
    <col min="10" max="16384" width="9" style="5"/>
  </cols>
  <sheetData>
    <row r="1" spans="1:9" s="16" customFormat="1" ht="24.9" customHeight="1">
      <c r="A1" s="6" t="s">
        <v>145</v>
      </c>
      <c r="B1" s="7">
        <f>基础信息!B6</f>
        <v>0</v>
      </c>
      <c r="D1" s="900" t="s">
        <v>146</v>
      </c>
      <c r="E1" s="19"/>
      <c r="F1" s="122"/>
      <c r="G1" s="122"/>
      <c r="H1" s="122"/>
      <c r="I1" s="122"/>
    </row>
    <row r="2" spans="1:9" s="16" customFormat="1" ht="24.9" customHeight="1">
      <c r="A2" s="6" t="s">
        <v>147</v>
      </c>
      <c r="B2" s="7">
        <f>基础信息!B9</f>
        <v>0</v>
      </c>
      <c r="F2" s="122"/>
      <c r="G2" s="122"/>
      <c r="H2" s="122"/>
      <c r="I2" s="122"/>
    </row>
    <row r="3" spans="1:9" s="16" customFormat="1" ht="24.9" customHeight="1">
      <c r="A3" s="68" t="s">
        <v>148</v>
      </c>
      <c r="B3" s="127" t="s">
        <v>94</v>
      </c>
      <c r="F3" s="122"/>
      <c r="G3" s="122"/>
      <c r="H3" s="122"/>
      <c r="I3" s="122"/>
    </row>
    <row r="4" spans="1:9" s="17" customFormat="1" ht="24.9" customHeight="1">
      <c r="A4" s="10" t="s">
        <v>729</v>
      </c>
      <c r="B4" s="10" t="s">
        <v>1713</v>
      </c>
      <c r="C4" s="10" t="s">
        <v>1714</v>
      </c>
      <c r="D4" s="65"/>
    </row>
    <row r="5" spans="1:9" s="3" customFormat="1" ht="20.100000000000001" customHeight="1">
      <c r="A5" s="168" t="s">
        <v>1715</v>
      </c>
      <c r="B5" s="12"/>
      <c r="C5" s="12"/>
      <c r="D5" s="31"/>
      <c r="E5" s="1"/>
      <c r="F5" s="1"/>
      <c r="G5" s="1"/>
      <c r="H5" s="1"/>
    </row>
    <row r="6" spans="1:9" s="3" customFormat="1" ht="20.100000000000001" customHeight="1">
      <c r="A6" s="26" t="s">
        <v>1479</v>
      </c>
      <c r="B6" s="12"/>
      <c r="C6" s="12"/>
      <c r="D6" s="31"/>
      <c r="E6" s="1"/>
      <c r="F6" s="1"/>
      <c r="G6" s="1"/>
      <c r="H6" s="1"/>
    </row>
    <row r="7" spans="1:9" s="3" customFormat="1" ht="20.100000000000001" customHeight="1">
      <c r="A7" s="26" t="s">
        <v>1483</v>
      </c>
      <c r="B7" s="12"/>
      <c r="C7" s="12"/>
      <c r="D7" s="31"/>
      <c r="E7" s="1"/>
      <c r="F7" s="1"/>
      <c r="G7" s="1"/>
      <c r="H7" s="1"/>
    </row>
    <row r="8" spans="1:9" s="3" customFormat="1" ht="20.100000000000001" customHeight="1">
      <c r="A8" s="26" t="s">
        <v>1716</v>
      </c>
      <c r="B8" s="12"/>
      <c r="C8" s="12"/>
      <c r="D8" s="31"/>
      <c r="E8" s="1"/>
      <c r="F8" s="1"/>
      <c r="G8" s="1"/>
      <c r="H8" s="1"/>
    </row>
    <row r="9" spans="1:9" s="3" customFormat="1" ht="20.100000000000001" customHeight="1">
      <c r="A9" s="26" t="s">
        <v>1717</v>
      </c>
      <c r="B9" s="12"/>
      <c r="C9" s="12"/>
      <c r="D9" s="31"/>
      <c r="E9" s="1"/>
      <c r="F9" s="1"/>
      <c r="G9" s="1"/>
      <c r="H9" s="1"/>
    </row>
    <row r="10" spans="1:9" s="3" customFormat="1" ht="20.100000000000001" customHeight="1">
      <c r="A10" s="26" t="s">
        <v>1718</v>
      </c>
      <c r="B10" s="12"/>
      <c r="C10" s="12"/>
      <c r="D10" s="31"/>
      <c r="E10" s="1"/>
      <c r="F10" s="1"/>
      <c r="G10" s="1"/>
      <c r="H10" s="1"/>
    </row>
    <row r="11" spans="1:9" s="3" customFormat="1" ht="20.100000000000001" customHeight="1">
      <c r="A11" s="26" t="s">
        <v>1719</v>
      </c>
      <c r="B11" s="12"/>
      <c r="C11" s="12"/>
      <c r="D11" s="31"/>
      <c r="E11" s="1"/>
      <c r="F11" s="1"/>
      <c r="G11" s="1"/>
      <c r="H11" s="1"/>
    </row>
    <row r="12" spans="1:9" s="3" customFormat="1" ht="20.100000000000001" customHeight="1">
      <c r="A12" s="26" t="s">
        <v>1720</v>
      </c>
      <c r="B12" s="12"/>
      <c r="C12" s="12"/>
      <c r="D12" s="31"/>
      <c r="E12" s="1"/>
      <c r="F12" s="1"/>
      <c r="G12" s="1"/>
      <c r="H12" s="1"/>
    </row>
    <row r="13" spans="1:9" s="3" customFormat="1" ht="20.100000000000001" customHeight="1">
      <c r="A13" s="26"/>
      <c r="B13" s="12"/>
      <c r="C13" s="12"/>
      <c r="D13" s="31"/>
      <c r="E13" s="1"/>
      <c r="F13" s="1"/>
      <c r="G13" s="1"/>
      <c r="H13" s="1"/>
    </row>
    <row r="14" spans="1:9" s="3" customFormat="1" ht="20.100000000000001" customHeight="1">
      <c r="A14" s="26" t="s">
        <v>632</v>
      </c>
      <c r="B14" s="12"/>
      <c r="C14" s="14">
        <f>SUM(C5:C13)</f>
        <v>0</v>
      </c>
      <c r="D14" s="31"/>
      <c r="E14" s="114"/>
      <c r="F14" s="1"/>
      <c r="G14" s="1"/>
      <c r="H14" s="1"/>
    </row>
    <row r="15" spans="1:9" s="109" customFormat="1" ht="20.100000000000001" customHeight="1">
      <c r="A15" s="112" t="s">
        <v>623</v>
      </c>
      <c r="B15" s="124"/>
      <c r="C15" s="113"/>
    </row>
    <row r="16" spans="1:9" s="109" customFormat="1" ht="20.100000000000001" customHeight="1">
      <c r="B16" s="125"/>
      <c r="C16" s="115">
        <f>C14-C15</f>
        <v>0</v>
      </c>
    </row>
    <row r="17" spans="1:9" s="23" customFormat="1" ht="20.100000000000001" customHeight="1">
      <c r="C17" s="23" t="str">
        <f>IF(C16=0,"OK","NO")</f>
        <v>OK</v>
      </c>
    </row>
    <row r="18" spans="1:9" ht="20.100000000000001" customHeight="1">
      <c r="A18" s="118"/>
      <c r="B18" s="118"/>
      <c r="C18" s="118"/>
      <c r="D18" s="119"/>
      <c r="E18" s="110"/>
      <c r="I18" s="5"/>
    </row>
    <row r="19" spans="1:9" ht="20.100000000000001" customHeight="1">
      <c r="A19" s="110"/>
      <c r="E19" s="110"/>
    </row>
    <row r="20" spans="1:9" ht="20.100000000000001" customHeight="1">
      <c r="A20" s="110"/>
      <c r="E20" s="110"/>
    </row>
    <row r="21" spans="1:9" ht="20.100000000000001" customHeight="1">
      <c r="A21" s="110"/>
    </row>
    <row r="22" spans="1:9" ht="20.100000000000001" customHeight="1">
      <c r="A22" s="110"/>
    </row>
  </sheetData>
  <phoneticPr fontId="78" type="noConversion"/>
  <hyperlinks>
    <hyperlink ref="D1" location="目录!A1" display="BACK"/>
  </hyperlinks>
  <pageMargins left="0.59027777777777801" right="0.47152777777777799" top="0.98402777777777795" bottom="0.98402777777777795" header="0.51180555555555596" footer="0.51180555555555596"/>
  <pageSetup paperSize="9" orientation="portrait" blackAndWhite="1"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5"/>
  <dimension ref="A1:I17"/>
  <sheetViews>
    <sheetView view="pageBreakPreview" zoomScaleNormal="100" zoomScaleSheetLayoutView="100" workbookViewId="0">
      <selection activeCell="B10" sqref="B10"/>
    </sheetView>
  </sheetViews>
  <sheetFormatPr defaultColWidth="9" defaultRowHeight="20.100000000000001" customHeight="1"/>
  <cols>
    <col min="1" max="1" width="20.19921875" style="99" customWidth="1"/>
    <col min="2" max="2" width="21.69921875" style="99" customWidth="1"/>
    <col min="3" max="3" width="18.59765625" style="99" customWidth="1"/>
    <col min="4" max="4" width="24.3984375" style="99" customWidth="1"/>
    <col min="5" max="5" width="18.09765625" style="99" customWidth="1"/>
    <col min="6" max="9" width="9" style="98"/>
    <col min="10" max="16384" width="9" style="99"/>
  </cols>
  <sheetData>
    <row r="1" spans="1:9" ht="24.9" customHeight="1">
      <c r="A1" s="159" t="s">
        <v>145</v>
      </c>
      <c r="B1" s="160">
        <f>基础信息!B6</f>
        <v>0</v>
      </c>
      <c r="C1" s="900" t="s">
        <v>146</v>
      </c>
      <c r="E1" s="100"/>
    </row>
    <row r="2" spans="1:9" ht="24.9" customHeight="1">
      <c r="A2" s="162" t="s">
        <v>147</v>
      </c>
      <c r="B2" s="163">
        <f>基础信息!B9</f>
        <v>0</v>
      </c>
      <c r="C2" s="161"/>
    </row>
    <row r="3" spans="1:9" ht="24.9" customHeight="1">
      <c r="A3" s="164" t="s">
        <v>148</v>
      </c>
      <c r="B3" s="164" t="s">
        <v>1721</v>
      </c>
      <c r="C3" s="165"/>
      <c r="D3" s="157"/>
    </row>
    <row r="4" spans="1:9" s="158" customFormat="1" ht="24.9" customHeight="1">
      <c r="A4" s="58" t="s">
        <v>305</v>
      </c>
      <c r="B4" s="166" t="s">
        <v>1722</v>
      </c>
      <c r="C4" s="167"/>
      <c r="D4" s="167"/>
    </row>
    <row r="5" spans="1:9" s="21" customFormat="1" ht="20.100000000000001" customHeight="1">
      <c r="A5" s="26"/>
      <c r="B5" s="12"/>
      <c r="C5" s="59"/>
      <c r="D5" s="59"/>
      <c r="E5" s="96"/>
      <c r="F5" s="96"/>
      <c r="G5" s="96"/>
      <c r="H5" s="96"/>
    </row>
    <row r="6" spans="1:9" s="21" customFormat="1" ht="20.100000000000001" customHeight="1">
      <c r="A6" s="26"/>
      <c r="B6" s="12"/>
      <c r="C6" s="59"/>
      <c r="D6" s="59"/>
      <c r="E6" s="96"/>
      <c r="F6" s="96"/>
      <c r="G6" s="96"/>
      <c r="H6" s="96"/>
    </row>
    <row r="7" spans="1:9" s="21" customFormat="1" ht="20.100000000000001" customHeight="1">
      <c r="A7" s="26"/>
      <c r="B7" s="12"/>
      <c r="C7" s="59"/>
      <c r="D7" s="59"/>
      <c r="E7" s="96"/>
      <c r="F7" s="96"/>
      <c r="G7" s="96"/>
      <c r="H7" s="96"/>
    </row>
    <row r="8" spans="1:9" s="21" customFormat="1" ht="20.100000000000001" customHeight="1">
      <c r="A8" s="26"/>
      <c r="B8" s="12"/>
      <c r="C8" s="59"/>
      <c r="D8" s="59"/>
      <c r="E8" s="96"/>
      <c r="F8" s="96"/>
      <c r="G8" s="96"/>
      <c r="H8" s="96"/>
    </row>
    <row r="9" spans="1:9" s="21" customFormat="1" ht="20.100000000000001" customHeight="1">
      <c r="A9" s="26" t="s">
        <v>632</v>
      </c>
      <c r="B9" s="14">
        <f>SUM(B5:B8)</f>
        <v>0</v>
      </c>
      <c r="C9" s="59"/>
      <c r="D9" s="59"/>
      <c r="E9" s="155"/>
      <c r="F9" s="96"/>
      <c r="G9" s="96"/>
      <c r="H9" s="96"/>
    </row>
    <row r="10" spans="1:9" s="112" customFormat="1" ht="20.100000000000001" customHeight="1">
      <c r="A10" s="112" t="s">
        <v>623</v>
      </c>
      <c r="B10" s="113"/>
      <c r="C10" s="59"/>
      <c r="D10" s="59"/>
    </row>
    <row r="11" spans="1:9" s="112" customFormat="1" ht="20.100000000000001" customHeight="1">
      <c r="B11" s="113">
        <f>B9-B10</f>
        <v>0</v>
      </c>
    </row>
    <row r="12" spans="1:9" s="94" customFormat="1" ht="20.100000000000001" customHeight="1">
      <c r="B12" s="94" t="str">
        <f>IF(B11=0,"OK","NO")</f>
        <v>OK</v>
      </c>
    </row>
    <row r="13" spans="1:9" ht="20.100000000000001" customHeight="1">
      <c r="A13" s="144"/>
      <c r="B13" s="144"/>
      <c r="C13" s="144"/>
      <c r="D13" s="157"/>
      <c r="E13" s="98"/>
      <c r="I13" s="99"/>
    </row>
    <row r="14" spans="1:9" ht="20.100000000000001" customHeight="1">
      <c r="A14" s="98"/>
      <c r="E14" s="98"/>
    </row>
    <row r="15" spans="1:9" ht="20.100000000000001" customHeight="1">
      <c r="A15" s="98"/>
      <c r="E15" s="98"/>
    </row>
    <row r="16" spans="1:9" ht="20.100000000000001" customHeight="1">
      <c r="A16" s="98"/>
    </row>
    <row r="17" spans="1:1" ht="20.100000000000001" customHeight="1">
      <c r="A17" s="98"/>
    </row>
  </sheetData>
  <phoneticPr fontId="78" type="noConversion"/>
  <hyperlinks>
    <hyperlink ref="C1" location="目录!A1" display="BACK"/>
  </hyperlinks>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6"/>
  <dimension ref="A1:I17"/>
  <sheetViews>
    <sheetView view="pageBreakPreview" zoomScaleNormal="100" zoomScaleSheetLayoutView="100" workbookViewId="0">
      <selection activeCell="B10" sqref="B10"/>
    </sheetView>
  </sheetViews>
  <sheetFormatPr defaultColWidth="9" defaultRowHeight="20.100000000000001" customHeight="1"/>
  <cols>
    <col min="1" max="1" width="20.19921875" style="99" customWidth="1"/>
    <col min="2" max="2" width="21.69921875" style="99" customWidth="1"/>
    <col min="3" max="3" width="18.59765625" style="99" customWidth="1"/>
    <col min="4" max="4" width="24.3984375" style="99" customWidth="1"/>
    <col min="5" max="5" width="18.09765625" style="99" customWidth="1"/>
    <col min="6" max="9" width="9" style="98"/>
    <col min="10" max="16384" width="9" style="99"/>
  </cols>
  <sheetData>
    <row r="1" spans="1:9" s="151" customFormat="1" ht="24.9" customHeight="1">
      <c r="A1" s="6" t="s">
        <v>145</v>
      </c>
      <c r="B1" s="7">
        <f>基础信息!B6</f>
        <v>0</v>
      </c>
      <c r="C1" s="900" t="s">
        <v>146</v>
      </c>
      <c r="E1" s="153"/>
    </row>
    <row r="2" spans="1:9" s="151" customFormat="1" ht="24.9" customHeight="1">
      <c r="A2" s="6" t="s">
        <v>147</v>
      </c>
      <c r="B2" s="7">
        <f>基础信息!B9</f>
        <v>0</v>
      </c>
      <c r="C2" s="152"/>
    </row>
    <row r="3" spans="1:9" s="151" customFormat="1" ht="24.9" customHeight="1">
      <c r="A3" s="149" t="s">
        <v>148</v>
      </c>
      <c r="B3" s="149" t="s">
        <v>1723</v>
      </c>
      <c r="C3" s="154"/>
    </row>
    <row r="4" spans="1:9" s="21" customFormat="1" ht="24.9" customHeight="1">
      <c r="A4" s="82" t="s">
        <v>729</v>
      </c>
      <c r="B4" s="81" t="s">
        <v>1724</v>
      </c>
      <c r="C4" s="112"/>
      <c r="D4" s="59"/>
      <c r="E4" s="96"/>
      <c r="F4" s="96"/>
      <c r="G4" s="96"/>
      <c r="H4" s="96"/>
    </row>
    <row r="5" spans="1:9" s="21" customFormat="1" ht="20.100000000000001" customHeight="1">
      <c r="A5" s="88"/>
      <c r="B5" s="85"/>
      <c r="C5" s="112"/>
      <c r="D5" s="59"/>
      <c r="E5" s="96"/>
      <c r="F5" s="96"/>
      <c r="G5" s="96"/>
      <c r="H5" s="96"/>
    </row>
    <row r="6" spans="1:9" s="21" customFormat="1" ht="20.100000000000001" customHeight="1">
      <c r="A6" s="88"/>
      <c r="B6" s="85"/>
      <c r="C6" s="112"/>
      <c r="D6" s="59"/>
      <c r="E6" s="96"/>
      <c r="F6" s="96"/>
      <c r="G6" s="96"/>
      <c r="H6" s="96"/>
    </row>
    <row r="7" spans="1:9" s="21" customFormat="1" ht="20.100000000000001" customHeight="1">
      <c r="A7" s="88"/>
      <c r="B7" s="85"/>
      <c r="C7" s="112"/>
      <c r="D7" s="59"/>
      <c r="E7" s="96"/>
      <c r="F7" s="96"/>
      <c r="G7" s="96"/>
      <c r="H7" s="96"/>
    </row>
    <row r="8" spans="1:9" s="21" customFormat="1" ht="20.100000000000001" customHeight="1">
      <c r="A8" s="88"/>
      <c r="B8" s="85"/>
      <c r="C8" s="112"/>
      <c r="D8" s="59"/>
      <c r="E8" s="96"/>
      <c r="F8" s="96"/>
      <c r="G8" s="96"/>
      <c r="H8" s="96"/>
    </row>
    <row r="9" spans="1:9" s="21" customFormat="1" ht="20.100000000000001" customHeight="1">
      <c r="A9" s="88" t="s">
        <v>632</v>
      </c>
      <c r="B9" s="84">
        <f>SUM(B5:B8)</f>
        <v>0</v>
      </c>
      <c r="C9" s="112"/>
      <c r="D9" s="59"/>
      <c r="E9" s="155"/>
      <c r="F9" s="96"/>
      <c r="G9" s="96"/>
      <c r="H9" s="96"/>
    </row>
    <row r="10" spans="1:9" s="112" customFormat="1" ht="20.100000000000001" customHeight="1">
      <c r="A10" s="112" t="s">
        <v>623</v>
      </c>
      <c r="B10" s="113"/>
    </row>
    <row r="11" spans="1:9" s="112" customFormat="1" ht="20.100000000000001" customHeight="1">
      <c r="B11" s="113">
        <f>B9-B10</f>
        <v>0</v>
      </c>
    </row>
    <row r="12" spans="1:9" s="94" customFormat="1" ht="20.100000000000001" customHeight="1">
      <c r="B12" s="94" t="str">
        <f>IF(B11=0,"OK","NO")</f>
        <v>OK</v>
      </c>
      <c r="C12" s="112"/>
    </row>
    <row r="13" spans="1:9" ht="20.100000000000001" customHeight="1">
      <c r="A13" s="144"/>
      <c r="B13" s="144"/>
      <c r="C13" s="156"/>
      <c r="D13" s="157"/>
      <c r="E13" s="98"/>
      <c r="I13" s="99"/>
    </row>
    <row r="14" spans="1:9" ht="20.100000000000001" customHeight="1">
      <c r="A14" s="98"/>
      <c r="E14" s="98"/>
    </row>
    <row r="15" spans="1:9" ht="20.100000000000001" customHeight="1">
      <c r="A15" s="98"/>
      <c r="E15" s="98"/>
    </row>
    <row r="16" spans="1:9" ht="20.100000000000001" customHeight="1">
      <c r="A16" s="98"/>
    </row>
    <row r="17" spans="1:1" ht="20.100000000000001" customHeight="1">
      <c r="A17" s="98"/>
    </row>
  </sheetData>
  <phoneticPr fontId="78" type="noConversion"/>
  <hyperlinks>
    <hyperlink ref="C1" location="目录!A1" display="BACK"/>
  </hyperlinks>
  <pageMargins left="0.70763888888888904" right="0.70763888888888904" top="0.74791666666666701" bottom="0.74791666666666701" header="0.31388888888888899" footer="0.31388888888888899"/>
  <pageSetup paperSize="9" orientation="portrait" blackAndWhite="1" horizontalDpi="1200" verticalDpi="1200"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7"/>
  <dimension ref="A1:E12"/>
  <sheetViews>
    <sheetView view="pageBreakPreview" zoomScaleNormal="100" zoomScaleSheetLayoutView="100" workbookViewId="0">
      <selection activeCell="B10" sqref="B10"/>
    </sheetView>
  </sheetViews>
  <sheetFormatPr defaultColWidth="9" defaultRowHeight="15.6"/>
  <cols>
    <col min="1" max="1" width="19.69921875" customWidth="1"/>
    <col min="2" max="2" width="26.19921875" customWidth="1"/>
  </cols>
  <sheetData>
    <row r="1" spans="1:5">
      <c r="A1" s="6" t="s">
        <v>145</v>
      </c>
      <c r="B1" s="7">
        <f>基础信息!B6</f>
        <v>0</v>
      </c>
      <c r="E1" s="900" t="s">
        <v>146</v>
      </c>
    </row>
    <row r="2" spans="1:5">
      <c r="A2" s="6" t="s">
        <v>147</v>
      </c>
      <c r="B2" s="7">
        <f>基础信息!B9</f>
        <v>0</v>
      </c>
    </row>
    <row r="3" spans="1:5">
      <c r="A3" s="149" t="s">
        <v>148</v>
      </c>
      <c r="B3" s="150" t="s">
        <v>97</v>
      </c>
    </row>
    <row r="4" spans="1:5">
      <c r="A4" s="82" t="s">
        <v>729</v>
      </c>
      <c r="B4" s="81" t="s">
        <v>1724</v>
      </c>
    </row>
    <row r="5" spans="1:5">
      <c r="A5" s="88"/>
      <c r="B5" s="85"/>
    </row>
    <row r="6" spans="1:5">
      <c r="A6" s="88"/>
      <c r="B6" s="85"/>
    </row>
    <row r="7" spans="1:5">
      <c r="A7" s="88"/>
      <c r="B7" s="85"/>
    </row>
    <row r="8" spans="1:5">
      <c r="A8" s="88"/>
      <c r="B8" s="85"/>
    </row>
    <row r="9" spans="1:5">
      <c r="A9" s="88" t="s">
        <v>632</v>
      </c>
      <c r="B9" s="84">
        <f>SUM(B5:B8)</f>
        <v>0</v>
      </c>
    </row>
    <row r="10" spans="1:5">
      <c r="A10" s="112" t="s">
        <v>623</v>
      </c>
      <c r="B10" s="113"/>
    </row>
    <row r="11" spans="1:5">
      <c r="A11" s="112"/>
      <c r="B11" s="113">
        <f>B9-B10</f>
        <v>0</v>
      </c>
    </row>
    <row r="12" spans="1:5">
      <c r="A12" s="94"/>
      <c r="B12" s="94" t="str">
        <f>IF(B11=0,"OK","NO")</f>
        <v>OK</v>
      </c>
    </row>
  </sheetData>
  <phoneticPr fontId="78" type="noConversion"/>
  <hyperlinks>
    <hyperlink ref="E1" location="目录!A1" display="BACK"/>
  </hyperlinks>
  <pageMargins left="0.75" right="0.75" top="1" bottom="1" header="0.51180555555555596" footer="0.51180555555555596"/>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8"/>
  <dimension ref="A1:I21"/>
  <sheetViews>
    <sheetView view="pageBreakPreview" zoomScaleNormal="100" zoomScaleSheetLayoutView="100" workbookViewId="0">
      <selection activeCell="B13" sqref="B13"/>
    </sheetView>
  </sheetViews>
  <sheetFormatPr defaultColWidth="9" defaultRowHeight="20.100000000000001" customHeight="1"/>
  <cols>
    <col min="1" max="2" width="30.59765625" style="99" customWidth="1"/>
    <col min="3" max="3" width="31.8984375" style="99" customWidth="1"/>
    <col min="4" max="5" width="24.59765625" style="99" customWidth="1"/>
    <col min="6" max="16384" width="9" style="99"/>
  </cols>
  <sheetData>
    <row r="1" spans="1:5" ht="20.100000000000001" customHeight="1">
      <c r="A1" s="48" t="s">
        <v>145</v>
      </c>
      <c r="B1" s="49">
        <f>基础信息!B6</f>
        <v>0</v>
      </c>
      <c r="C1" s="900" t="s">
        <v>146</v>
      </c>
      <c r="E1" s="100"/>
    </row>
    <row r="2" spans="1:5" ht="24.9" customHeight="1">
      <c r="A2" s="48" t="s">
        <v>147</v>
      </c>
      <c r="B2" s="49">
        <f>基础信息!B9</f>
        <v>0</v>
      </c>
    </row>
    <row r="3" spans="1:5" s="98" customFormat="1" ht="20.100000000000001" customHeight="1">
      <c r="A3" s="91" t="s">
        <v>148</v>
      </c>
      <c r="B3" s="91" t="s">
        <v>1725</v>
      </c>
      <c r="C3" s="99"/>
      <c r="E3" s="99"/>
    </row>
    <row r="4" spans="1:5" s="96" customFormat="1" ht="20.100000000000001" customHeight="1">
      <c r="A4" s="82" t="s">
        <v>729</v>
      </c>
      <c r="B4" s="145" t="s">
        <v>1724</v>
      </c>
      <c r="C4" s="59"/>
      <c r="D4" s="21"/>
    </row>
    <row r="5" spans="1:5" s="96" customFormat="1" ht="20.100000000000001" customHeight="1">
      <c r="A5" s="930" t="s">
        <v>2060</v>
      </c>
      <c r="B5" s="85"/>
      <c r="C5" s="59"/>
      <c r="D5" s="21"/>
    </row>
    <row r="6" spans="1:5" s="96" customFormat="1" ht="20.100000000000001" customHeight="1">
      <c r="A6" s="87" t="s">
        <v>1726</v>
      </c>
      <c r="B6" s="85"/>
      <c r="C6" s="59"/>
      <c r="D6" s="21"/>
    </row>
    <row r="7" spans="1:5" s="96" customFormat="1" ht="20.100000000000001" customHeight="1">
      <c r="A7" s="87" t="s">
        <v>1727</v>
      </c>
      <c r="B7" s="85"/>
      <c r="C7" s="59"/>
      <c r="D7" s="21"/>
    </row>
    <row r="8" spans="1:5" s="96" customFormat="1" ht="20.100000000000001" customHeight="1">
      <c r="A8" s="87" t="s">
        <v>1728</v>
      </c>
      <c r="B8" s="85"/>
      <c r="C8" s="59"/>
    </row>
    <row r="9" spans="1:5" s="96" customFormat="1" ht="20.100000000000001" customHeight="1">
      <c r="A9" s="87" t="s">
        <v>1729</v>
      </c>
      <c r="B9" s="85"/>
      <c r="C9" s="59"/>
    </row>
    <row r="10" spans="1:5" s="96" customFormat="1" ht="20.100000000000001" customHeight="1">
      <c r="A10" s="87" t="s">
        <v>1730</v>
      </c>
      <c r="B10" s="85"/>
      <c r="C10" s="59"/>
    </row>
    <row r="11" spans="1:5" s="96" customFormat="1" ht="20.100000000000001" customHeight="1">
      <c r="A11" s="87" t="s">
        <v>1731</v>
      </c>
      <c r="B11" s="85"/>
      <c r="C11" s="59"/>
    </row>
    <row r="12" spans="1:5" s="96" customFormat="1" ht="20.100000000000001" customHeight="1">
      <c r="A12" s="87" t="s">
        <v>632</v>
      </c>
      <c r="B12" s="85"/>
      <c r="C12" s="59"/>
    </row>
    <row r="13" spans="1:5" s="112" customFormat="1" ht="20.100000000000001" customHeight="1">
      <c r="A13" s="146" t="s">
        <v>623</v>
      </c>
      <c r="B13" s="113"/>
    </row>
    <row r="14" spans="1:5" s="112" customFormat="1" ht="20.100000000000001" customHeight="1">
      <c r="B14" s="113">
        <f>B12-B13</f>
        <v>0</v>
      </c>
    </row>
    <row r="15" spans="1:5" s="94" customFormat="1" ht="20.100000000000001" customHeight="1">
      <c r="B15" s="94" t="str">
        <f>IF(B14=0,"OK","NO")</f>
        <v>OK</v>
      </c>
    </row>
    <row r="16" spans="1:5" s="96" customFormat="1" ht="20.100000000000001" customHeight="1">
      <c r="A16" s="59" t="s">
        <v>651</v>
      </c>
      <c r="B16" s="59"/>
      <c r="C16" s="59"/>
    </row>
    <row r="17" spans="1:9" s="96" customFormat="1" ht="20.100000000000001" customHeight="1">
      <c r="A17" s="1052" t="s">
        <v>1732</v>
      </c>
      <c r="B17" s="1052"/>
      <c r="C17" s="147"/>
    </row>
    <row r="18" spans="1:9" s="98" customFormat="1" ht="20.100000000000001" customHeight="1">
      <c r="A18" s="148"/>
      <c r="B18" s="99"/>
      <c r="C18" s="99"/>
    </row>
    <row r="19" spans="1:9" ht="20.100000000000001" customHeight="1">
      <c r="A19" s="98"/>
      <c r="E19" s="98"/>
      <c r="F19" s="98"/>
      <c r="G19" s="98"/>
      <c r="H19" s="98"/>
      <c r="I19" s="98"/>
    </row>
    <row r="20" spans="1:9" ht="20.100000000000001" customHeight="1">
      <c r="E20" s="98"/>
      <c r="F20" s="98"/>
      <c r="G20" s="98"/>
      <c r="H20" s="98"/>
      <c r="I20" s="98"/>
    </row>
    <row r="21" spans="1:9" ht="20.100000000000001" customHeight="1">
      <c r="E21" s="98"/>
    </row>
  </sheetData>
  <mergeCells count="1">
    <mergeCell ref="A17:B17"/>
  </mergeCells>
  <phoneticPr fontId="78" type="noConversion"/>
  <hyperlinks>
    <hyperlink ref="C1" location="目录!A1" display="BACK"/>
  </hyperlinks>
  <pageMargins left="0.74791666666666701" right="0.74791666666666701" top="0.98402777777777795" bottom="0.98402777777777795" header="0.51180555555555596" footer="0.51180555555555596"/>
  <pageSetup paperSize="9" orientation="portrait" blackAndWhite="1" r:id="rId1"/>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1"/>
  <dimension ref="A1:Q20"/>
  <sheetViews>
    <sheetView view="pageBreakPreview" zoomScaleNormal="100" zoomScaleSheetLayoutView="100" workbookViewId="0">
      <selection activeCell="B16" sqref="B16"/>
    </sheetView>
  </sheetViews>
  <sheetFormatPr defaultColWidth="9" defaultRowHeight="20.100000000000001" customHeight="1"/>
  <cols>
    <col min="1" max="1" width="30.59765625" style="5" customWidth="1"/>
    <col min="2" max="2" width="22" style="5" customWidth="1"/>
    <col min="3" max="3" width="27.69921875" style="5" customWidth="1"/>
    <col min="4" max="4" width="23.19921875" style="5" customWidth="1"/>
    <col min="5" max="5" width="12.69921875" style="5" customWidth="1"/>
    <col min="6" max="6" width="12.59765625" style="5" customWidth="1"/>
    <col min="7" max="15" width="12.09765625" style="5" customWidth="1"/>
    <col min="16" max="17" width="9" style="110"/>
    <col min="18" max="16384" width="9" style="5"/>
  </cols>
  <sheetData>
    <row r="1" spans="1:17" s="16" customFormat="1" ht="24.9" customHeight="1">
      <c r="A1" s="6" t="s">
        <v>145</v>
      </c>
      <c r="B1" s="7">
        <f>基础信息!B6</f>
        <v>0</v>
      </c>
      <c r="E1" s="900" t="s">
        <v>146</v>
      </c>
      <c r="P1" s="122"/>
      <c r="Q1" s="122"/>
    </row>
    <row r="2" spans="1:17" s="16" customFormat="1" ht="24.9" customHeight="1">
      <c r="A2" s="6" t="s">
        <v>147</v>
      </c>
      <c r="B2" s="7">
        <f>基础信息!B9</f>
        <v>0</v>
      </c>
      <c r="P2" s="122"/>
      <c r="Q2" s="122"/>
    </row>
    <row r="3" spans="1:17" s="16" customFormat="1" ht="24.9" customHeight="1">
      <c r="A3" s="68" t="s">
        <v>148</v>
      </c>
      <c r="B3" s="127" t="s">
        <v>100</v>
      </c>
      <c r="D3" s="122"/>
      <c r="E3" s="122"/>
      <c r="F3" s="122"/>
      <c r="G3" s="122"/>
      <c r="H3" s="122"/>
      <c r="I3" s="122"/>
      <c r="J3" s="122"/>
      <c r="K3" s="122"/>
      <c r="L3" s="122"/>
      <c r="M3" s="122"/>
      <c r="N3" s="122"/>
      <c r="O3" s="122"/>
      <c r="P3" s="122"/>
      <c r="Q3" s="122"/>
    </row>
    <row r="4" spans="1:17" s="121" customFormat="1" ht="24.9" customHeight="1">
      <c r="A4" s="45" t="s">
        <v>1747</v>
      </c>
      <c r="B4" s="45" t="s">
        <v>1748</v>
      </c>
      <c r="C4" s="45" t="s">
        <v>1749</v>
      </c>
      <c r="D4" s="45" t="s">
        <v>1750</v>
      </c>
      <c r="E4" s="9"/>
      <c r="F4" s="9"/>
      <c r="G4" s="9"/>
      <c r="H4" s="9"/>
      <c r="I4" s="9"/>
      <c r="J4" s="9"/>
      <c r="K4" s="9"/>
      <c r="L4" s="9"/>
      <c r="M4" s="9"/>
      <c r="N4" s="9"/>
      <c r="O4" s="9"/>
      <c r="P4" s="9"/>
      <c r="Q4" s="9"/>
    </row>
    <row r="5" spans="1:17" s="3" customFormat="1" ht="20.100000000000001" customHeight="1">
      <c r="A5" s="11"/>
      <c r="B5" s="12"/>
      <c r="C5" s="12"/>
      <c r="D5" s="12"/>
      <c r="E5" s="1"/>
      <c r="F5" s="1"/>
      <c r="G5" s="1"/>
      <c r="H5" s="1"/>
      <c r="I5" s="1"/>
      <c r="J5" s="1"/>
      <c r="K5" s="1"/>
      <c r="L5" s="1"/>
      <c r="M5" s="1"/>
      <c r="N5" s="1"/>
      <c r="O5" s="1"/>
      <c r="P5" s="1" t="s">
        <v>1751</v>
      </c>
      <c r="Q5" s="1"/>
    </row>
    <row r="6" spans="1:17" s="3" customFormat="1" ht="20.100000000000001" customHeight="1">
      <c r="A6" s="11"/>
      <c r="B6" s="12"/>
      <c r="C6" s="12"/>
      <c r="D6" s="12"/>
      <c r="E6" s="1"/>
      <c r="F6" s="1"/>
      <c r="G6" s="1"/>
      <c r="H6" s="1"/>
      <c r="I6" s="1"/>
      <c r="J6" s="1"/>
      <c r="K6" s="1"/>
      <c r="L6" s="1"/>
      <c r="M6" s="1"/>
      <c r="N6" s="1"/>
      <c r="O6" s="1"/>
      <c r="P6" s="1" t="s">
        <v>1752</v>
      </c>
      <c r="Q6" s="1"/>
    </row>
    <row r="7" spans="1:17" s="3" customFormat="1" ht="20.100000000000001" customHeight="1">
      <c r="A7" s="11"/>
      <c r="B7" s="12"/>
      <c r="C7" s="12"/>
      <c r="D7" s="12"/>
      <c r="E7" s="1"/>
      <c r="F7" s="1"/>
      <c r="G7" s="1"/>
      <c r="H7" s="1"/>
      <c r="I7" s="1"/>
      <c r="J7" s="1"/>
      <c r="K7" s="1"/>
      <c r="L7" s="1"/>
      <c r="M7" s="1"/>
      <c r="N7" s="1"/>
      <c r="O7" s="1"/>
      <c r="P7" s="1" t="s">
        <v>1753</v>
      </c>
      <c r="Q7" s="1"/>
    </row>
    <row r="8" spans="1:17" s="3" customFormat="1" ht="20.100000000000001" customHeight="1">
      <c r="A8" s="11"/>
      <c r="B8" s="12"/>
      <c r="C8" s="12"/>
      <c r="D8" s="12"/>
      <c r="E8" s="1"/>
      <c r="F8" s="1"/>
      <c r="G8" s="1"/>
      <c r="H8" s="1"/>
      <c r="I8" s="1"/>
      <c r="J8" s="1"/>
      <c r="K8" s="1"/>
      <c r="L8" s="1"/>
      <c r="M8" s="1"/>
      <c r="N8" s="1"/>
      <c r="O8" s="1"/>
      <c r="P8" s="1" t="s">
        <v>1754</v>
      </c>
      <c r="Q8" s="1"/>
    </row>
    <row r="9" spans="1:17" s="3" customFormat="1" ht="20.100000000000001" customHeight="1">
      <c r="A9" s="11"/>
      <c r="B9" s="12"/>
      <c r="C9" s="12"/>
      <c r="D9" s="12"/>
      <c r="E9" s="1"/>
      <c r="F9" s="1"/>
      <c r="G9" s="1"/>
      <c r="H9" s="1"/>
      <c r="I9" s="1"/>
      <c r="J9" s="1"/>
      <c r="K9" s="1"/>
      <c r="L9" s="1"/>
      <c r="M9" s="1"/>
      <c r="N9" s="1"/>
      <c r="O9" s="1"/>
      <c r="P9" s="1" t="s">
        <v>172</v>
      </c>
      <c r="Q9" s="1"/>
    </row>
    <row r="10" spans="1:17" s="3" customFormat="1" ht="20.100000000000001" customHeight="1">
      <c r="A10" s="11"/>
      <c r="B10" s="12"/>
      <c r="C10" s="12"/>
      <c r="D10" s="12"/>
      <c r="E10" s="1"/>
      <c r="F10" s="1"/>
      <c r="G10" s="1"/>
      <c r="H10" s="1"/>
      <c r="I10" s="1"/>
      <c r="J10" s="1"/>
      <c r="K10" s="1"/>
      <c r="L10" s="1"/>
      <c r="M10" s="1"/>
      <c r="N10" s="1"/>
      <c r="O10" s="1"/>
      <c r="P10" s="1" t="s">
        <v>1755</v>
      </c>
      <c r="Q10" s="1"/>
    </row>
    <row r="11" spans="1:17" s="3" customFormat="1" ht="20.100000000000001" customHeight="1">
      <c r="A11" s="11"/>
      <c r="B11" s="12"/>
      <c r="C11" s="12"/>
      <c r="D11" s="12"/>
      <c r="E11" s="1"/>
      <c r="F11" s="1"/>
      <c r="G11" s="1"/>
      <c r="H11" s="1"/>
      <c r="I11" s="1"/>
      <c r="J11" s="1"/>
      <c r="K11" s="1"/>
      <c r="L11" s="1"/>
      <c r="M11" s="1"/>
      <c r="N11" s="1"/>
      <c r="O11" s="1"/>
      <c r="P11" s="1" t="s">
        <v>1756</v>
      </c>
      <c r="Q11" s="1"/>
    </row>
    <row r="12" spans="1:17" s="3" customFormat="1" ht="20.100000000000001" customHeight="1">
      <c r="A12" s="11"/>
      <c r="B12" s="12"/>
      <c r="C12" s="12"/>
      <c r="D12" s="12"/>
      <c r="E12" s="1"/>
      <c r="F12" s="1"/>
      <c r="G12" s="1"/>
      <c r="H12" s="1"/>
      <c r="I12" s="1"/>
      <c r="J12" s="1"/>
      <c r="K12" s="1"/>
      <c r="L12" s="1"/>
      <c r="M12" s="1"/>
      <c r="N12" s="1"/>
      <c r="O12" s="1"/>
      <c r="P12" s="1" t="s">
        <v>1757</v>
      </c>
      <c r="Q12" s="1"/>
    </row>
    <row r="13" spans="1:17" s="3" customFormat="1" ht="20.100000000000001" customHeight="1">
      <c r="A13" s="11" t="s">
        <v>2099</v>
      </c>
      <c r="B13" s="12"/>
      <c r="C13" s="12"/>
      <c r="D13" s="12"/>
      <c r="E13" s="1"/>
      <c r="F13" s="1"/>
      <c r="G13" s="1"/>
      <c r="H13" s="1"/>
      <c r="I13" s="1"/>
      <c r="J13" s="1"/>
      <c r="K13" s="1"/>
      <c r="L13" s="1"/>
      <c r="M13" s="1"/>
      <c r="N13" s="1"/>
      <c r="O13" s="1"/>
      <c r="P13" s="1" t="s">
        <v>1758</v>
      </c>
      <c r="Q13" s="1"/>
    </row>
    <row r="14" spans="1:17" s="3" customFormat="1" ht="20.100000000000001" customHeight="1">
      <c r="A14" s="11"/>
      <c r="B14" s="12"/>
      <c r="C14" s="12"/>
      <c r="D14" s="12"/>
      <c r="E14" s="1"/>
      <c r="F14" s="1"/>
      <c r="G14" s="1"/>
      <c r="H14" s="1"/>
      <c r="I14" s="1"/>
      <c r="J14" s="1"/>
      <c r="K14" s="1"/>
      <c r="L14" s="1"/>
      <c r="M14" s="1"/>
      <c r="N14" s="1"/>
      <c r="O14" s="1"/>
      <c r="P14" s="1"/>
      <c r="Q14" s="1"/>
    </row>
    <row r="15" spans="1:17" s="3" customFormat="1" ht="20.100000000000001" customHeight="1">
      <c r="A15" s="26" t="s">
        <v>632</v>
      </c>
      <c r="B15" s="14">
        <f>SUM(B5:B14)</f>
        <v>0</v>
      </c>
      <c r="C15" s="14">
        <f>SUM(C5:C14)</f>
        <v>0</v>
      </c>
      <c r="D15" s="14"/>
      <c r="E15" s="1"/>
      <c r="F15" s="1"/>
      <c r="G15" s="1"/>
      <c r="H15" s="1"/>
      <c r="I15" s="1"/>
      <c r="J15" s="1"/>
      <c r="K15" s="1"/>
      <c r="L15" s="1"/>
      <c r="M15" s="1"/>
      <c r="N15" s="1"/>
      <c r="O15" s="1"/>
      <c r="P15" s="1"/>
      <c r="Q15" s="1"/>
    </row>
    <row r="16" spans="1:17" s="109" customFormat="1" ht="20.100000000000001" customHeight="1">
      <c r="A16" s="112" t="s">
        <v>623</v>
      </c>
      <c r="B16" s="113"/>
      <c r="C16" s="124"/>
      <c r="D16" s="124"/>
    </row>
    <row r="17" spans="1:17" s="109" customFormat="1" ht="20.100000000000001" customHeight="1">
      <c r="B17" s="115">
        <f>B15-B16</f>
        <v>0</v>
      </c>
      <c r="C17" s="125"/>
    </row>
    <row r="18" spans="1:17" s="23" customFormat="1" ht="20.100000000000001" customHeight="1">
      <c r="B18" s="23" t="str">
        <f>IF(B17=0,"OK","NO")</f>
        <v>OK</v>
      </c>
    </row>
    <row r="19" spans="1:17" s="3" customFormat="1" ht="13.8">
      <c r="A19" s="1130" t="s">
        <v>1759</v>
      </c>
      <c r="B19" s="1125"/>
      <c r="C19" s="1125"/>
      <c r="D19" s="1125"/>
      <c r="E19" s="129"/>
      <c r="P19" s="1"/>
      <c r="Q19" s="1"/>
    </row>
    <row r="20" spans="1:17" ht="20.100000000000001" customHeight="1">
      <c r="A20" s="126"/>
      <c r="B20" s="126"/>
      <c r="C20" s="126"/>
      <c r="D20" s="126"/>
      <c r="E20" s="126"/>
    </row>
  </sheetData>
  <mergeCells count="1">
    <mergeCell ref="A19:D19"/>
  </mergeCells>
  <phoneticPr fontId="78" type="noConversion"/>
  <hyperlinks>
    <hyperlink ref="E1" location="目录!A1" display="BACK"/>
  </hyperlinks>
  <pageMargins left="0.43263888888888902" right="0.47152777777777799" top="0.98402777777777795" bottom="0.98402777777777795" header="0.51180555555555596" footer="0.51180555555555596"/>
  <pageSetup paperSize="9" scale="84" orientation="portrait" blackAndWhite="1" r:id="rId1"/>
  <headerFooter alignWithMargins="0"/>
  <rowBreaks count="1" manualBreakCount="1">
    <brk id="33" max="16383" man="1"/>
  </rowBreak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2"/>
  <dimension ref="A1:X33"/>
  <sheetViews>
    <sheetView view="pageBreakPreview" zoomScaleNormal="100" zoomScaleSheetLayoutView="100" workbookViewId="0">
      <selection activeCell="B17" sqref="B17"/>
    </sheetView>
  </sheetViews>
  <sheetFormatPr defaultColWidth="9" defaultRowHeight="20.100000000000001" customHeight="1"/>
  <cols>
    <col min="1" max="1" width="64" style="99" customWidth="1"/>
    <col min="2" max="2" width="30.59765625" style="99" customWidth="1"/>
    <col min="3" max="3" width="33.5" style="99" customWidth="1"/>
    <col min="4" max="4" width="21.09765625" style="99" customWidth="1"/>
    <col min="5" max="5" width="24.59765625" style="98" customWidth="1"/>
    <col min="6" max="24" width="9" style="98"/>
    <col min="25" max="16384" width="9" style="99"/>
  </cols>
  <sheetData>
    <row r="1" spans="1:23" ht="24.9" customHeight="1">
      <c r="A1" s="48" t="s">
        <v>145</v>
      </c>
      <c r="B1" s="49">
        <f>基础信息!B6</f>
        <v>0</v>
      </c>
      <c r="C1" s="900" t="s">
        <v>146</v>
      </c>
      <c r="E1" s="100"/>
    </row>
    <row r="2" spans="1:23" ht="24.9" customHeight="1">
      <c r="A2" s="48" t="s">
        <v>147</v>
      </c>
      <c r="B2" s="49">
        <f>基础信息!B9</f>
        <v>0</v>
      </c>
    </row>
    <row r="3" spans="1:23" ht="24.9" customHeight="1">
      <c r="A3" s="91" t="s">
        <v>148</v>
      </c>
      <c r="B3" s="91" t="s">
        <v>1760</v>
      </c>
    </row>
    <row r="4" spans="1:23" s="96" customFormat="1" ht="24.9" customHeight="1">
      <c r="A4" s="136" t="s">
        <v>1761</v>
      </c>
      <c r="B4" s="136"/>
    </row>
    <row r="5" spans="1:23" s="21" customFormat="1" ht="24.9" customHeight="1">
      <c r="A5" s="82" t="s">
        <v>729</v>
      </c>
      <c r="B5" s="81" t="s">
        <v>1724</v>
      </c>
      <c r="C5" s="96"/>
      <c r="D5" s="96"/>
      <c r="E5" s="96"/>
      <c r="F5" s="96"/>
      <c r="G5" s="96"/>
      <c r="H5" s="96"/>
      <c r="I5" s="96"/>
      <c r="J5" s="96"/>
      <c r="K5" s="96"/>
      <c r="L5" s="96"/>
      <c r="M5" s="96"/>
      <c r="N5" s="96"/>
      <c r="O5" s="96"/>
      <c r="P5" s="96"/>
      <c r="Q5" s="96"/>
      <c r="R5" s="96"/>
      <c r="S5" s="96"/>
      <c r="T5" s="96"/>
      <c r="U5" s="96"/>
      <c r="V5" s="96"/>
      <c r="W5" s="96"/>
    </row>
    <row r="6" spans="1:23" s="21" customFormat="1" ht="20.100000000000001" customHeight="1">
      <c r="A6" s="11" t="s">
        <v>1762</v>
      </c>
      <c r="B6" s="12"/>
      <c r="C6" s="96"/>
      <c r="D6" s="96"/>
      <c r="E6" s="96"/>
      <c r="F6" s="96"/>
      <c r="G6" s="96"/>
      <c r="H6" s="96"/>
      <c r="I6" s="96"/>
      <c r="J6" s="96"/>
      <c r="K6" s="96"/>
      <c r="L6" s="96"/>
      <c r="M6" s="96"/>
      <c r="N6" s="96"/>
      <c r="O6" s="96"/>
      <c r="P6" s="96"/>
      <c r="Q6" s="96"/>
      <c r="R6" s="96"/>
      <c r="S6" s="96"/>
      <c r="T6" s="96"/>
      <c r="U6" s="96"/>
      <c r="V6" s="96"/>
      <c r="W6" s="96"/>
    </row>
    <row r="7" spans="1:23" s="21" customFormat="1" ht="20.100000000000001" customHeight="1">
      <c r="A7" s="11" t="s">
        <v>1763</v>
      </c>
      <c r="B7" s="12"/>
      <c r="C7" s="96"/>
      <c r="D7" s="96"/>
      <c r="E7" s="96"/>
      <c r="F7" s="96"/>
      <c r="G7" s="96"/>
      <c r="H7" s="96"/>
      <c r="I7" s="96"/>
      <c r="J7" s="96"/>
      <c r="K7" s="96"/>
      <c r="L7" s="96"/>
      <c r="M7" s="96"/>
      <c r="N7" s="96"/>
      <c r="O7" s="96"/>
      <c r="P7" s="96"/>
      <c r="Q7" s="96"/>
      <c r="R7" s="96"/>
      <c r="S7" s="96"/>
      <c r="T7" s="96"/>
      <c r="U7" s="96"/>
      <c r="V7" s="96"/>
      <c r="W7" s="96"/>
    </row>
    <row r="8" spans="1:23" s="21" customFormat="1" ht="20.100000000000001" customHeight="1">
      <c r="A8" s="11" t="s">
        <v>1764</v>
      </c>
      <c r="B8" s="12"/>
      <c r="C8" s="96"/>
      <c r="D8" s="96"/>
      <c r="E8" s="96"/>
      <c r="F8" s="96"/>
      <c r="G8" s="96"/>
      <c r="H8" s="96"/>
      <c r="I8" s="96"/>
      <c r="J8" s="96"/>
      <c r="K8" s="96"/>
      <c r="L8" s="96"/>
      <c r="M8" s="96"/>
      <c r="N8" s="96"/>
      <c r="O8" s="96"/>
      <c r="P8" s="96"/>
      <c r="Q8" s="96"/>
      <c r="R8" s="96"/>
      <c r="S8" s="96"/>
      <c r="T8" s="96"/>
      <c r="U8" s="96"/>
      <c r="V8" s="96"/>
      <c r="W8" s="96"/>
    </row>
    <row r="9" spans="1:23" s="21" customFormat="1" ht="20.100000000000001" customHeight="1">
      <c r="A9" s="11" t="s">
        <v>1765</v>
      </c>
      <c r="B9" s="12"/>
      <c r="C9" s="96"/>
      <c r="D9" s="96"/>
      <c r="E9" s="96"/>
      <c r="F9" s="96"/>
      <c r="G9" s="96"/>
      <c r="H9" s="96"/>
      <c r="I9" s="96"/>
      <c r="J9" s="96"/>
      <c r="K9" s="96"/>
      <c r="L9" s="96"/>
      <c r="M9" s="96"/>
      <c r="N9" s="96"/>
      <c r="O9" s="96"/>
      <c r="P9" s="96"/>
      <c r="Q9" s="96"/>
      <c r="R9" s="96"/>
      <c r="S9" s="96"/>
      <c r="T9" s="96"/>
      <c r="U9" s="96"/>
      <c r="V9" s="96"/>
      <c r="W9" s="96"/>
    </row>
    <row r="10" spans="1:23" s="21" customFormat="1" ht="20.100000000000001" customHeight="1">
      <c r="A10" s="11" t="s">
        <v>1766</v>
      </c>
      <c r="B10" s="12"/>
      <c r="C10" s="96"/>
      <c r="D10" s="96"/>
      <c r="E10" s="96"/>
      <c r="F10" s="96"/>
      <c r="G10" s="96"/>
      <c r="H10" s="96"/>
      <c r="I10" s="96"/>
      <c r="J10" s="96"/>
      <c r="K10" s="96"/>
      <c r="L10" s="96"/>
      <c r="M10" s="96"/>
      <c r="N10" s="96"/>
      <c r="O10" s="96"/>
      <c r="P10" s="96"/>
      <c r="Q10" s="96"/>
      <c r="R10" s="96"/>
      <c r="S10" s="96"/>
      <c r="T10" s="96"/>
      <c r="U10" s="96"/>
      <c r="V10" s="96"/>
      <c r="W10" s="96"/>
    </row>
    <row r="11" spans="1:23" s="21" customFormat="1" ht="20.100000000000001" customHeight="1">
      <c r="A11" s="11" t="s">
        <v>1767</v>
      </c>
      <c r="B11" s="12"/>
      <c r="C11" s="96"/>
      <c r="D11" s="96"/>
      <c r="E11" s="96"/>
      <c r="F11" s="96"/>
      <c r="G11" s="96"/>
      <c r="H11" s="96"/>
      <c r="I11" s="96"/>
      <c r="J11" s="96"/>
      <c r="K11" s="96"/>
      <c r="L11" s="96"/>
      <c r="M11" s="96"/>
      <c r="N11" s="96"/>
      <c r="O11" s="96"/>
      <c r="P11" s="96"/>
      <c r="Q11" s="96"/>
      <c r="R11" s="96"/>
      <c r="S11" s="96"/>
      <c r="T11" s="96"/>
      <c r="U11" s="96"/>
      <c r="V11" s="96"/>
      <c r="W11" s="96"/>
    </row>
    <row r="12" spans="1:23" s="21" customFormat="1" ht="20.100000000000001" customHeight="1">
      <c r="A12" s="11" t="s">
        <v>1768</v>
      </c>
      <c r="B12" s="12"/>
      <c r="C12" s="96"/>
      <c r="D12" s="96"/>
      <c r="E12" s="96"/>
      <c r="F12" s="96"/>
      <c r="G12" s="96"/>
      <c r="H12" s="96"/>
      <c r="I12" s="96"/>
      <c r="J12" s="96"/>
      <c r="K12" s="96"/>
      <c r="L12" s="96"/>
      <c r="M12" s="96"/>
      <c r="N12" s="96"/>
      <c r="O12" s="96"/>
      <c r="P12" s="96"/>
      <c r="Q12" s="96"/>
      <c r="R12" s="96"/>
      <c r="S12" s="96"/>
      <c r="T12" s="96"/>
      <c r="U12" s="96"/>
      <c r="V12" s="96"/>
      <c r="W12" s="96"/>
    </row>
    <row r="13" spans="1:23" s="21" customFormat="1" ht="20.100000000000001" customHeight="1">
      <c r="A13" s="11" t="s">
        <v>1769</v>
      </c>
      <c r="B13" s="12"/>
      <c r="C13" s="96"/>
      <c r="D13" s="96"/>
      <c r="E13" s="96"/>
      <c r="F13" s="96"/>
      <c r="G13" s="96"/>
      <c r="H13" s="96"/>
      <c r="I13" s="96"/>
      <c r="J13" s="96"/>
      <c r="K13" s="96"/>
      <c r="L13" s="96"/>
      <c r="M13" s="96"/>
      <c r="N13" s="96"/>
      <c r="O13" s="96"/>
      <c r="P13" s="96"/>
      <c r="Q13" s="96"/>
      <c r="R13" s="96"/>
      <c r="S13" s="96"/>
      <c r="T13" s="96"/>
      <c r="U13" s="96"/>
      <c r="V13" s="96"/>
      <c r="W13" s="96"/>
    </row>
    <row r="14" spans="1:23" s="21" customFormat="1" ht="20.100000000000001" customHeight="1">
      <c r="A14" s="11" t="s">
        <v>1770</v>
      </c>
      <c r="B14" s="12"/>
      <c r="C14" s="96"/>
      <c r="D14" s="96"/>
      <c r="E14" s="96"/>
      <c r="F14" s="96"/>
      <c r="G14" s="96"/>
      <c r="H14" s="96"/>
      <c r="I14" s="96"/>
      <c r="J14" s="96"/>
      <c r="K14" s="96"/>
      <c r="L14" s="96"/>
      <c r="M14" s="96"/>
      <c r="N14" s="96"/>
      <c r="O14" s="96"/>
      <c r="P14" s="96"/>
      <c r="Q14" s="96"/>
      <c r="R14" s="96"/>
      <c r="S14" s="96"/>
      <c r="T14" s="96"/>
      <c r="U14" s="96"/>
      <c r="V14" s="96"/>
      <c r="W14" s="96"/>
    </row>
    <row r="15" spans="1:23" s="21" customFormat="1" ht="20.100000000000001" customHeight="1">
      <c r="A15" s="87" t="s">
        <v>430</v>
      </c>
      <c r="B15" s="85"/>
      <c r="C15" s="96"/>
      <c r="D15" s="96"/>
      <c r="E15" s="96"/>
      <c r="F15" s="96"/>
      <c r="G15" s="96"/>
      <c r="H15" s="96"/>
      <c r="I15" s="96"/>
      <c r="J15" s="96"/>
      <c r="K15" s="96"/>
      <c r="L15" s="96"/>
      <c r="M15" s="96"/>
      <c r="N15" s="96"/>
      <c r="O15" s="96"/>
      <c r="P15" s="96"/>
      <c r="Q15" s="96"/>
      <c r="R15" s="96"/>
      <c r="S15" s="96"/>
      <c r="T15" s="96"/>
      <c r="U15" s="96"/>
      <c r="V15" s="96"/>
      <c r="W15" s="96"/>
    </row>
    <row r="16" spans="1:23" s="21" customFormat="1" ht="20.100000000000001" customHeight="1">
      <c r="A16" s="88" t="s">
        <v>632</v>
      </c>
      <c r="B16" s="84">
        <f>SUM(B6:B15)</f>
        <v>0</v>
      </c>
      <c r="C16" s="96"/>
      <c r="D16" s="96"/>
      <c r="E16" s="96"/>
      <c r="F16" s="96"/>
      <c r="G16" s="96"/>
      <c r="H16" s="96"/>
      <c r="I16" s="96"/>
      <c r="J16" s="96"/>
      <c r="K16" s="96"/>
      <c r="L16" s="96"/>
      <c r="M16" s="96"/>
      <c r="N16" s="96"/>
      <c r="O16" s="96"/>
      <c r="P16" s="96"/>
      <c r="Q16" s="96"/>
      <c r="R16" s="96"/>
      <c r="S16" s="96"/>
      <c r="T16" s="96"/>
      <c r="U16" s="96"/>
      <c r="V16" s="96"/>
      <c r="W16" s="96"/>
    </row>
    <row r="17" spans="1:24" s="112" customFormat="1" ht="20.100000000000001" customHeight="1">
      <c r="A17" s="112" t="s">
        <v>623</v>
      </c>
      <c r="B17" s="113"/>
      <c r="C17" s="96"/>
    </row>
    <row r="18" spans="1:24" s="134" customFormat="1" ht="20.100000000000001" customHeight="1">
      <c r="A18" s="137"/>
      <c r="B18" s="138">
        <f>B16-B17</f>
        <v>0</v>
      </c>
      <c r="C18" s="139"/>
    </row>
    <row r="19" spans="1:24" s="23" customFormat="1" ht="20.100000000000001" customHeight="1">
      <c r="B19" s="23" t="str">
        <f>IF(B18=0,"OK","NO")</f>
        <v>OK</v>
      </c>
    </row>
    <row r="20" spans="1:24" s="135" customFormat="1" ht="20.100000000000001" customHeight="1">
      <c r="A20" s="140" t="s">
        <v>1771</v>
      </c>
      <c r="B20" s="141"/>
      <c r="C20" s="142"/>
      <c r="D20" s="143"/>
      <c r="E20" s="143"/>
      <c r="F20" s="143"/>
      <c r="G20" s="143"/>
      <c r="H20" s="143"/>
      <c r="I20" s="143"/>
      <c r="J20" s="143"/>
      <c r="K20" s="143"/>
      <c r="L20" s="143"/>
      <c r="M20" s="143"/>
      <c r="N20" s="143"/>
      <c r="O20" s="143"/>
      <c r="P20" s="143"/>
      <c r="Q20" s="143"/>
      <c r="R20" s="143"/>
      <c r="S20" s="143"/>
      <c r="T20" s="143"/>
      <c r="U20" s="143"/>
      <c r="V20" s="143"/>
      <c r="W20" s="143"/>
    </row>
    <row r="21" spans="1:24" s="21" customFormat="1" ht="20.100000000000001" customHeight="1">
      <c r="A21" s="10" t="s">
        <v>1010</v>
      </c>
      <c r="B21" s="10" t="s">
        <v>1772</v>
      </c>
      <c r="C21" s="96"/>
      <c r="D21" s="96"/>
      <c r="E21" s="96"/>
      <c r="F21" s="96"/>
      <c r="G21" s="96"/>
      <c r="H21" s="96"/>
      <c r="I21" s="96"/>
      <c r="J21" s="96"/>
      <c r="K21" s="96"/>
      <c r="L21" s="96"/>
      <c r="M21" s="96"/>
      <c r="N21" s="96"/>
      <c r="O21" s="96"/>
      <c r="P21" s="96"/>
      <c r="Q21" s="96"/>
      <c r="R21" s="96"/>
      <c r="S21" s="96"/>
      <c r="T21" s="96"/>
      <c r="U21" s="96"/>
      <c r="V21" s="96"/>
      <c r="W21" s="96"/>
    </row>
    <row r="22" spans="1:24" s="21" customFormat="1" ht="20.100000000000001" customHeight="1">
      <c r="C22" s="96"/>
      <c r="D22" s="96"/>
      <c r="E22" s="96"/>
      <c r="F22" s="96"/>
      <c r="G22" s="96"/>
      <c r="H22" s="96"/>
      <c r="I22" s="96"/>
      <c r="J22" s="96"/>
      <c r="K22" s="96"/>
      <c r="L22" s="96"/>
      <c r="M22" s="96"/>
      <c r="N22" s="96"/>
      <c r="O22" s="96"/>
      <c r="P22" s="96"/>
      <c r="Q22" s="96"/>
      <c r="R22" s="96"/>
      <c r="S22" s="96"/>
      <c r="T22" s="96"/>
      <c r="U22" s="96"/>
      <c r="V22" s="96"/>
      <c r="W22" s="96"/>
    </row>
    <row r="23" spans="1:24" ht="20.100000000000001" customHeight="1">
      <c r="C23" s="98"/>
      <c r="D23" s="98"/>
      <c r="X23" s="99"/>
    </row>
    <row r="24" spans="1:24" ht="20.100000000000001" customHeight="1">
      <c r="C24" s="98"/>
      <c r="D24" s="98"/>
      <c r="X24" s="99"/>
    </row>
    <row r="25" spans="1:24" ht="20.100000000000001" customHeight="1">
      <c r="C25" s="98"/>
      <c r="D25" s="98"/>
      <c r="X25" s="99"/>
    </row>
    <row r="26" spans="1:24" ht="20.100000000000001" customHeight="1">
      <c r="C26" s="98"/>
      <c r="D26" s="98"/>
      <c r="X26" s="99"/>
    </row>
    <row r="27" spans="1:24" ht="20.100000000000001" customHeight="1">
      <c r="D27" s="98"/>
      <c r="X27" s="99"/>
    </row>
    <row r="28" spans="1:24" ht="20.100000000000001" customHeight="1">
      <c r="D28" s="98"/>
      <c r="X28" s="99"/>
    </row>
    <row r="29" spans="1:24" ht="20.100000000000001" customHeight="1">
      <c r="D29" s="98"/>
      <c r="X29" s="99"/>
    </row>
    <row r="30" spans="1:24" ht="20.100000000000001" customHeight="1">
      <c r="D30" s="98"/>
      <c r="X30" s="99"/>
    </row>
    <row r="31" spans="1:24" ht="20.100000000000001" customHeight="1">
      <c r="D31" s="98"/>
      <c r="X31" s="99"/>
    </row>
    <row r="32" spans="1:24" ht="20.100000000000001" customHeight="1">
      <c r="D32" s="98"/>
      <c r="X32" s="99"/>
    </row>
    <row r="33" spans="4:24" ht="20.100000000000001" customHeight="1">
      <c r="D33" s="98"/>
      <c r="X33" s="99"/>
    </row>
  </sheetData>
  <sheetProtection formatCells="0" formatColumns="0" formatRows="0" insertColumns="0" insertRows="0" insertHyperlinks="0" deleteColumns="0" deleteRows="0" sort="0" autoFilter="0" pivotTables="0"/>
  <phoneticPr fontId="78" type="noConversion"/>
  <hyperlinks>
    <hyperlink ref="C1" location="目录!A1" display="BACK"/>
  </hyperlinks>
  <pageMargins left="0.74791666666666701" right="0.74791666666666701" top="1.1013888888888901" bottom="0.98402777777777795" header="0.51180555555555596" footer="0.51180555555555596"/>
  <pageSetup paperSize="9" scale="84" orientation="portrait" blackAndWhite="1" r:id="rId1"/>
  <headerFooter alignWithMargins="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3">
    <tabColor rgb="FFFFC000"/>
  </sheetPr>
  <dimension ref="A1:D12"/>
  <sheetViews>
    <sheetView workbookViewId="0">
      <selection activeCell="A9" sqref="A9"/>
    </sheetView>
  </sheetViews>
  <sheetFormatPr defaultRowHeight="15.6"/>
  <cols>
    <col min="1" max="1" width="26.19921875" customWidth="1"/>
    <col min="2" max="2" width="36.09765625" customWidth="1"/>
  </cols>
  <sheetData>
    <row r="1" spans="1:4">
      <c r="A1" s="48" t="s">
        <v>145</v>
      </c>
      <c r="B1" s="49">
        <f>基础信息!B6</f>
        <v>0</v>
      </c>
      <c r="D1" s="900" t="s">
        <v>146</v>
      </c>
    </row>
    <row r="2" spans="1:4">
      <c r="A2" s="48" t="s">
        <v>147</v>
      </c>
      <c r="B2" s="49">
        <f>基础信息!B9</f>
        <v>0</v>
      </c>
    </row>
    <row r="3" spans="1:4">
      <c r="A3" s="91" t="s">
        <v>148</v>
      </c>
      <c r="B3" s="307" t="s">
        <v>2070</v>
      </c>
    </row>
    <row r="4" spans="1:4">
      <c r="A4" s="943"/>
      <c r="B4" s="133" t="s">
        <v>1774</v>
      </c>
    </row>
    <row r="5" spans="1:4">
      <c r="A5" s="87"/>
      <c r="B5" s="85"/>
    </row>
    <row r="6" spans="1:4">
      <c r="A6" s="87"/>
      <c r="B6" s="85"/>
    </row>
    <row r="7" spans="1:4">
      <c r="A7" s="87"/>
      <c r="B7" s="85"/>
    </row>
    <row r="8" spans="1:4">
      <c r="A8" s="87"/>
      <c r="B8" s="85"/>
    </row>
    <row r="9" spans="1:4">
      <c r="A9" s="88" t="s">
        <v>632</v>
      </c>
      <c r="B9" s="84">
        <f>SUM(B5:B8)</f>
        <v>0</v>
      </c>
    </row>
    <row r="10" spans="1:4">
      <c r="A10" s="112" t="s">
        <v>623</v>
      </c>
      <c r="B10" s="113"/>
    </row>
    <row r="11" spans="1:4">
      <c r="A11" s="112"/>
      <c r="B11" s="113">
        <f>B9-B10</f>
        <v>0</v>
      </c>
    </row>
    <row r="12" spans="1:4">
      <c r="A12" s="94"/>
      <c r="B12" s="94" t="str">
        <f>IF(B11=0,"OK","NO")</f>
        <v>OK</v>
      </c>
    </row>
  </sheetData>
  <phoneticPr fontId="78" type="noConversion"/>
  <hyperlinks>
    <hyperlink ref="D1" location="目录!A1" display="BACK"/>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4"/>
  <dimension ref="A1:H14"/>
  <sheetViews>
    <sheetView view="pageBreakPreview" zoomScaleNormal="100" zoomScaleSheetLayoutView="100" workbookViewId="0">
      <selection activeCell="B10" sqref="B10"/>
    </sheetView>
  </sheetViews>
  <sheetFormatPr defaultColWidth="9" defaultRowHeight="20.100000000000001" customHeight="1"/>
  <cols>
    <col min="1" max="1" width="25.5" style="99" customWidth="1"/>
    <col min="2" max="2" width="27.69921875" style="99" customWidth="1"/>
    <col min="3" max="5" width="24.59765625" style="99" customWidth="1"/>
    <col min="6" max="16384" width="9" style="99"/>
  </cols>
  <sheetData>
    <row r="1" spans="1:8" s="130" customFormat="1" ht="24.9" customHeight="1">
      <c r="A1" s="48" t="s">
        <v>145</v>
      </c>
      <c r="B1" s="49">
        <f>基础信息!B6</f>
        <v>0</v>
      </c>
      <c r="C1" s="900" t="s">
        <v>146</v>
      </c>
      <c r="E1" s="132"/>
    </row>
    <row r="2" spans="1:8" s="130" customFormat="1" ht="24.9" customHeight="1">
      <c r="A2" s="48" t="s">
        <v>147</v>
      </c>
      <c r="B2" s="49">
        <f>基础信息!B9</f>
        <v>0</v>
      </c>
    </row>
    <row r="3" spans="1:8" s="131" customFormat="1" ht="24.9" customHeight="1">
      <c r="A3" s="91" t="s">
        <v>148</v>
      </c>
      <c r="B3" s="307" t="s">
        <v>2159</v>
      </c>
      <c r="C3" s="130"/>
    </row>
    <row r="4" spans="1:8" s="21" customFormat="1" ht="20.100000000000001" customHeight="1">
      <c r="A4" s="11" t="s">
        <v>1773</v>
      </c>
      <c r="B4" s="133" t="s">
        <v>1774</v>
      </c>
    </row>
    <row r="5" spans="1:8" s="21" customFormat="1" ht="34.5" customHeight="1">
      <c r="A5" s="87" t="s">
        <v>1775</v>
      </c>
      <c r="B5" s="85"/>
    </row>
    <row r="6" spans="1:8" s="21" customFormat="1" ht="28.5" customHeight="1">
      <c r="A6" s="87" t="s">
        <v>74</v>
      </c>
      <c r="B6" s="85"/>
    </row>
    <row r="7" spans="1:8" s="21" customFormat="1" ht="20.100000000000001" customHeight="1">
      <c r="A7" s="87" t="s">
        <v>1776</v>
      </c>
      <c r="B7" s="85"/>
    </row>
    <row r="8" spans="1:8" s="21" customFormat="1" ht="20.100000000000001" customHeight="1">
      <c r="A8" s="87" t="s">
        <v>1377</v>
      </c>
      <c r="B8" s="85"/>
    </row>
    <row r="9" spans="1:8" s="21" customFormat="1" ht="20.100000000000001" customHeight="1">
      <c r="A9" s="87" t="s">
        <v>632</v>
      </c>
      <c r="B9" s="84">
        <f>SUM(B5:B8)</f>
        <v>0</v>
      </c>
    </row>
    <row r="10" spans="1:8" s="112" customFormat="1" ht="20.100000000000001" customHeight="1">
      <c r="A10" s="112" t="s">
        <v>623</v>
      </c>
      <c r="B10" s="113"/>
      <c r="C10" s="21"/>
    </row>
    <row r="11" spans="1:8" s="112" customFormat="1" ht="20.100000000000001" customHeight="1">
      <c r="B11" s="113">
        <f>B9-B10</f>
        <v>0</v>
      </c>
    </row>
    <row r="12" spans="1:8" s="94" customFormat="1" ht="20.100000000000001" customHeight="1">
      <c r="B12" s="94" t="str">
        <f>IF(B11=0,"OK","NO")</f>
        <v>OK</v>
      </c>
    </row>
    <row r="13" spans="1:8" s="96" customFormat="1" ht="20.100000000000001" customHeight="1">
      <c r="A13" s="26"/>
      <c r="B13" s="26"/>
      <c r="C13" s="59"/>
    </row>
    <row r="14" spans="1:8" ht="20.100000000000001" customHeight="1">
      <c r="C14" s="98"/>
      <c r="D14" s="98"/>
      <c r="E14" s="98"/>
      <c r="F14" s="98"/>
      <c r="G14" s="98"/>
      <c r="H14" s="98"/>
    </row>
  </sheetData>
  <phoneticPr fontId="78" type="noConversion"/>
  <hyperlinks>
    <hyperlink ref="C1" location="目录!A1" display="BACK"/>
  </hyperlinks>
  <pageMargins left="0.74791666666666701" right="0.74791666666666701" top="1.2979166666666699" bottom="0.98402777777777795" header="0.51180555555555596" footer="0.51180555555555596"/>
  <pageSetup paperSize="9" orientation="portrait" blackAndWhite="1" r:id="rId1"/>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0">
    <tabColor rgb="FFFFC000"/>
  </sheetPr>
  <dimension ref="A1:D21"/>
  <sheetViews>
    <sheetView workbookViewId="0">
      <selection activeCell="B19" sqref="B19"/>
    </sheetView>
  </sheetViews>
  <sheetFormatPr defaultRowHeight="15.6"/>
  <cols>
    <col min="1" max="1" width="27.69921875" customWidth="1"/>
    <col min="2" max="2" width="30.19921875" customWidth="1"/>
  </cols>
  <sheetData>
    <row r="1" spans="1:4">
      <c r="A1" s="48" t="s">
        <v>145</v>
      </c>
      <c r="B1" s="49">
        <f>基础信息!B6</f>
        <v>0</v>
      </c>
      <c r="D1" s="900" t="s">
        <v>146</v>
      </c>
    </row>
    <row r="2" spans="1:4">
      <c r="A2" s="48" t="s">
        <v>147</v>
      </c>
      <c r="B2" s="49">
        <f>基础信息!B9</f>
        <v>0</v>
      </c>
    </row>
    <row r="3" spans="1:4">
      <c r="A3" s="91" t="s">
        <v>148</v>
      </c>
      <c r="B3" s="307" t="s">
        <v>2100</v>
      </c>
    </row>
    <row r="4" spans="1:4" ht="16.2">
      <c r="A4" s="58" t="s">
        <v>1418</v>
      </c>
      <c r="B4" s="58" t="s">
        <v>1734</v>
      </c>
    </row>
    <row r="5" spans="1:4">
      <c r="A5" s="943"/>
      <c r="B5" s="12"/>
    </row>
    <row r="6" spans="1:4">
      <c r="A6" s="943"/>
      <c r="B6" s="12"/>
    </row>
    <row r="7" spans="1:4">
      <c r="A7" s="943"/>
      <c r="B7" s="12"/>
    </row>
    <row r="8" spans="1:4">
      <c r="A8" s="943"/>
      <c r="B8" s="12"/>
    </row>
    <row r="9" spans="1:4">
      <c r="A9" s="943"/>
      <c r="B9" s="12"/>
    </row>
    <row r="10" spans="1:4">
      <c r="A10" s="943"/>
      <c r="B10" s="12"/>
    </row>
    <row r="11" spans="1:4">
      <c r="A11" s="943"/>
      <c r="B11" s="12"/>
    </row>
    <row r="12" spans="1:4">
      <c r="A12" s="943"/>
      <c r="B12" s="12"/>
    </row>
    <row r="13" spans="1:4">
      <c r="A13" s="943"/>
      <c r="B13" s="12"/>
    </row>
    <row r="14" spans="1:4">
      <c r="A14" s="943"/>
      <c r="B14" s="12"/>
    </row>
    <row r="15" spans="1:4">
      <c r="A15" s="943"/>
      <c r="B15" s="12"/>
    </row>
    <row r="16" spans="1:4">
      <c r="A16" s="943"/>
      <c r="B16" s="12"/>
    </row>
    <row r="17" spans="1:2">
      <c r="A17" s="943"/>
      <c r="B17" s="12"/>
    </row>
    <row r="18" spans="1:2">
      <c r="A18" s="945" t="s">
        <v>632</v>
      </c>
      <c r="B18" s="14">
        <f>SUM(B5:B17)</f>
        <v>0</v>
      </c>
    </row>
    <row r="19" spans="1:2">
      <c r="A19" s="112" t="s">
        <v>623</v>
      </c>
      <c r="B19" s="113"/>
    </row>
    <row r="20" spans="1:2">
      <c r="A20" s="112"/>
      <c r="B20" s="113">
        <f>B18-B19</f>
        <v>0</v>
      </c>
    </row>
    <row r="21" spans="1:2">
      <c r="A21" s="94"/>
      <c r="B21" s="94" t="str">
        <f>IF(B20=0,"OK","NO")</f>
        <v>OK</v>
      </c>
    </row>
  </sheetData>
  <phoneticPr fontId="78" type="noConversion"/>
  <hyperlinks>
    <hyperlink ref="D1" location="目录!A1" display="BACK"/>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9"/>
  <dimension ref="A1:I43"/>
  <sheetViews>
    <sheetView view="pageBreakPreview" zoomScaleNormal="100" zoomScaleSheetLayoutView="100" workbookViewId="0">
      <selection activeCell="B1" sqref="B1"/>
    </sheetView>
  </sheetViews>
  <sheetFormatPr defaultColWidth="9" defaultRowHeight="20.100000000000001" customHeight="1"/>
  <cols>
    <col min="1" max="2" width="30.59765625" style="99" customWidth="1"/>
    <col min="3" max="3" width="29.5" style="99" customWidth="1"/>
    <col min="4" max="4" width="20.5" style="99" customWidth="1"/>
    <col min="5" max="5" width="24.59765625" style="98" customWidth="1"/>
    <col min="6" max="9" width="9" style="98"/>
    <col min="10" max="16384" width="9" style="99"/>
  </cols>
  <sheetData>
    <row r="1" spans="1:9" ht="24.9" customHeight="1">
      <c r="A1" s="48" t="s">
        <v>145</v>
      </c>
      <c r="B1" s="49">
        <f>基础信息!B6</f>
        <v>0</v>
      </c>
      <c r="C1" s="900" t="s">
        <v>146</v>
      </c>
      <c r="E1" s="100"/>
    </row>
    <row r="2" spans="1:9" ht="24.9" customHeight="1">
      <c r="A2" s="48" t="s">
        <v>147</v>
      </c>
      <c r="B2" s="49">
        <f>基础信息!B9</f>
        <v>0</v>
      </c>
    </row>
    <row r="3" spans="1:9" ht="24.9" customHeight="1">
      <c r="A3" s="91" t="s">
        <v>148</v>
      </c>
      <c r="B3" s="91" t="s">
        <v>1733</v>
      </c>
    </row>
    <row r="4" spans="1:9" ht="24.9" customHeight="1">
      <c r="A4" s="58" t="s">
        <v>1418</v>
      </c>
      <c r="B4" s="58" t="s">
        <v>1734</v>
      </c>
      <c r="C4" s="144"/>
      <c r="D4" s="98"/>
    </row>
    <row r="5" spans="1:9" s="21" customFormat="1" ht="20.100000000000001" customHeight="1">
      <c r="A5" s="11" t="s">
        <v>1735</v>
      </c>
      <c r="B5" s="12"/>
      <c r="C5" s="26"/>
      <c r="D5" s="96"/>
      <c r="E5" s="96"/>
      <c r="F5" s="96"/>
      <c r="G5" s="96"/>
      <c r="H5" s="96"/>
      <c r="I5" s="96"/>
    </row>
    <row r="6" spans="1:9" s="21" customFormat="1" ht="20.100000000000001" customHeight="1">
      <c r="A6" s="11" t="s">
        <v>1736</v>
      </c>
      <c r="B6" s="12"/>
      <c r="C6" s="26"/>
      <c r="D6" s="96"/>
      <c r="E6" s="96"/>
      <c r="F6" s="96"/>
      <c r="G6" s="96"/>
      <c r="H6" s="96"/>
      <c r="I6" s="96"/>
    </row>
    <row r="7" spans="1:9" s="21" customFormat="1" ht="20.100000000000001" customHeight="1">
      <c r="A7" s="11" t="s">
        <v>1737</v>
      </c>
      <c r="B7" s="12"/>
      <c r="C7" s="26"/>
      <c r="D7" s="96"/>
      <c r="E7" s="96"/>
      <c r="F7" s="96"/>
      <c r="G7" s="96"/>
      <c r="H7" s="96"/>
      <c r="I7" s="96"/>
    </row>
    <row r="8" spans="1:9" s="21" customFormat="1" ht="20.100000000000001" customHeight="1">
      <c r="A8" s="11" t="s">
        <v>1738</v>
      </c>
      <c r="B8" s="12"/>
      <c r="C8" s="26"/>
      <c r="D8" s="96"/>
      <c r="E8" s="96"/>
      <c r="F8" s="96"/>
      <c r="G8" s="96"/>
      <c r="H8" s="96"/>
      <c r="I8" s="96"/>
    </row>
    <row r="9" spans="1:9" s="21" customFormat="1" ht="20.100000000000001" customHeight="1">
      <c r="A9" s="11" t="s">
        <v>1739</v>
      </c>
      <c r="B9" s="12"/>
      <c r="C9" s="26"/>
      <c r="D9" s="96"/>
      <c r="E9" s="96"/>
      <c r="F9" s="96"/>
      <c r="G9" s="96"/>
      <c r="H9" s="96"/>
      <c r="I9" s="96"/>
    </row>
    <row r="10" spans="1:9" s="21" customFormat="1" ht="20.100000000000001" customHeight="1">
      <c r="A10" s="11" t="s">
        <v>1740</v>
      </c>
      <c r="B10" s="12"/>
      <c r="C10" s="26"/>
      <c r="D10" s="96"/>
      <c r="E10" s="96"/>
      <c r="F10" s="96"/>
      <c r="G10" s="96"/>
      <c r="H10" s="96"/>
      <c r="I10" s="96"/>
    </row>
    <row r="11" spans="1:9" s="21" customFormat="1" ht="20.100000000000001" customHeight="1">
      <c r="A11" s="11" t="s">
        <v>1741</v>
      </c>
      <c r="B11" s="12"/>
      <c r="C11" s="59"/>
      <c r="D11" s="96"/>
      <c r="E11" s="96"/>
      <c r="F11" s="96"/>
      <c r="G11" s="96"/>
      <c r="H11" s="96"/>
      <c r="I11" s="96"/>
    </row>
    <row r="12" spans="1:9" s="21" customFormat="1" ht="20.100000000000001" customHeight="1">
      <c r="A12" s="11" t="s">
        <v>1742</v>
      </c>
      <c r="B12" s="12"/>
      <c r="C12" s="59"/>
      <c r="D12" s="96"/>
      <c r="E12" s="96"/>
      <c r="F12" s="96"/>
      <c r="G12" s="96"/>
      <c r="H12" s="96"/>
      <c r="I12" s="96"/>
    </row>
    <row r="13" spans="1:9" s="21" customFormat="1" ht="20.100000000000001" customHeight="1">
      <c r="A13" s="11" t="s">
        <v>1743</v>
      </c>
      <c r="B13" s="12"/>
      <c r="C13" s="59"/>
      <c r="D13" s="96"/>
      <c r="E13" s="96"/>
      <c r="F13" s="96"/>
      <c r="G13" s="96"/>
      <c r="H13" s="96"/>
      <c r="I13" s="96"/>
    </row>
    <row r="14" spans="1:9" s="21" customFormat="1" ht="20.100000000000001" customHeight="1">
      <c r="A14" s="11" t="s">
        <v>1744</v>
      </c>
      <c r="B14" s="12"/>
      <c r="C14" s="59"/>
      <c r="D14" s="96"/>
      <c r="E14" s="96"/>
      <c r="F14" s="96"/>
      <c r="G14" s="96"/>
      <c r="H14" s="96"/>
      <c r="I14" s="96"/>
    </row>
    <row r="15" spans="1:9" s="21" customFormat="1" ht="20.100000000000001" customHeight="1">
      <c r="A15" s="11" t="s">
        <v>1745</v>
      </c>
      <c r="B15" s="12"/>
      <c r="C15" s="59"/>
      <c r="D15" s="96"/>
      <c r="E15" s="96"/>
      <c r="F15" s="96"/>
      <c r="G15" s="96"/>
      <c r="H15" s="96"/>
      <c r="I15" s="96"/>
    </row>
    <row r="16" spans="1:9" s="96" customFormat="1" ht="20.100000000000001" customHeight="1">
      <c r="A16" s="11" t="s">
        <v>1746</v>
      </c>
      <c r="B16" s="12"/>
      <c r="C16" s="59"/>
    </row>
    <row r="17" spans="1:9" s="96" customFormat="1" ht="20.100000000000001" customHeight="1">
      <c r="A17" s="11" t="s">
        <v>1377</v>
      </c>
      <c r="B17" s="12"/>
      <c r="C17" s="59"/>
    </row>
    <row r="18" spans="1:9" s="96" customFormat="1" ht="20.100000000000001" customHeight="1">
      <c r="A18" s="26" t="s">
        <v>632</v>
      </c>
      <c r="B18" s="14">
        <f>SUM(B5:B17)</f>
        <v>0</v>
      </c>
      <c r="C18" s="59"/>
    </row>
    <row r="19" spans="1:9" s="112" customFormat="1" ht="20.100000000000001" customHeight="1">
      <c r="A19" s="112" t="s">
        <v>623</v>
      </c>
      <c r="B19" s="113"/>
      <c r="C19" s="59"/>
      <c r="D19" s="59"/>
    </row>
    <row r="20" spans="1:9" s="112" customFormat="1" ht="20.100000000000001" customHeight="1">
      <c r="B20" s="113">
        <f>B18-B19</f>
        <v>0</v>
      </c>
      <c r="C20" s="59"/>
      <c r="D20" s="59"/>
    </row>
    <row r="21" spans="1:9" s="94" customFormat="1" ht="20.100000000000001" customHeight="1">
      <c r="B21" s="94" t="str">
        <f>IF(B20=0,"OK","NO")</f>
        <v>OK</v>
      </c>
      <c r="C21" s="59"/>
      <c r="D21" s="59"/>
    </row>
    <row r="22" spans="1:9" s="96" customFormat="1" ht="20.100000000000001" customHeight="1">
      <c r="A22" s="26"/>
      <c r="B22" s="26"/>
      <c r="C22" s="59"/>
    </row>
    <row r="23" spans="1:9" ht="20.100000000000001" customHeight="1">
      <c r="C23" s="98"/>
      <c r="D23" s="98"/>
      <c r="I23" s="99"/>
    </row>
    <row r="24" spans="1:9" ht="20.100000000000001" customHeight="1">
      <c r="C24" s="98"/>
      <c r="D24" s="98"/>
      <c r="I24" s="99"/>
    </row>
    <row r="25" spans="1:9" ht="20.100000000000001" customHeight="1">
      <c r="C25" s="98"/>
      <c r="D25" s="98"/>
      <c r="I25" s="99"/>
    </row>
    <row r="26" spans="1:9" ht="20.100000000000001" customHeight="1">
      <c r="C26" s="98"/>
      <c r="D26" s="98"/>
      <c r="I26" s="99"/>
    </row>
    <row r="27" spans="1:9" ht="20.100000000000001" customHeight="1">
      <c r="C27" s="98"/>
      <c r="D27" s="98"/>
      <c r="I27" s="99"/>
    </row>
    <row r="28" spans="1:9" ht="20.100000000000001" customHeight="1">
      <c r="C28" s="98"/>
      <c r="D28" s="98"/>
      <c r="I28" s="99"/>
    </row>
    <row r="29" spans="1:9" ht="20.100000000000001" customHeight="1">
      <c r="D29" s="98"/>
      <c r="I29" s="99"/>
    </row>
    <row r="30" spans="1:9" ht="20.100000000000001" customHeight="1">
      <c r="D30" s="98"/>
      <c r="I30" s="99"/>
    </row>
    <row r="31" spans="1:9" ht="20.100000000000001" customHeight="1">
      <c r="D31" s="98"/>
      <c r="I31" s="99"/>
    </row>
    <row r="32" spans="1:9" ht="20.100000000000001" customHeight="1">
      <c r="D32" s="98"/>
      <c r="I32" s="99"/>
    </row>
    <row r="33" spans="4:9" ht="20.100000000000001" customHeight="1">
      <c r="D33" s="98"/>
      <c r="I33" s="99"/>
    </row>
    <row r="34" spans="4:9" ht="20.100000000000001" customHeight="1">
      <c r="D34" s="98"/>
      <c r="I34" s="99"/>
    </row>
    <row r="35" spans="4:9" ht="20.100000000000001" customHeight="1">
      <c r="D35" s="98"/>
      <c r="I35" s="99"/>
    </row>
    <row r="36" spans="4:9" ht="20.100000000000001" customHeight="1">
      <c r="D36" s="98"/>
      <c r="I36" s="99"/>
    </row>
    <row r="37" spans="4:9" ht="20.100000000000001" customHeight="1">
      <c r="D37" s="98"/>
      <c r="I37" s="99"/>
    </row>
    <row r="38" spans="4:9" ht="20.100000000000001" customHeight="1">
      <c r="D38" s="98"/>
      <c r="I38" s="99"/>
    </row>
    <row r="39" spans="4:9" ht="20.100000000000001" customHeight="1">
      <c r="D39" s="98"/>
      <c r="I39" s="99"/>
    </row>
    <row r="40" spans="4:9" ht="20.100000000000001" customHeight="1">
      <c r="D40" s="98"/>
      <c r="I40" s="99"/>
    </row>
    <row r="41" spans="4:9" ht="20.100000000000001" customHeight="1">
      <c r="D41" s="98"/>
      <c r="I41" s="99"/>
    </row>
    <row r="42" spans="4:9" ht="20.100000000000001" customHeight="1">
      <c r="D42" s="98"/>
      <c r="I42" s="99"/>
    </row>
    <row r="43" spans="4:9" ht="20.100000000000001" customHeight="1">
      <c r="D43" s="98"/>
      <c r="I43" s="99"/>
    </row>
  </sheetData>
  <phoneticPr fontId="78" type="noConversion"/>
  <hyperlinks>
    <hyperlink ref="C1" location="目录!A1" display="BACK"/>
  </hyperlinks>
  <pageMargins left="0.74791666666666701" right="0.74791666666666701" top="0.98402777777777795" bottom="0.98402777777777795" header="0.51180555555555596" footer="0.51180555555555596"/>
  <pageSetup paperSize="9" orientation="portrait" blackAndWhite="1" r:id="rId1"/>
  <headerFooter alignWithMargins="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5"/>
  <dimension ref="A1:P20"/>
  <sheetViews>
    <sheetView view="pageBreakPreview" zoomScaleNormal="100" zoomScaleSheetLayoutView="100" workbookViewId="0">
      <selection activeCell="B16" sqref="B16"/>
    </sheetView>
  </sheetViews>
  <sheetFormatPr defaultColWidth="9" defaultRowHeight="20.100000000000001" customHeight="1"/>
  <cols>
    <col min="1" max="1" width="53" style="5" customWidth="1"/>
    <col min="2" max="2" width="22" style="5" customWidth="1"/>
    <col min="3" max="3" width="27.69921875" style="5" customWidth="1"/>
    <col min="4" max="4" width="12.69921875" style="5" customWidth="1"/>
    <col min="5" max="5" width="12.59765625" style="5" customWidth="1"/>
    <col min="6" max="14" width="12.09765625" style="5" customWidth="1"/>
    <col min="15" max="16" width="9" style="110"/>
    <col min="17" max="16384" width="9" style="5"/>
  </cols>
  <sheetData>
    <row r="1" spans="1:16" s="16" customFormat="1" ht="24.9" customHeight="1">
      <c r="A1" s="6" t="s">
        <v>145</v>
      </c>
      <c r="B1" s="7">
        <f>基础信息!B6</f>
        <v>0</v>
      </c>
      <c r="D1" s="900" t="s">
        <v>146</v>
      </c>
      <c r="O1" s="122"/>
      <c r="P1" s="122"/>
    </row>
    <row r="2" spans="1:16" s="16" customFormat="1" ht="24.9" customHeight="1">
      <c r="A2" s="6" t="s">
        <v>147</v>
      </c>
      <c r="B2" s="7">
        <f>基础信息!B9</f>
        <v>0</v>
      </c>
      <c r="O2" s="122"/>
      <c r="P2" s="122"/>
    </row>
    <row r="3" spans="1:16" s="16" customFormat="1" ht="24.9" customHeight="1">
      <c r="A3" s="68" t="s">
        <v>148</v>
      </c>
      <c r="B3" s="127" t="s">
        <v>102</v>
      </c>
      <c r="D3" s="122"/>
      <c r="E3" s="122"/>
      <c r="F3" s="122"/>
      <c r="G3" s="122"/>
      <c r="H3" s="122"/>
      <c r="I3" s="122"/>
      <c r="J3" s="122"/>
      <c r="K3" s="122"/>
      <c r="L3" s="122"/>
      <c r="M3" s="122"/>
      <c r="N3" s="122"/>
      <c r="O3" s="122"/>
      <c r="P3" s="122"/>
    </row>
    <row r="4" spans="1:16" s="121" customFormat="1" ht="24.9" customHeight="1">
      <c r="A4" s="45" t="s">
        <v>1777</v>
      </c>
      <c r="B4" s="45" t="s">
        <v>1748</v>
      </c>
      <c r="C4" s="45" t="s">
        <v>1749</v>
      </c>
      <c r="D4" s="9"/>
      <c r="E4" s="9"/>
      <c r="F4" s="9"/>
      <c r="G4" s="9"/>
      <c r="H4" s="9"/>
      <c r="I4" s="9"/>
      <c r="J4" s="9"/>
      <c r="K4" s="9"/>
      <c r="L4" s="9"/>
      <c r="M4" s="9"/>
      <c r="N4" s="9"/>
      <c r="O4" s="9"/>
      <c r="P4" s="9"/>
    </row>
    <row r="5" spans="1:16" s="3" customFormat="1" ht="20.100000000000001" customHeight="1">
      <c r="A5" s="128" t="s">
        <v>1778</v>
      </c>
      <c r="B5" s="12"/>
      <c r="C5" s="12"/>
      <c r="D5" s="1"/>
      <c r="E5" s="1"/>
      <c r="F5" s="1"/>
      <c r="G5" s="1"/>
      <c r="H5" s="1"/>
      <c r="I5" s="1"/>
      <c r="J5" s="1"/>
      <c r="K5" s="1"/>
      <c r="L5" s="1"/>
      <c r="M5" s="1"/>
      <c r="N5" s="1"/>
      <c r="O5" s="1" t="s">
        <v>1751</v>
      </c>
      <c r="P5" s="1"/>
    </row>
    <row r="6" spans="1:16" s="3" customFormat="1" ht="20.100000000000001" customHeight="1">
      <c r="A6" s="128" t="s">
        <v>1779</v>
      </c>
      <c r="B6" s="12"/>
      <c r="C6" s="12"/>
      <c r="D6" s="1"/>
      <c r="E6" s="1"/>
      <c r="F6" s="1"/>
      <c r="G6" s="1"/>
      <c r="H6" s="1"/>
      <c r="I6" s="1"/>
      <c r="J6" s="1"/>
      <c r="K6" s="1"/>
      <c r="L6" s="1"/>
      <c r="M6" s="1"/>
      <c r="N6" s="1"/>
      <c r="O6" s="1" t="s">
        <v>1752</v>
      </c>
      <c r="P6" s="1"/>
    </row>
    <row r="7" spans="1:16" s="3" customFormat="1" ht="20.100000000000001" customHeight="1">
      <c r="A7" s="128" t="s">
        <v>1780</v>
      </c>
      <c r="B7" s="12"/>
      <c r="C7" s="12"/>
      <c r="D7" s="1"/>
      <c r="E7" s="1"/>
      <c r="F7" s="1"/>
      <c r="G7" s="1"/>
      <c r="H7" s="1"/>
      <c r="I7" s="1"/>
      <c r="J7" s="1"/>
      <c r="K7" s="1"/>
      <c r="L7" s="1"/>
      <c r="M7" s="1"/>
      <c r="N7" s="1"/>
      <c r="O7" s="1" t="s">
        <v>1753</v>
      </c>
      <c r="P7" s="1"/>
    </row>
    <row r="8" spans="1:16" s="3" customFormat="1" ht="20.100000000000001" customHeight="1">
      <c r="A8" s="128" t="s">
        <v>1781</v>
      </c>
      <c r="B8" s="12"/>
      <c r="C8" s="12"/>
      <c r="D8" s="1"/>
      <c r="E8" s="1"/>
      <c r="F8" s="1"/>
      <c r="G8" s="1"/>
      <c r="H8" s="1"/>
      <c r="I8" s="1"/>
      <c r="J8" s="1"/>
      <c r="K8" s="1"/>
      <c r="L8" s="1"/>
      <c r="M8" s="1"/>
      <c r="N8" s="1"/>
      <c r="O8" s="1" t="s">
        <v>1754</v>
      </c>
      <c r="P8" s="1"/>
    </row>
    <row r="9" spans="1:16" s="3" customFormat="1" ht="20.100000000000001" customHeight="1">
      <c r="A9" s="128" t="s">
        <v>1782</v>
      </c>
      <c r="B9" s="12"/>
      <c r="C9" s="12"/>
      <c r="D9" s="1"/>
      <c r="E9" s="1"/>
      <c r="F9" s="1"/>
      <c r="G9" s="1"/>
      <c r="H9" s="1"/>
      <c r="I9" s="1"/>
      <c r="J9" s="1"/>
      <c r="K9" s="1"/>
      <c r="L9" s="1"/>
      <c r="M9" s="1"/>
      <c r="N9" s="1"/>
      <c r="O9" s="1" t="s">
        <v>172</v>
      </c>
      <c r="P9" s="1"/>
    </row>
    <row r="10" spans="1:16" s="3" customFormat="1" ht="20.100000000000001" customHeight="1">
      <c r="A10" s="128" t="s">
        <v>1783</v>
      </c>
      <c r="B10" s="12"/>
      <c r="C10" s="12"/>
      <c r="D10" s="1"/>
      <c r="E10" s="1"/>
      <c r="F10" s="1"/>
      <c r="G10" s="1"/>
      <c r="H10" s="1"/>
      <c r="I10" s="1"/>
      <c r="J10" s="1"/>
      <c r="K10" s="1"/>
      <c r="L10" s="1"/>
      <c r="M10" s="1"/>
      <c r="N10" s="1"/>
      <c r="O10" s="1" t="s">
        <v>1755</v>
      </c>
      <c r="P10" s="1"/>
    </row>
    <row r="11" spans="1:16" s="3" customFormat="1" ht="20.100000000000001" customHeight="1">
      <c r="A11" s="128" t="s">
        <v>1784</v>
      </c>
      <c r="B11" s="12"/>
      <c r="C11" s="12"/>
      <c r="D11" s="1"/>
      <c r="E11" s="1"/>
      <c r="F11" s="1"/>
      <c r="G11" s="1"/>
      <c r="H11" s="1"/>
      <c r="I11" s="1"/>
      <c r="J11" s="1"/>
      <c r="K11" s="1"/>
      <c r="L11" s="1"/>
      <c r="M11" s="1"/>
      <c r="N11" s="1"/>
      <c r="O11" s="1" t="s">
        <v>1756</v>
      </c>
      <c r="P11" s="1"/>
    </row>
    <row r="12" spans="1:16" s="3" customFormat="1" ht="20.100000000000001" customHeight="1">
      <c r="A12" s="128"/>
      <c r="B12" s="12"/>
      <c r="C12" s="12"/>
      <c r="D12" s="1"/>
      <c r="E12" s="1"/>
      <c r="F12" s="1"/>
      <c r="G12" s="1"/>
      <c r="H12" s="1"/>
      <c r="I12" s="1"/>
      <c r="J12" s="1"/>
      <c r="K12" s="1"/>
      <c r="L12" s="1"/>
      <c r="M12" s="1"/>
      <c r="N12" s="1"/>
      <c r="O12" s="1" t="s">
        <v>1757</v>
      </c>
      <c r="P12" s="1"/>
    </row>
    <row r="13" spans="1:16" s="3" customFormat="1" ht="20.100000000000001" customHeight="1">
      <c r="A13" s="11"/>
      <c r="B13" s="12"/>
      <c r="C13" s="12"/>
      <c r="D13" s="1"/>
      <c r="E13" s="1"/>
      <c r="F13" s="1"/>
      <c r="G13" s="1"/>
      <c r="H13" s="1"/>
      <c r="I13" s="1"/>
      <c r="J13" s="1"/>
      <c r="K13" s="1"/>
      <c r="L13" s="1"/>
      <c r="M13" s="1"/>
      <c r="N13" s="1"/>
      <c r="O13" s="1" t="s">
        <v>1758</v>
      </c>
      <c r="P13" s="1"/>
    </row>
    <row r="14" spans="1:16" s="3" customFormat="1" ht="20.100000000000001" customHeight="1">
      <c r="A14" s="11"/>
      <c r="B14" s="12"/>
      <c r="C14" s="12"/>
      <c r="D14" s="1"/>
      <c r="E14" s="1"/>
      <c r="F14" s="1"/>
      <c r="G14" s="1"/>
      <c r="H14" s="1"/>
      <c r="I14" s="1"/>
      <c r="J14" s="1"/>
      <c r="K14" s="1"/>
      <c r="L14" s="1"/>
      <c r="M14" s="1"/>
      <c r="N14" s="1"/>
      <c r="O14" s="1"/>
      <c r="P14" s="1"/>
    </row>
    <row r="15" spans="1:16" s="3" customFormat="1" ht="20.100000000000001" customHeight="1">
      <c r="A15" s="26" t="s">
        <v>632</v>
      </c>
      <c r="B15" s="14">
        <f>SUM(B5:B14)</f>
        <v>0</v>
      </c>
      <c r="C15" s="14">
        <f>SUM(C5:C14)</f>
        <v>0</v>
      </c>
      <c r="D15" s="1"/>
      <c r="E15" s="1"/>
      <c r="F15" s="1"/>
      <c r="G15" s="1"/>
      <c r="H15" s="1"/>
      <c r="I15" s="1"/>
      <c r="J15" s="1"/>
      <c r="K15" s="1"/>
      <c r="L15" s="1"/>
      <c r="M15" s="1"/>
      <c r="N15" s="1"/>
      <c r="O15" s="1"/>
      <c r="P15" s="1"/>
    </row>
    <row r="16" spans="1:16" s="109" customFormat="1" ht="20.100000000000001" customHeight="1">
      <c r="A16" s="112" t="s">
        <v>623</v>
      </c>
      <c r="B16" s="113"/>
      <c r="C16" s="124"/>
    </row>
    <row r="17" spans="1:16" s="109" customFormat="1" ht="20.100000000000001" customHeight="1">
      <c r="B17" s="115">
        <f>B15-B16</f>
        <v>0</v>
      </c>
      <c r="C17" s="125"/>
    </row>
    <row r="18" spans="1:16" s="23" customFormat="1" ht="20.100000000000001" customHeight="1">
      <c r="B18" s="23" t="str">
        <f>IF(B17=0,"OK","NO")</f>
        <v>OK</v>
      </c>
    </row>
    <row r="19" spans="1:16" s="3" customFormat="1" ht="13.8">
      <c r="A19" s="1130"/>
      <c r="B19" s="1125"/>
      <c r="C19" s="1125"/>
      <c r="D19" s="129"/>
      <c r="O19" s="1"/>
      <c r="P19" s="1"/>
    </row>
    <row r="20" spans="1:16" ht="20.100000000000001" customHeight="1">
      <c r="A20" s="126"/>
      <c r="B20" s="126"/>
      <c r="C20" s="126"/>
      <c r="D20" s="126"/>
    </row>
  </sheetData>
  <mergeCells count="1">
    <mergeCell ref="A19:C19"/>
  </mergeCells>
  <phoneticPr fontId="78" type="noConversion"/>
  <hyperlinks>
    <hyperlink ref="D1" location="目录!A1" display="BACK"/>
  </hyperlinks>
  <pageMargins left="0.43263888888888902" right="0.47152777777777799" top="0.98402777777777795" bottom="0.98402777777777795" header="0.51180555555555596" footer="0.51180555555555596"/>
  <pageSetup paperSize="9" scale="84" orientation="portrait" blackAndWhite="1" r:id="rId1"/>
  <headerFooter alignWithMargins="0"/>
  <rowBreaks count="1" manualBreakCount="1">
    <brk id="33" max="16383" man="1"/>
  </row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6"/>
  <dimension ref="A1:P20"/>
  <sheetViews>
    <sheetView view="pageBreakPreview" zoomScaleNormal="100" zoomScaleSheetLayoutView="100" workbookViewId="0">
      <selection activeCell="B16" sqref="B16"/>
    </sheetView>
  </sheetViews>
  <sheetFormatPr defaultColWidth="9" defaultRowHeight="20.100000000000001" customHeight="1"/>
  <cols>
    <col min="1" max="1" width="30.59765625" style="5" customWidth="1"/>
    <col min="2" max="2" width="22" style="5" customWidth="1"/>
    <col min="3" max="3" width="27.69921875" style="5" customWidth="1"/>
    <col min="4" max="4" width="23.19921875" style="5" customWidth="1"/>
    <col min="5" max="5" width="12.59765625" style="5" customWidth="1"/>
    <col min="6" max="14" width="12.09765625" style="5" customWidth="1"/>
    <col min="15" max="16" width="9" style="110"/>
    <col min="17" max="16384" width="9" style="5"/>
  </cols>
  <sheetData>
    <row r="1" spans="1:16" s="16" customFormat="1" ht="24.9" customHeight="1">
      <c r="A1" s="6" t="s">
        <v>145</v>
      </c>
      <c r="B1" s="7">
        <f>基础信息!B6</f>
        <v>0</v>
      </c>
      <c r="E1" s="900" t="s">
        <v>146</v>
      </c>
      <c r="O1" s="122"/>
      <c r="P1" s="122"/>
    </row>
    <row r="2" spans="1:16" s="16" customFormat="1" ht="24.9" customHeight="1">
      <c r="A2" s="6" t="s">
        <v>147</v>
      </c>
      <c r="B2" s="7">
        <f>基础信息!B9</f>
        <v>0</v>
      </c>
      <c r="O2" s="122"/>
      <c r="P2" s="122"/>
    </row>
    <row r="3" spans="1:16" s="16" customFormat="1" ht="24.9" customHeight="1">
      <c r="A3" s="68" t="s">
        <v>148</v>
      </c>
      <c r="B3" s="68" t="s">
        <v>1785</v>
      </c>
      <c r="D3" s="122"/>
      <c r="E3" s="122"/>
      <c r="F3" s="122"/>
      <c r="G3" s="122"/>
      <c r="H3" s="122"/>
      <c r="I3" s="122"/>
      <c r="J3" s="122"/>
      <c r="K3" s="122"/>
      <c r="L3" s="122"/>
      <c r="M3" s="122"/>
      <c r="N3" s="122"/>
      <c r="O3" s="122"/>
      <c r="P3" s="122"/>
    </row>
    <row r="4" spans="1:16" s="121" customFormat="1" ht="24.9" customHeight="1">
      <c r="A4" s="10" t="s">
        <v>1043</v>
      </c>
      <c r="B4" s="10" t="s">
        <v>1714</v>
      </c>
      <c r="C4" s="10" t="s">
        <v>1786</v>
      </c>
      <c r="D4" s="9"/>
      <c r="E4" s="9"/>
      <c r="F4" s="9"/>
      <c r="G4" s="9"/>
      <c r="H4" s="9"/>
      <c r="I4" s="9"/>
      <c r="J4" s="9"/>
      <c r="K4" s="9"/>
      <c r="L4" s="9"/>
      <c r="M4" s="9"/>
      <c r="N4" s="9"/>
      <c r="O4" s="9"/>
      <c r="P4" s="9"/>
    </row>
    <row r="5" spans="1:16" s="3" customFormat="1" ht="20.100000000000001" customHeight="1">
      <c r="A5" s="123" t="s">
        <v>1787</v>
      </c>
      <c r="B5" s="12"/>
      <c r="C5" s="12"/>
      <c r="D5" s="1"/>
      <c r="E5" s="1"/>
      <c r="F5" s="1"/>
      <c r="G5" s="1"/>
      <c r="H5" s="1"/>
      <c r="I5" s="1"/>
      <c r="J5" s="1"/>
      <c r="K5" s="1"/>
      <c r="L5" s="1"/>
      <c r="M5" s="1"/>
      <c r="N5" s="1"/>
      <c r="O5" s="1" t="s">
        <v>1751</v>
      </c>
      <c r="P5" s="1"/>
    </row>
    <row r="6" spans="1:16" s="3" customFormat="1" ht="20.100000000000001" customHeight="1">
      <c r="A6" s="123" t="s">
        <v>1788</v>
      </c>
      <c r="B6" s="12"/>
      <c r="C6" s="12"/>
      <c r="D6" s="1"/>
      <c r="E6" s="1"/>
      <c r="F6" s="1"/>
      <c r="G6" s="1"/>
      <c r="H6" s="1"/>
      <c r="I6" s="1"/>
      <c r="J6" s="1"/>
      <c r="K6" s="1"/>
      <c r="L6" s="1"/>
      <c r="M6" s="1"/>
      <c r="N6" s="1"/>
      <c r="O6" s="1" t="s">
        <v>1752</v>
      </c>
      <c r="P6" s="1"/>
    </row>
    <row r="7" spans="1:16" s="3" customFormat="1" ht="20.100000000000001" customHeight="1">
      <c r="A7" s="123" t="s">
        <v>1789</v>
      </c>
      <c r="B7" s="12"/>
      <c r="C7" s="12"/>
      <c r="D7" s="1"/>
      <c r="E7" s="1"/>
      <c r="F7" s="1"/>
      <c r="G7" s="1"/>
      <c r="H7" s="1"/>
      <c r="I7" s="1"/>
      <c r="J7" s="1"/>
      <c r="K7" s="1"/>
      <c r="L7" s="1"/>
      <c r="M7" s="1"/>
      <c r="N7" s="1"/>
      <c r="O7" s="1" t="s">
        <v>1753</v>
      </c>
      <c r="P7" s="1"/>
    </row>
    <row r="8" spans="1:16" s="3" customFormat="1" ht="20.100000000000001" customHeight="1">
      <c r="A8" s="123" t="s">
        <v>1790</v>
      </c>
      <c r="B8" s="12"/>
      <c r="C8" s="12"/>
      <c r="D8" s="1"/>
      <c r="E8" s="1"/>
      <c r="F8" s="1"/>
      <c r="G8" s="1"/>
      <c r="H8" s="1"/>
      <c r="I8" s="1"/>
      <c r="J8" s="1"/>
      <c r="K8" s="1"/>
      <c r="L8" s="1"/>
      <c r="M8" s="1"/>
      <c r="N8" s="1"/>
      <c r="O8" s="1" t="s">
        <v>1754</v>
      </c>
      <c r="P8" s="1"/>
    </row>
    <row r="9" spans="1:16" s="3" customFormat="1" ht="20.100000000000001" customHeight="1">
      <c r="A9" s="11" t="s">
        <v>1023</v>
      </c>
      <c r="B9" s="12"/>
      <c r="C9" s="12"/>
      <c r="D9" s="1"/>
      <c r="E9" s="1"/>
      <c r="F9" s="1"/>
      <c r="G9" s="1"/>
      <c r="H9" s="1"/>
      <c r="I9" s="1"/>
      <c r="J9" s="1"/>
      <c r="K9" s="1"/>
      <c r="L9" s="1"/>
      <c r="M9" s="1"/>
      <c r="N9" s="1"/>
      <c r="O9" s="1" t="s">
        <v>172</v>
      </c>
      <c r="P9" s="1"/>
    </row>
    <row r="10" spans="1:16" s="3" customFormat="1" ht="20.100000000000001" customHeight="1">
      <c r="A10" s="11"/>
      <c r="B10" s="12"/>
      <c r="C10" s="12"/>
      <c r="D10" s="1"/>
      <c r="E10" s="1"/>
      <c r="F10" s="1"/>
      <c r="G10" s="1"/>
      <c r="H10" s="1"/>
      <c r="I10" s="1"/>
      <c r="J10" s="1"/>
      <c r="K10" s="1"/>
      <c r="L10" s="1"/>
      <c r="M10" s="1"/>
      <c r="N10" s="1"/>
      <c r="O10" s="1" t="s">
        <v>1755</v>
      </c>
      <c r="P10" s="1"/>
    </row>
    <row r="11" spans="1:16" s="3" customFormat="1" ht="20.100000000000001" customHeight="1">
      <c r="A11" s="11"/>
      <c r="B11" s="12"/>
      <c r="C11" s="12"/>
      <c r="D11" s="1"/>
      <c r="E11" s="1"/>
      <c r="F11" s="1"/>
      <c r="G11" s="1"/>
      <c r="H11" s="1"/>
      <c r="I11" s="1"/>
      <c r="J11" s="1"/>
      <c r="K11" s="1"/>
      <c r="L11" s="1"/>
      <c r="M11" s="1"/>
      <c r="N11" s="1"/>
      <c r="O11" s="1" t="s">
        <v>1756</v>
      </c>
      <c r="P11" s="1"/>
    </row>
    <row r="12" spans="1:16" s="3" customFormat="1" ht="20.100000000000001" customHeight="1">
      <c r="A12" s="11"/>
      <c r="B12" s="12"/>
      <c r="C12" s="12"/>
      <c r="D12" s="1"/>
      <c r="E12" s="1"/>
      <c r="F12" s="1"/>
      <c r="G12" s="1"/>
      <c r="H12" s="1"/>
      <c r="I12" s="1"/>
      <c r="J12" s="1"/>
      <c r="K12" s="1"/>
      <c r="L12" s="1"/>
      <c r="M12" s="1"/>
      <c r="N12" s="1"/>
      <c r="O12" s="1" t="s">
        <v>1757</v>
      </c>
      <c r="P12" s="1"/>
    </row>
    <row r="13" spans="1:16" s="3" customFormat="1" ht="20.100000000000001" customHeight="1">
      <c r="A13" s="11"/>
      <c r="B13" s="12"/>
      <c r="C13" s="12"/>
      <c r="D13" s="1"/>
      <c r="E13" s="1"/>
      <c r="F13" s="1"/>
      <c r="G13" s="1"/>
      <c r="H13" s="1"/>
      <c r="I13" s="1"/>
      <c r="J13" s="1"/>
      <c r="K13" s="1"/>
      <c r="L13" s="1"/>
      <c r="M13" s="1"/>
      <c r="N13" s="1"/>
      <c r="O13" s="1" t="s">
        <v>1758</v>
      </c>
      <c r="P13" s="1"/>
    </row>
    <row r="14" spans="1:16" s="3" customFormat="1" ht="20.100000000000001" customHeight="1">
      <c r="B14" s="12"/>
      <c r="C14" s="12"/>
      <c r="D14" s="1"/>
      <c r="E14" s="1"/>
      <c r="F14" s="1"/>
      <c r="G14" s="1"/>
      <c r="H14" s="1"/>
      <c r="I14" s="1"/>
      <c r="J14" s="1"/>
      <c r="K14" s="1"/>
      <c r="L14" s="1"/>
      <c r="M14" s="1"/>
      <c r="N14" s="1"/>
      <c r="O14" s="1"/>
      <c r="P14" s="1"/>
    </row>
    <row r="15" spans="1:16" s="3" customFormat="1" ht="20.100000000000001" customHeight="1">
      <c r="A15" s="26" t="s">
        <v>632</v>
      </c>
      <c r="B15" s="14">
        <f>SUM(B5:B14)</f>
        <v>0</v>
      </c>
      <c r="C15" s="14">
        <f>SUM(C5:C14)</f>
        <v>0</v>
      </c>
      <c r="D15" s="114"/>
      <c r="E15" s="1"/>
      <c r="F15" s="1"/>
      <c r="G15" s="1"/>
      <c r="H15" s="1"/>
      <c r="I15" s="1"/>
      <c r="J15" s="1"/>
      <c r="K15" s="1"/>
      <c r="L15" s="1"/>
      <c r="M15" s="1"/>
      <c r="N15" s="1"/>
      <c r="O15" s="1"/>
      <c r="P15" s="1"/>
    </row>
    <row r="16" spans="1:16" s="109" customFormat="1" ht="20.100000000000001" customHeight="1">
      <c r="A16" s="112" t="s">
        <v>623</v>
      </c>
      <c r="B16" s="113"/>
      <c r="C16" s="124"/>
    </row>
    <row r="17" spans="1:16" s="109" customFormat="1" ht="20.100000000000001" customHeight="1">
      <c r="B17" s="115">
        <f>B15-B16</f>
        <v>0</v>
      </c>
      <c r="C17" s="125"/>
    </row>
    <row r="18" spans="1:16" s="23" customFormat="1" ht="20.100000000000001" customHeight="1">
      <c r="B18" s="23" t="str">
        <f>IF(B17=0,"OK","NO")</f>
        <v>OK</v>
      </c>
    </row>
    <row r="19" spans="1:16" s="3" customFormat="1" ht="20.100000000000001" customHeight="1">
      <c r="A19" s="1125"/>
      <c r="B19" s="1125"/>
      <c r="C19" s="1125"/>
      <c r="D19" s="1125"/>
      <c r="O19" s="1"/>
      <c r="P19" s="1"/>
    </row>
    <row r="20" spans="1:16" ht="20.100000000000001" customHeight="1">
      <c r="A20" s="126"/>
      <c r="B20" s="126"/>
      <c r="C20" s="126"/>
      <c r="D20" s="126"/>
    </row>
  </sheetData>
  <mergeCells count="1">
    <mergeCell ref="A19:D19"/>
  </mergeCells>
  <phoneticPr fontId="78" type="noConversion"/>
  <hyperlinks>
    <hyperlink ref="E1" location="目录!A1" display="BACK"/>
  </hyperlinks>
  <pageMargins left="0.43263888888888902" right="0.47152777777777799" top="0.98402777777777795" bottom="0.98402777777777795" header="0.51180555555555596" footer="0.51180555555555596"/>
  <pageSetup paperSize="9" scale="84" orientation="portrait" blackAndWhite="1" r:id="rId1"/>
  <headerFooter alignWithMargins="0"/>
  <rowBreaks count="1" manualBreakCount="1">
    <brk id="33" max="16383" man="1"/>
  </rowBreak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7"/>
  <dimension ref="A1:Q22"/>
  <sheetViews>
    <sheetView view="pageBreakPreview" zoomScaleNormal="100" zoomScaleSheetLayoutView="100" workbookViewId="0">
      <selection activeCell="B16" sqref="B16"/>
    </sheetView>
  </sheetViews>
  <sheetFormatPr defaultColWidth="9" defaultRowHeight="20.100000000000001" customHeight="1"/>
  <cols>
    <col min="1" max="2" width="30.59765625" style="5" customWidth="1"/>
    <col min="3" max="3" width="20.59765625" style="5" customWidth="1"/>
    <col min="4" max="4" width="22.5" style="5" customWidth="1"/>
    <col min="5" max="5" width="24.59765625" style="110" customWidth="1"/>
    <col min="6" max="14" width="7.59765625" style="110" customWidth="1"/>
    <col min="15" max="17" width="9" style="110"/>
    <col min="18" max="16384" width="9" style="5"/>
  </cols>
  <sheetData>
    <row r="1" spans="1:17" ht="24.9" customHeight="1">
      <c r="A1" s="6" t="s">
        <v>145</v>
      </c>
      <c r="B1" s="7">
        <f>基础信息!B6</f>
        <v>0</v>
      </c>
      <c r="D1" s="900" t="s">
        <v>146</v>
      </c>
      <c r="E1" s="8"/>
    </row>
    <row r="2" spans="1:17" ht="24.9" customHeight="1">
      <c r="A2" s="6" t="s">
        <v>147</v>
      </c>
      <c r="B2" s="7">
        <f>基础信息!B9</f>
        <v>0</v>
      </c>
    </row>
    <row r="3" spans="1:17" ht="24.9" customHeight="1">
      <c r="A3" s="68" t="s">
        <v>148</v>
      </c>
      <c r="B3" s="68" t="s">
        <v>1791</v>
      </c>
    </row>
    <row r="4" spans="1:17" s="3" customFormat="1" ht="24.9" customHeight="1">
      <c r="A4" s="10" t="s">
        <v>729</v>
      </c>
      <c r="B4" s="10" t="s">
        <v>1714</v>
      </c>
      <c r="C4" s="10" t="s">
        <v>1786</v>
      </c>
      <c r="D4" s="1"/>
      <c r="E4" s="1"/>
      <c r="F4" s="1"/>
      <c r="G4" s="1"/>
      <c r="H4" s="1"/>
      <c r="I4" s="1"/>
      <c r="J4" s="1"/>
      <c r="K4" s="1"/>
      <c r="L4" s="1"/>
      <c r="M4" s="1"/>
      <c r="N4" s="120" t="s">
        <v>1792</v>
      </c>
      <c r="O4" s="120"/>
      <c r="P4" s="1"/>
      <c r="Q4" s="1"/>
    </row>
    <row r="5" spans="1:17" s="3" customFormat="1" ht="20.100000000000001" customHeight="1">
      <c r="A5" s="116" t="s">
        <v>1793</v>
      </c>
      <c r="B5" s="12"/>
      <c r="C5" s="12"/>
      <c r="D5" s="1"/>
      <c r="E5" s="1"/>
      <c r="F5" s="1"/>
      <c r="G5" s="1"/>
      <c r="H5" s="1"/>
      <c r="I5" s="1"/>
      <c r="J5" s="1"/>
      <c r="K5" s="1"/>
      <c r="L5" s="1"/>
      <c r="M5" s="1"/>
      <c r="N5" s="120" t="s">
        <v>1794</v>
      </c>
      <c r="O5" s="120"/>
      <c r="P5" s="1"/>
      <c r="Q5" s="1"/>
    </row>
    <row r="6" spans="1:17" s="3" customFormat="1" ht="20.100000000000001" customHeight="1">
      <c r="A6" s="116" t="s">
        <v>1795</v>
      </c>
      <c r="B6" s="12"/>
      <c r="C6" s="12"/>
      <c r="D6" s="1"/>
      <c r="E6" s="1"/>
      <c r="F6" s="1"/>
      <c r="G6" s="1"/>
      <c r="H6" s="1"/>
      <c r="I6" s="1"/>
      <c r="J6" s="1"/>
      <c r="K6" s="1"/>
      <c r="L6" s="1"/>
      <c r="M6" s="1"/>
      <c r="N6" s="120" t="s">
        <v>1796</v>
      </c>
      <c r="O6" s="120"/>
      <c r="P6" s="1"/>
      <c r="Q6" s="1"/>
    </row>
    <row r="7" spans="1:17" s="3" customFormat="1" ht="20.100000000000001" customHeight="1">
      <c r="A7" s="116" t="s">
        <v>1797</v>
      </c>
      <c r="B7" s="12"/>
      <c r="C7" s="12"/>
      <c r="D7" s="1"/>
      <c r="E7" s="1"/>
      <c r="F7" s="1"/>
      <c r="G7" s="1"/>
      <c r="H7" s="1"/>
      <c r="I7" s="1"/>
      <c r="J7" s="1"/>
      <c r="K7" s="1"/>
      <c r="L7" s="1"/>
      <c r="M7" s="1"/>
      <c r="N7" s="120" t="s">
        <v>1798</v>
      </c>
      <c r="O7" s="120"/>
      <c r="P7" s="1"/>
      <c r="Q7" s="1"/>
    </row>
    <row r="8" spans="1:17" s="3" customFormat="1" ht="20.100000000000001" customHeight="1">
      <c r="A8" s="116" t="s">
        <v>1799</v>
      </c>
      <c r="B8" s="12"/>
      <c r="C8" s="12"/>
      <c r="D8" s="1"/>
      <c r="E8" s="1"/>
      <c r="F8" s="1"/>
      <c r="G8" s="1"/>
      <c r="H8" s="1"/>
      <c r="I8" s="1"/>
      <c r="J8" s="1"/>
      <c r="K8" s="1"/>
      <c r="L8" s="1"/>
      <c r="M8" s="1"/>
      <c r="N8" s="120" t="s">
        <v>1800</v>
      </c>
      <c r="O8" s="120"/>
      <c r="P8" s="1"/>
      <c r="Q8" s="1"/>
    </row>
    <row r="9" spans="1:17" s="3" customFormat="1" ht="20.100000000000001" customHeight="1">
      <c r="A9" s="116" t="s">
        <v>1801</v>
      </c>
      <c r="B9" s="12"/>
      <c r="C9" s="12"/>
      <c r="D9" s="1"/>
      <c r="E9" s="1"/>
      <c r="F9" s="1"/>
      <c r="G9" s="1"/>
      <c r="H9" s="1"/>
      <c r="I9" s="1"/>
      <c r="J9" s="1"/>
      <c r="K9" s="1"/>
      <c r="L9" s="1"/>
      <c r="M9" s="1"/>
      <c r="N9" s="120" t="s">
        <v>1802</v>
      </c>
      <c r="O9" s="120"/>
      <c r="P9" s="1"/>
      <c r="Q9" s="1"/>
    </row>
    <row r="10" spans="1:17" s="3" customFormat="1" ht="20.100000000000001" customHeight="1">
      <c r="A10" s="117" t="s">
        <v>1023</v>
      </c>
      <c r="B10" s="12"/>
      <c r="C10" s="12"/>
      <c r="D10" s="1"/>
      <c r="E10" s="1"/>
      <c r="F10" s="1"/>
      <c r="G10" s="1"/>
      <c r="H10" s="1"/>
      <c r="I10" s="1"/>
      <c r="J10" s="1"/>
      <c r="K10" s="1"/>
      <c r="L10" s="1"/>
      <c r="M10" s="1"/>
      <c r="N10" s="120" t="s">
        <v>90</v>
      </c>
      <c r="O10" s="120"/>
      <c r="P10" s="1"/>
      <c r="Q10" s="1"/>
    </row>
    <row r="11" spans="1:17" s="3" customFormat="1" ht="20.100000000000001" customHeight="1">
      <c r="A11" s="26"/>
      <c r="B11" s="12"/>
      <c r="C11" s="12"/>
      <c r="D11" s="1"/>
      <c r="E11" s="1"/>
      <c r="F11" s="1"/>
      <c r="G11" s="1"/>
      <c r="H11" s="1"/>
      <c r="I11" s="1"/>
      <c r="J11" s="1"/>
      <c r="K11" s="1"/>
      <c r="L11" s="1"/>
      <c r="M11" s="1"/>
      <c r="N11" s="120" t="s">
        <v>1803</v>
      </c>
      <c r="O11" s="120"/>
      <c r="P11" s="1"/>
      <c r="Q11" s="1"/>
    </row>
    <row r="12" spans="1:17" s="3" customFormat="1" ht="20.100000000000001" customHeight="1">
      <c r="A12" s="26"/>
      <c r="B12" s="12"/>
      <c r="C12" s="12"/>
      <c r="D12" s="1"/>
      <c r="E12" s="1"/>
      <c r="F12" s="1"/>
      <c r="G12" s="1"/>
      <c r="H12" s="1"/>
      <c r="I12" s="1"/>
      <c r="J12" s="1"/>
      <c r="K12" s="1"/>
      <c r="L12" s="1"/>
      <c r="M12" s="1"/>
      <c r="N12" s="120" t="s">
        <v>1804</v>
      </c>
      <c r="O12" s="120"/>
      <c r="P12" s="1"/>
      <c r="Q12" s="1"/>
    </row>
    <row r="13" spans="1:17" s="3" customFormat="1" ht="20.100000000000001" customHeight="1">
      <c r="A13" s="26"/>
      <c r="B13" s="12"/>
      <c r="C13" s="12"/>
      <c r="D13" s="1"/>
      <c r="E13" s="1"/>
      <c r="F13" s="1"/>
      <c r="G13" s="1"/>
      <c r="H13" s="1"/>
      <c r="I13" s="1"/>
      <c r="J13" s="1"/>
      <c r="K13" s="1"/>
      <c r="L13" s="1"/>
      <c r="M13" s="1"/>
      <c r="N13" s="120" t="s">
        <v>1758</v>
      </c>
      <c r="O13" s="120"/>
      <c r="P13" s="1"/>
      <c r="Q13" s="1"/>
    </row>
    <row r="14" spans="1:17" s="3" customFormat="1" ht="20.100000000000001" customHeight="1">
      <c r="A14" s="26"/>
      <c r="B14" s="12"/>
      <c r="C14" s="12"/>
      <c r="D14" s="1"/>
      <c r="E14" s="1"/>
      <c r="F14" s="1"/>
      <c r="G14" s="1"/>
      <c r="H14" s="1"/>
      <c r="I14" s="1"/>
      <c r="J14" s="1"/>
      <c r="K14" s="1"/>
      <c r="L14" s="1"/>
      <c r="M14" s="1"/>
      <c r="N14" s="120" t="s">
        <v>870</v>
      </c>
      <c r="O14" s="120"/>
      <c r="P14" s="1"/>
      <c r="Q14" s="1"/>
    </row>
    <row r="15" spans="1:17" s="3" customFormat="1" ht="20.100000000000001" customHeight="1">
      <c r="A15" s="26" t="s">
        <v>632</v>
      </c>
      <c r="B15" s="14">
        <f>SUM(B5:B14)</f>
        <v>0</v>
      </c>
      <c r="C15" s="14">
        <f>SUM(C5:C14)</f>
        <v>0</v>
      </c>
      <c r="D15" s="114"/>
      <c r="E15" s="114"/>
      <c r="F15" s="114"/>
      <c r="G15" s="114"/>
      <c r="H15" s="114"/>
      <c r="I15" s="114"/>
      <c r="J15" s="114"/>
      <c r="K15" s="114"/>
      <c r="L15" s="114"/>
      <c r="M15" s="1"/>
      <c r="N15" s="1"/>
      <c r="O15" s="1"/>
      <c r="P15" s="1"/>
      <c r="Q15" s="1"/>
    </row>
    <row r="16" spans="1:17" s="109" customFormat="1" ht="20.100000000000001" customHeight="1">
      <c r="A16" s="112" t="s">
        <v>623</v>
      </c>
      <c r="B16" s="113"/>
    </row>
    <row r="17" spans="1:17" s="109" customFormat="1" ht="20.100000000000001" customHeight="1">
      <c r="B17" s="115">
        <f>B15-B16</f>
        <v>0</v>
      </c>
    </row>
    <row r="18" spans="1:17" s="23" customFormat="1" ht="20.100000000000001" customHeight="1">
      <c r="B18" s="23" t="str">
        <f>IF(B17=0,"OK","NO")</f>
        <v>OK</v>
      </c>
    </row>
    <row r="19" spans="1:17" s="23" customFormat="1" ht="20.100000000000001" customHeight="1"/>
    <row r="20" spans="1:17" s="110" customFormat="1" ht="20.100000000000001" customHeight="1">
      <c r="A20" s="118"/>
      <c r="B20" s="118"/>
      <c r="C20" s="119"/>
    </row>
    <row r="21" spans="1:17" ht="20.100000000000001" customHeight="1">
      <c r="D21" s="110"/>
      <c r="Q21" s="5"/>
    </row>
    <row r="22" spans="1:17" ht="20.100000000000001" customHeight="1">
      <c r="A22" s="110"/>
    </row>
  </sheetData>
  <phoneticPr fontId="78" type="noConversion"/>
  <hyperlinks>
    <hyperlink ref="D1" location="目录!A1" display="BACK"/>
  </hyperlinks>
  <pageMargins left="0.74791666666666701" right="0.74791666666666701" top="0.98402777777777795" bottom="0.98402777777777795" header="0.51180555555555596" footer="0.51180555555555596"/>
  <pageSetup paperSize="9" scale="99" orientation="portrait" blackAndWhite="1" r:id="rId1"/>
  <headerFooter alignWithMargins="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8"/>
  <dimension ref="A1:J55"/>
  <sheetViews>
    <sheetView view="pageBreakPreview" zoomScaleNormal="100" zoomScaleSheetLayoutView="100" workbookViewId="0">
      <selection activeCell="B17" sqref="B17"/>
    </sheetView>
  </sheetViews>
  <sheetFormatPr defaultColWidth="9" defaultRowHeight="20.100000000000001" customHeight="1"/>
  <cols>
    <col min="1" max="2" width="30.59765625" style="5" customWidth="1"/>
    <col min="3" max="3" width="24.09765625" style="5" customWidth="1"/>
    <col min="4" max="4" width="22.69921875" style="5" customWidth="1"/>
    <col min="5" max="5" width="11.69921875" style="110" customWidth="1"/>
    <col min="6" max="10" width="9" style="110"/>
    <col min="11" max="16384" width="9" style="5"/>
  </cols>
  <sheetData>
    <row r="1" spans="1:10" ht="24.9" customHeight="1">
      <c r="A1" s="6" t="s">
        <v>145</v>
      </c>
      <c r="B1" s="7">
        <f>基础信息!B6</f>
        <v>0</v>
      </c>
      <c r="C1" s="900" t="s">
        <v>146</v>
      </c>
      <c r="E1" s="8"/>
    </row>
    <row r="2" spans="1:10" ht="24.9" customHeight="1">
      <c r="A2" s="6" t="s">
        <v>147</v>
      </c>
      <c r="B2" s="7">
        <f>基础信息!B9</f>
        <v>0</v>
      </c>
    </row>
    <row r="3" spans="1:10" ht="24.9" customHeight="1">
      <c r="A3" s="61" t="s">
        <v>148</v>
      </c>
      <c r="B3" s="61" t="s">
        <v>1805</v>
      </c>
    </row>
    <row r="4" spans="1:10" s="1" customFormat="1" ht="24.9" customHeight="1">
      <c r="A4" s="9" t="s">
        <v>1806</v>
      </c>
      <c r="B4" s="9"/>
    </row>
    <row r="5" spans="1:10" s="60" customFormat="1" ht="24.9" customHeight="1">
      <c r="A5" s="10" t="s">
        <v>729</v>
      </c>
      <c r="B5" s="10" t="s">
        <v>1714</v>
      </c>
      <c r="C5" s="111"/>
    </row>
    <row r="6" spans="1:10" s="3" customFormat="1" ht="20.100000000000001" customHeight="1">
      <c r="A6" s="26" t="s">
        <v>1807</v>
      </c>
      <c r="B6" s="12"/>
      <c r="C6" s="31"/>
      <c r="D6" s="1"/>
      <c r="E6" s="1"/>
      <c r="F6" s="1"/>
      <c r="G6" s="1"/>
      <c r="H6" s="1"/>
      <c r="I6" s="1"/>
      <c r="J6" s="1"/>
    </row>
    <row r="7" spans="1:10" s="3" customFormat="1" ht="20.100000000000001" customHeight="1">
      <c r="A7" s="26" t="s">
        <v>1808</v>
      </c>
      <c r="B7" s="12"/>
      <c r="C7" s="31"/>
      <c r="D7" s="1"/>
      <c r="E7" s="1"/>
      <c r="F7" s="1"/>
      <c r="G7" s="1"/>
      <c r="H7" s="1"/>
      <c r="I7" s="1"/>
      <c r="J7" s="1"/>
    </row>
    <row r="8" spans="1:10" s="3" customFormat="1" ht="20.100000000000001" customHeight="1">
      <c r="A8" s="26" t="s">
        <v>632</v>
      </c>
      <c r="B8" s="14">
        <f>SUM(B6:B7)</f>
        <v>0</v>
      </c>
      <c r="C8" s="31"/>
      <c r="D8" s="1"/>
      <c r="E8" s="1"/>
      <c r="F8" s="1"/>
      <c r="G8" s="1"/>
      <c r="H8" s="1"/>
      <c r="I8" s="1"/>
      <c r="J8" s="1"/>
    </row>
    <row r="9" spans="1:10" s="109" customFormat="1" ht="20.100000000000001" customHeight="1">
      <c r="A9" s="112" t="s">
        <v>623</v>
      </c>
      <c r="B9" s="113"/>
    </row>
    <row r="10" spans="1:10" s="109" customFormat="1" ht="20.100000000000001" customHeight="1">
      <c r="A10" s="112"/>
      <c r="B10" s="113">
        <f>B8-B9</f>
        <v>0</v>
      </c>
    </row>
    <row r="11" spans="1:10" s="23" customFormat="1" ht="20.100000000000001" customHeight="1">
      <c r="B11" s="23" t="str">
        <f>IF(B10=0,"OK","NO")</f>
        <v>OK</v>
      </c>
    </row>
    <row r="12" spans="1:10" s="3" customFormat="1" ht="20.100000000000001" customHeight="1">
      <c r="A12" s="27"/>
      <c r="B12" s="27"/>
      <c r="C12" s="31"/>
      <c r="D12" s="1"/>
      <c r="E12" s="1"/>
      <c r="F12" s="1"/>
      <c r="G12" s="1"/>
      <c r="H12" s="1"/>
      <c r="I12" s="1"/>
      <c r="J12" s="1"/>
    </row>
    <row r="13" spans="1:10" s="3" customFormat="1" ht="20.100000000000001" customHeight="1">
      <c r="A13" s="1131" t="s">
        <v>1809</v>
      </c>
      <c r="B13" s="1131"/>
      <c r="C13" s="1"/>
      <c r="D13" s="1"/>
      <c r="E13" s="1"/>
      <c r="F13" s="1"/>
      <c r="G13" s="1"/>
      <c r="H13" s="1"/>
      <c r="I13" s="1"/>
      <c r="J13" s="1"/>
    </row>
    <row r="14" spans="1:10" s="3" customFormat="1" ht="20.100000000000001" customHeight="1">
      <c r="A14" s="26" t="s">
        <v>643</v>
      </c>
      <c r="B14" s="26" t="s">
        <v>1810</v>
      </c>
      <c r="C14" s="31"/>
      <c r="D14" s="1"/>
      <c r="E14" s="1"/>
      <c r="F14" s="1"/>
      <c r="G14" s="1"/>
      <c r="H14" s="1"/>
      <c r="I14" s="1"/>
      <c r="J14" s="1"/>
    </row>
    <row r="15" spans="1:10" s="3" customFormat="1" ht="20.100000000000001" customHeight="1">
      <c r="A15" s="26" t="s">
        <v>1811</v>
      </c>
      <c r="B15" s="12"/>
      <c r="C15" s="31"/>
      <c r="D15" s="1"/>
      <c r="E15" s="1"/>
      <c r="F15" s="1"/>
      <c r="G15" s="1"/>
      <c r="H15" s="1"/>
      <c r="I15" s="1"/>
      <c r="J15" s="1"/>
    </row>
    <row r="16" spans="1:10" s="3" customFormat="1" ht="27" customHeight="1">
      <c r="A16" s="26" t="s">
        <v>1812</v>
      </c>
      <c r="B16" s="12"/>
      <c r="C16" s="31"/>
      <c r="D16" s="1"/>
      <c r="E16" s="1"/>
      <c r="F16" s="1"/>
      <c r="G16" s="1"/>
      <c r="H16" s="1"/>
      <c r="I16" s="1"/>
      <c r="J16" s="1"/>
    </row>
    <row r="17" spans="1:10" s="3" customFormat="1" ht="20.100000000000001" customHeight="1">
      <c r="A17" s="26" t="s">
        <v>1813</v>
      </c>
      <c r="B17" s="12"/>
      <c r="C17" s="31"/>
      <c r="D17" s="1"/>
      <c r="E17" s="1"/>
      <c r="F17" s="1"/>
      <c r="G17" s="1"/>
      <c r="H17" s="1"/>
      <c r="I17" s="1"/>
      <c r="J17" s="1"/>
    </row>
    <row r="18" spans="1:10" s="3" customFormat="1" ht="20.100000000000001" customHeight="1">
      <c r="A18" s="26" t="s">
        <v>1814</v>
      </c>
      <c r="B18" s="12"/>
      <c r="C18" s="31"/>
      <c r="D18" s="1"/>
      <c r="E18" s="1"/>
      <c r="F18" s="1"/>
      <c r="G18" s="1"/>
      <c r="H18" s="1"/>
      <c r="I18" s="1"/>
      <c r="J18" s="1"/>
    </row>
    <row r="19" spans="1:10" s="3" customFormat="1" ht="20.100000000000001" customHeight="1">
      <c r="A19" s="26" t="s">
        <v>1815</v>
      </c>
      <c r="B19" s="12"/>
      <c r="C19" s="31"/>
      <c r="D19" s="1"/>
      <c r="E19" s="1"/>
      <c r="F19" s="1"/>
      <c r="G19" s="1"/>
      <c r="H19" s="1"/>
      <c r="I19" s="1"/>
      <c r="J19" s="1"/>
    </row>
    <row r="20" spans="1:10" s="3" customFormat="1" ht="20.100000000000001" customHeight="1">
      <c r="A20" s="26" t="s">
        <v>1816</v>
      </c>
      <c r="B20" s="12"/>
      <c r="C20" s="31"/>
      <c r="D20" s="1"/>
      <c r="E20" s="1"/>
      <c r="F20" s="1"/>
      <c r="G20" s="1"/>
      <c r="H20" s="1"/>
      <c r="I20" s="1"/>
      <c r="J20" s="1"/>
    </row>
    <row r="21" spans="1:10" s="3" customFormat="1" ht="20.100000000000001" customHeight="1">
      <c r="A21" s="26" t="s">
        <v>1817</v>
      </c>
      <c r="B21" s="12"/>
      <c r="C21" s="31"/>
      <c r="D21" s="1"/>
      <c r="E21" s="1"/>
      <c r="F21" s="1"/>
      <c r="G21" s="1"/>
      <c r="H21" s="1"/>
      <c r="I21" s="1"/>
      <c r="J21" s="1"/>
    </row>
    <row r="22" spans="1:10" s="3" customFormat="1" ht="28.5" customHeight="1">
      <c r="A22" s="26" t="s">
        <v>1818</v>
      </c>
      <c r="B22" s="12"/>
      <c r="C22" s="31"/>
      <c r="D22" s="1"/>
      <c r="E22" s="1"/>
      <c r="F22" s="1"/>
      <c r="G22" s="1"/>
      <c r="H22" s="1"/>
      <c r="I22" s="1"/>
      <c r="J22" s="1"/>
    </row>
    <row r="23" spans="1:10" s="3" customFormat="1" ht="20.100000000000001" customHeight="1">
      <c r="A23" s="26" t="s">
        <v>1819</v>
      </c>
      <c r="B23" s="12"/>
      <c r="C23" s="31"/>
      <c r="D23" s="1"/>
      <c r="E23" s="1"/>
      <c r="F23" s="1"/>
      <c r="G23" s="1"/>
      <c r="H23" s="1"/>
      <c r="I23" s="1"/>
      <c r="J23" s="1"/>
    </row>
    <row r="24" spans="1:10" s="3" customFormat="1" ht="20.100000000000001" customHeight="1">
      <c r="A24" s="26" t="s">
        <v>1820</v>
      </c>
      <c r="B24" s="12"/>
      <c r="C24" s="31"/>
      <c r="D24" s="1"/>
      <c r="E24" s="1"/>
      <c r="F24" s="1"/>
      <c r="G24" s="1"/>
      <c r="H24" s="1"/>
      <c r="I24" s="1"/>
      <c r="J24" s="1"/>
    </row>
    <row r="25" spans="1:10" s="3" customFormat="1" ht="20.100000000000001" customHeight="1">
      <c r="A25" s="26" t="s">
        <v>1023</v>
      </c>
      <c r="B25" s="12"/>
      <c r="C25" s="31"/>
      <c r="D25" s="1"/>
      <c r="E25" s="1"/>
      <c r="F25" s="1"/>
      <c r="G25" s="1"/>
      <c r="H25" s="1"/>
      <c r="I25" s="1"/>
      <c r="J25" s="1"/>
    </row>
    <row r="26" spans="1:10" s="3" customFormat="1" ht="20.100000000000001" customHeight="1">
      <c r="A26" s="26" t="s">
        <v>1023</v>
      </c>
      <c r="B26" s="12"/>
      <c r="C26" s="31"/>
      <c r="D26" s="1"/>
      <c r="E26" s="1"/>
      <c r="F26" s="1"/>
      <c r="G26" s="1"/>
      <c r="H26" s="1"/>
      <c r="I26" s="1"/>
      <c r="J26" s="1"/>
    </row>
    <row r="27" spans="1:10" s="3" customFormat="1" ht="20.100000000000001" customHeight="1">
      <c r="A27" s="26" t="s">
        <v>1023</v>
      </c>
      <c r="B27" s="12"/>
      <c r="C27" s="31"/>
      <c r="D27" s="1"/>
      <c r="E27" s="1"/>
      <c r="F27" s="1"/>
      <c r="G27" s="1"/>
      <c r="H27" s="1"/>
      <c r="I27" s="1"/>
      <c r="J27" s="1"/>
    </row>
    <row r="28" spans="1:10" s="3" customFormat="1" ht="20.100000000000001" customHeight="1">
      <c r="A28" s="26" t="s">
        <v>105</v>
      </c>
      <c r="B28" s="14">
        <f>B16+B17+B18+B19+B20+B21+B22+B23+B24+B27</f>
        <v>0</v>
      </c>
      <c r="C28" s="31"/>
      <c r="D28" s="114"/>
      <c r="E28" s="1"/>
      <c r="F28" s="1"/>
      <c r="G28" s="1"/>
      <c r="H28" s="1"/>
      <c r="I28" s="1"/>
      <c r="J28" s="1"/>
    </row>
    <row r="29" spans="1:10" s="109" customFormat="1" ht="20.100000000000001" customHeight="1">
      <c r="A29" s="112" t="s">
        <v>1821</v>
      </c>
      <c r="B29" s="113"/>
    </row>
    <row r="30" spans="1:10" s="109" customFormat="1" ht="20.100000000000001" customHeight="1">
      <c r="A30" s="112" t="s">
        <v>1822</v>
      </c>
      <c r="B30" s="113"/>
    </row>
    <row r="31" spans="1:10" s="109" customFormat="1" ht="20.100000000000001" customHeight="1">
      <c r="B31" s="115">
        <f>B28-B29</f>
        <v>0</v>
      </c>
    </row>
    <row r="32" spans="1:10" s="109" customFormat="1" ht="20.100000000000001" customHeight="1">
      <c r="B32" s="115">
        <f>B30-B15</f>
        <v>0</v>
      </c>
    </row>
    <row r="33" spans="1:10" s="23" customFormat="1" ht="20.100000000000001" customHeight="1">
      <c r="A33" s="23" t="s">
        <v>542</v>
      </c>
      <c r="B33" s="23" t="str">
        <f>IF(B31=0,"OK","NO")</f>
        <v>OK</v>
      </c>
    </row>
    <row r="34" spans="1:10" s="1" customFormat="1" ht="20.100000000000001" customHeight="1">
      <c r="A34" s="23" t="s">
        <v>542</v>
      </c>
      <c r="B34" s="23" t="str">
        <f>IF(B32=0,"OK","NO")</f>
        <v>OK</v>
      </c>
    </row>
    <row r="35" spans="1:10" ht="20.100000000000001" customHeight="1">
      <c r="D35" s="110"/>
      <c r="J35" s="5"/>
    </row>
    <row r="36" spans="1:10" ht="20.100000000000001" customHeight="1">
      <c r="D36" s="110"/>
      <c r="J36" s="5"/>
    </row>
    <row r="37" spans="1:10" ht="20.100000000000001" customHeight="1">
      <c r="D37" s="110"/>
      <c r="J37" s="5"/>
    </row>
    <row r="38" spans="1:10" ht="20.100000000000001" customHeight="1">
      <c r="D38" s="110"/>
      <c r="J38" s="5"/>
    </row>
    <row r="39" spans="1:10" ht="20.100000000000001" customHeight="1">
      <c r="D39" s="110"/>
      <c r="J39" s="5"/>
    </row>
    <row r="40" spans="1:10" ht="20.100000000000001" customHeight="1">
      <c r="D40" s="110"/>
      <c r="J40" s="5"/>
    </row>
    <row r="41" spans="1:10" ht="20.100000000000001" customHeight="1">
      <c r="D41" s="110"/>
      <c r="J41" s="5"/>
    </row>
    <row r="42" spans="1:10" ht="20.100000000000001" customHeight="1">
      <c r="D42" s="110"/>
      <c r="J42" s="5"/>
    </row>
    <row r="43" spans="1:10" ht="20.100000000000001" customHeight="1">
      <c r="D43" s="110"/>
      <c r="J43" s="5"/>
    </row>
    <row r="44" spans="1:10" ht="20.100000000000001" customHeight="1">
      <c r="D44" s="110"/>
      <c r="J44" s="5"/>
    </row>
    <row r="45" spans="1:10" ht="20.100000000000001" customHeight="1">
      <c r="D45" s="110"/>
      <c r="J45" s="5"/>
    </row>
    <row r="46" spans="1:10" ht="20.100000000000001" customHeight="1">
      <c r="D46" s="110"/>
      <c r="J46" s="5"/>
    </row>
    <row r="47" spans="1:10" ht="20.100000000000001" customHeight="1">
      <c r="D47" s="110"/>
      <c r="J47" s="5"/>
    </row>
    <row r="48" spans="1:10" ht="20.100000000000001" customHeight="1">
      <c r="D48" s="110"/>
      <c r="J48" s="5"/>
    </row>
    <row r="49" spans="4:10" ht="20.100000000000001" customHeight="1">
      <c r="D49" s="110"/>
      <c r="J49" s="5"/>
    </row>
    <row r="50" spans="4:10" ht="20.100000000000001" customHeight="1">
      <c r="D50" s="110"/>
      <c r="J50" s="5"/>
    </row>
    <row r="51" spans="4:10" ht="20.100000000000001" customHeight="1">
      <c r="D51" s="110"/>
      <c r="J51" s="5"/>
    </row>
    <row r="52" spans="4:10" ht="20.100000000000001" customHeight="1">
      <c r="D52" s="110"/>
      <c r="J52" s="5"/>
    </row>
    <row r="53" spans="4:10" ht="20.100000000000001" customHeight="1">
      <c r="D53" s="110"/>
      <c r="J53" s="5"/>
    </row>
    <row r="54" spans="4:10" ht="20.100000000000001" customHeight="1">
      <c r="D54" s="110"/>
      <c r="J54" s="5"/>
    </row>
    <row r="55" spans="4:10" ht="20.100000000000001" customHeight="1">
      <c r="D55" s="110"/>
      <c r="J55" s="5"/>
    </row>
  </sheetData>
  <mergeCells count="1">
    <mergeCell ref="A13:B13"/>
  </mergeCells>
  <phoneticPr fontId="78" type="noConversion"/>
  <hyperlinks>
    <hyperlink ref="C1" location="目录!A1" display="BACK"/>
  </hyperlinks>
  <pageMargins left="1.02291666666667" right="0.51180555555555596" top="0.98402777777777795" bottom="0.98402777777777795" header="0.51180555555555596" footer="0.51180555555555596"/>
  <pageSetup paperSize="9" orientation="portrait" blackAndWhite="1" r:id="rId1"/>
  <headerFooter alignWithMargins="0"/>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9"/>
  <dimension ref="A1:E23"/>
  <sheetViews>
    <sheetView view="pageBreakPreview" zoomScaleNormal="100" zoomScaleSheetLayoutView="100" workbookViewId="0">
      <selection activeCell="C1" sqref="C1"/>
    </sheetView>
  </sheetViews>
  <sheetFormatPr defaultColWidth="9" defaultRowHeight="20.100000000000001" customHeight="1"/>
  <cols>
    <col min="1" max="1" width="36.3984375" style="99" customWidth="1"/>
    <col min="2" max="2" width="38.19921875" style="99" customWidth="1"/>
    <col min="3" max="3" width="10" style="99" customWidth="1"/>
    <col min="4" max="4" width="19.59765625" style="99" customWidth="1"/>
    <col min="5" max="5" width="9.59765625" style="103" customWidth="1"/>
    <col min="6" max="16384" width="9" style="99"/>
  </cols>
  <sheetData>
    <row r="1" spans="1:5" ht="24.9" customHeight="1">
      <c r="A1" s="48" t="s">
        <v>145</v>
      </c>
      <c r="B1" s="49">
        <f>基础信息!B6</f>
        <v>0</v>
      </c>
      <c r="C1" s="900" t="s">
        <v>146</v>
      </c>
      <c r="E1" s="107"/>
    </row>
    <row r="2" spans="1:5" ht="24.9" customHeight="1">
      <c r="A2" s="48" t="s">
        <v>147</v>
      </c>
      <c r="B2" s="49">
        <f>基础信息!B9</f>
        <v>0</v>
      </c>
    </row>
    <row r="3" spans="1:5" ht="24.9" customHeight="1">
      <c r="A3" s="58" t="s">
        <v>148</v>
      </c>
      <c r="B3" s="58" t="s">
        <v>1823</v>
      </c>
      <c r="D3" s="98"/>
    </row>
    <row r="4" spans="1:5" s="98" customFormat="1" ht="24.9" customHeight="1">
      <c r="A4" s="101" t="s">
        <v>1823</v>
      </c>
      <c r="B4" s="102">
        <f>'RP 004 '!C8</f>
        <v>0</v>
      </c>
      <c r="D4" s="103"/>
    </row>
    <row r="5" spans="1:5" ht="24.9" customHeight="1">
      <c r="A5" s="91" t="s">
        <v>305</v>
      </c>
      <c r="B5" s="91" t="s">
        <v>1734</v>
      </c>
      <c r="C5" s="103"/>
      <c r="D5" s="98"/>
      <c r="E5" s="98"/>
    </row>
    <row r="6" spans="1:5" ht="19.5" hidden="1" customHeight="1">
      <c r="C6" s="103"/>
      <c r="D6" s="98"/>
      <c r="E6" s="98"/>
    </row>
    <row r="7" spans="1:5" s="21" customFormat="1" ht="20.100000000000001" customHeight="1">
      <c r="B7" s="108"/>
      <c r="C7" s="94"/>
      <c r="D7" s="96"/>
      <c r="E7" s="96"/>
    </row>
    <row r="8" spans="1:5" s="21" customFormat="1" ht="20.100000000000001" customHeight="1">
      <c r="B8" s="108"/>
      <c r="C8" s="94"/>
      <c r="D8" s="96"/>
      <c r="E8" s="96"/>
    </row>
    <row r="9" spans="1:5" s="21" customFormat="1" ht="20.100000000000001" customHeight="1">
      <c r="B9" s="108"/>
      <c r="C9" s="94"/>
      <c r="D9" s="96"/>
      <c r="E9" s="96"/>
    </row>
    <row r="10" spans="1:5" s="21" customFormat="1" ht="20.100000000000001" customHeight="1">
      <c r="B10" s="108"/>
      <c r="C10" s="94"/>
      <c r="D10" s="96"/>
      <c r="E10" s="96"/>
    </row>
    <row r="11" spans="1:5" s="21" customFormat="1" ht="20.100000000000001" customHeight="1">
      <c r="B11" s="108"/>
      <c r="C11" s="94"/>
      <c r="D11" s="96"/>
      <c r="E11" s="96"/>
    </row>
    <row r="12" spans="1:5" s="21" customFormat="1" ht="20.100000000000001" customHeight="1">
      <c r="B12" s="108"/>
      <c r="C12" s="94"/>
      <c r="D12" s="96"/>
      <c r="E12" s="96"/>
    </row>
    <row r="13" spans="1:5" s="21" customFormat="1" ht="20.100000000000001" customHeight="1">
      <c r="B13" s="108"/>
      <c r="C13" s="94"/>
      <c r="D13" s="96"/>
      <c r="E13" s="96"/>
    </row>
    <row r="14" spans="1:5" s="21" customFormat="1" ht="20.100000000000001" customHeight="1">
      <c r="B14" s="108"/>
      <c r="C14" s="94"/>
      <c r="D14" s="96"/>
      <c r="E14" s="96"/>
    </row>
    <row r="15" spans="1:5" s="21" customFormat="1" ht="20.100000000000001" customHeight="1">
      <c r="B15" s="108"/>
      <c r="C15" s="94"/>
      <c r="D15" s="96"/>
      <c r="E15" s="96"/>
    </row>
    <row r="16" spans="1:5" s="21" customFormat="1" ht="20.100000000000001" customHeight="1">
      <c r="B16" s="108"/>
      <c r="C16" s="94"/>
      <c r="D16" s="96"/>
      <c r="E16" s="96"/>
    </row>
    <row r="17" spans="1:5" s="21" customFormat="1" ht="20.100000000000001" customHeight="1">
      <c r="B17" s="108"/>
      <c r="C17" s="94"/>
      <c r="D17" s="96"/>
      <c r="E17" s="96"/>
    </row>
    <row r="18" spans="1:5" s="21" customFormat="1" ht="20.100000000000001" customHeight="1">
      <c r="B18" s="108"/>
      <c r="C18" s="94"/>
      <c r="D18" s="96"/>
      <c r="E18" s="96"/>
    </row>
    <row r="19" spans="1:5" s="21" customFormat="1" ht="20.100000000000001" customHeight="1">
      <c r="B19" s="108"/>
      <c r="C19" s="94"/>
      <c r="D19" s="96"/>
      <c r="E19" s="96"/>
    </row>
    <row r="20" spans="1:5" s="21" customFormat="1" ht="20.100000000000001" customHeight="1">
      <c r="A20" s="21" t="s">
        <v>142</v>
      </c>
      <c r="B20" s="95">
        <f>SUM(B6:B19)</f>
        <v>0</v>
      </c>
      <c r="C20" s="94"/>
      <c r="D20" s="96"/>
      <c r="E20" s="96"/>
    </row>
    <row r="21" spans="1:5" s="21" customFormat="1" ht="20.100000000000001" customHeight="1">
      <c r="B21" s="94" t="str">
        <f>IF(B20=B4,"OK","NO")</f>
        <v>OK</v>
      </c>
      <c r="C21" s="94"/>
      <c r="D21" s="96"/>
      <c r="E21" s="96"/>
    </row>
    <row r="22" spans="1:5" ht="20.100000000000001" customHeight="1">
      <c r="D22" s="103"/>
      <c r="E22" s="98"/>
    </row>
    <row r="23" spans="1:5" ht="20.100000000000001" customHeight="1">
      <c r="D23" s="103"/>
      <c r="E23" s="98"/>
    </row>
  </sheetData>
  <phoneticPr fontId="78" type="noConversion"/>
  <hyperlinks>
    <hyperlink ref="C1" location="目录!A1" display="BACK"/>
  </hyperlinks>
  <pageMargins left="0.90416666666666701" right="0.51180555555555596" top="0.98402777777777795" bottom="0.98402777777777795" header="0.51180555555555596" footer="0.51180555555555596"/>
  <pageSetup paperSize="9" orientation="portrait" blackAndWhite="1" r:id="rId1"/>
  <headerFooter alignWithMargins="0"/>
  <legacyDrawing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0"/>
  <dimension ref="A1:E22"/>
  <sheetViews>
    <sheetView view="pageBreakPreview" zoomScaleNormal="100" zoomScaleSheetLayoutView="100" workbookViewId="0">
      <selection activeCell="C1" sqref="C1"/>
    </sheetView>
  </sheetViews>
  <sheetFormatPr defaultColWidth="9" defaultRowHeight="20.100000000000001" customHeight="1"/>
  <cols>
    <col min="1" max="1" width="36.59765625" style="99" customWidth="1"/>
    <col min="2" max="2" width="38.59765625" style="99" customWidth="1"/>
    <col min="3" max="3" width="15.09765625" style="98" customWidth="1"/>
    <col min="4" max="4" width="17.8984375" style="98" customWidth="1"/>
    <col min="5" max="5" width="9" style="98"/>
    <col min="6" max="16384" width="9" style="99"/>
  </cols>
  <sheetData>
    <row r="1" spans="1:5" ht="24.9" customHeight="1">
      <c r="A1" s="48" t="s">
        <v>145</v>
      </c>
      <c r="B1" s="49">
        <f>基础信息!B6</f>
        <v>0</v>
      </c>
      <c r="C1" s="900" t="s">
        <v>146</v>
      </c>
      <c r="E1" s="107"/>
    </row>
    <row r="2" spans="1:5" ht="24.9" customHeight="1">
      <c r="A2" s="48" t="s">
        <v>147</v>
      </c>
      <c r="B2" s="49">
        <f>基础信息!B9</f>
        <v>0</v>
      </c>
    </row>
    <row r="3" spans="1:5" ht="24.9" customHeight="1">
      <c r="A3" s="58" t="s">
        <v>148</v>
      </c>
      <c r="B3" s="58" t="s">
        <v>1824</v>
      </c>
    </row>
    <row r="4" spans="1:5" s="98" customFormat="1" ht="24.9" customHeight="1">
      <c r="A4" s="101" t="s">
        <v>1824</v>
      </c>
      <c r="B4" s="102">
        <f>'RP 004 '!C13</f>
        <v>0</v>
      </c>
      <c r="D4" s="103"/>
    </row>
    <row r="5" spans="1:5" s="98" customFormat="1" ht="24.9" customHeight="1">
      <c r="A5" s="101" t="s">
        <v>1825</v>
      </c>
      <c r="B5" s="101"/>
      <c r="D5" s="103"/>
    </row>
    <row r="6" spans="1:5" ht="24.9" customHeight="1">
      <c r="A6" s="91" t="s">
        <v>305</v>
      </c>
      <c r="B6" s="91" t="s">
        <v>1734</v>
      </c>
      <c r="C6" s="103"/>
    </row>
    <row r="7" spans="1:5" ht="20.100000000000001" customHeight="1">
      <c r="C7" s="103"/>
    </row>
    <row r="8" spans="1:5" ht="20.100000000000001" customHeight="1">
      <c r="C8" s="103"/>
    </row>
    <row r="9" spans="1:5" ht="20.100000000000001" customHeight="1">
      <c r="C9" s="103"/>
    </row>
    <row r="10" spans="1:5" ht="20.100000000000001" customHeight="1">
      <c r="C10" s="103"/>
    </row>
    <row r="11" spans="1:5" ht="20.100000000000001" customHeight="1">
      <c r="C11" s="103"/>
    </row>
    <row r="12" spans="1:5" ht="20.100000000000001" customHeight="1">
      <c r="C12" s="103"/>
    </row>
    <row r="13" spans="1:5" ht="20.100000000000001" customHeight="1">
      <c r="C13" s="103"/>
    </row>
    <row r="14" spans="1:5" ht="20.100000000000001" customHeight="1">
      <c r="C14" s="103"/>
    </row>
    <row r="15" spans="1:5" ht="20.100000000000001" customHeight="1">
      <c r="C15" s="103"/>
    </row>
    <row r="16" spans="1:5" ht="20.100000000000001" customHeight="1">
      <c r="C16" s="103"/>
    </row>
    <row r="17" spans="1:3" ht="20.100000000000001" customHeight="1">
      <c r="C17" s="103"/>
    </row>
    <row r="18" spans="1:3" ht="20.100000000000001" customHeight="1">
      <c r="C18" s="103"/>
    </row>
    <row r="19" spans="1:3" ht="20.100000000000001" customHeight="1">
      <c r="C19" s="103"/>
    </row>
    <row r="20" spans="1:3" ht="20.100000000000001" customHeight="1">
      <c r="C20" s="103"/>
    </row>
    <row r="21" spans="1:3" ht="20.100000000000001" customHeight="1">
      <c r="A21" s="21" t="s">
        <v>142</v>
      </c>
      <c r="B21" s="95">
        <f>SUM(B7:B20)</f>
        <v>0</v>
      </c>
      <c r="C21" s="103"/>
    </row>
    <row r="22" spans="1:3" ht="20.100000000000001" customHeight="1">
      <c r="A22" s="21"/>
      <c r="B22" s="94" t="str">
        <f>IF(B21=B4,"OK","NO")</f>
        <v>OK</v>
      </c>
      <c r="C22" s="103"/>
    </row>
  </sheetData>
  <phoneticPr fontId="78" type="noConversion"/>
  <hyperlinks>
    <hyperlink ref="C1" location="目录!A1" display="BACK"/>
  </hyperlinks>
  <pageMargins left="0.59027777777777801" right="0.59027777777777801" top="0.98402777777777795" bottom="0.98402777777777795" header="0.51180555555555596" footer="0.51180555555555596"/>
  <pageSetup paperSize="9" orientation="portrait" blackAndWhite="1" r:id="rId1"/>
  <headerFooter alignWithMargins="0"/>
  <legacy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
  <dimension ref="A1:F32"/>
  <sheetViews>
    <sheetView view="pageBreakPreview" zoomScaleNormal="100" zoomScaleSheetLayoutView="100" workbookViewId="0">
      <selection activeCell="C1" sqref="C1"/>
    </sheetView>
  </sheetViews>
  <sheetFormatPr defaultColWidth="9" defaultRowHeight="20.100000000000001" customHeight="1"/>
  <cols>
    <col min="1" max="1" width="36.5" style="47" customWidth="1"/>
    <col min="2" max="2" width="39.3984375" style="47" customWidth="1"/>
    <col min="3" max="3" width="14.3984375" style="47" customWidth="1"/>
    <col min="4" max="4" width="18" style="47" customWidth="1"/>
    <col min="5" max="5" width="9" style="47"/>
    <col min="6" max="6" width="9" style="89"/>
    <col min="7" max="16384" width="9" style="47"/>
  </cols>
  <sheetData>
    <row r="1" spans="1:6" ht="24.9" customHeight="1">
      <c r="A1" s="48" t="s">
        <v>145</v>
      </c>
      <c r="B1" s="49">
        <f>基础信息!B6</f>
        <v>0</v>
      </c>
      <c r="C1" s="900" t="s">
        <v>146</v>
      </c>
      <c r="E1" s="90"/>
    </row>
    <row r="2" spans="1:6" ht="24.9" customHeight="1">
      <c r="A2" s="48" t="s">
        <v>147</v>
      </c>
      <c r="B2" s="49">
        <f>基础信息!B9</f>
        <v>0</v>
      </c>
    </row>
    <row r="3" spans="1:6" ht="24.9" customHeight="1">
      <c r="A3" s="58" t="s">
        <v>148</v>
      </c>
      <c r="B3" s="58" t="s">
        <v>1826</v>
      </c>
    </row>
    <row r="4" spans="1:6" s="89" customFormat="1" ht="24.9" customHeight="1">
      <c r="A4" s="101" t="s">
        <v>1826</v>
      </c>
      <c r="B4" s="102">
        <f>'RP 004 '!C21</f>
        <v>0</v>
      </c>
      <c r="D4" s="93"/>
    </row>
    <row r="5" spans="1:6" ht="24.9" customHeight="1">
      <c r="A5" s="91" t="s">
        <v>305</v>
      </c>
      <c r="B5" s="91" t="s">
        <v>1734</v>
      </c>
      <c r="C5" s="93"/>
      <c r="D5" s="89"/>
      <c r="F5" s="47"/>
    </row>
    <row r="6" spans="1:6" s="21" customFormat="1" ht="20.100000000000001" customHeight="1">
      <c r="C6" s="94"/>
      <c r="D6" s="96"/>
    </row>
    <row r="7" spans="1:6" s="21" customFormat="1" ht="20.100000000000001" customHeight="1">
      <c r="C7" s="94"/>
      <c r="D7" s="96"/>
    </row>
    <row r="8" spans="1:6" s="21" customFormat="1" ht="20.100000000000001" customHeight="1">
      <c r="C8" s="94"/>
      <c r="D8" s="96"/>
    </row>
    <row r="9" spans="1:6" s="21" customFormat="1" ht="20.100000000000001" customHeight="1">
      <c r="C9" s="94"/>
      <c r="D9" s="96"/>
    </row>
    <row r="10" spans="1:6" s="21" customFormat="1" ht="20.100000000000001" customHeight="1">
      <c r="C10" s="94"/>
      <c r="D10" s="96"/>
    </row>
    <row r="11" spans="1:6" s="21" customFormat="1" ht="20.100000000000001" customHeight="1">
      <c r="C11" s="94"/>
      <c r="D11" s="96"/>
    </row>
    <row r="12" spans="1:6" s="21" customFormat="1" ht="20.100000000000001" customHeight="1">
      <c r="C12" s="94"/>
      <c r="D12" s="96"/>
    </row>
    <row r="13" spans="1:6" s="21" customFormat="1" ht="20.100000000000001" customHeight="1">
      <c r="C13" s="94"/>
      <c r="D13" s="96"/>
    </row>
    <row r="14" spans="1:6" s="21" customFormat="1" ht="20.100000000000001" customHeight="1">
      <c r="C14" s="94"/>
      <c r="D14" s="96"/>
    </row>
    <row r="15" spans="1:6" s="21" customFormat="1" ht="20.100000000000001" customHeight="1">
      <c r="C15" s="94"/>
      <c r="D15" s="96"/>
    </row>
    <row r="16" spans="1:6" s="21" customFormat="1" ht="20.100000000000001" customHeight="1">
      <c r="C16" s="94"/>
      <c r="D16" s="96"/>
    </row>
    <row r="17" spans="1:6" s="21" customFormat="1" ht="20.100000000000001" customHeight="1">
      <c r="C17" s="94"/>
      <c r="D17" s="96"/>
    </row>
    <row r="18" spans="1:6" s="21" customFormat="1" ht="20.100000000000001" customHeight="1">
      <c r="C18" s="94"/>
      <c r="D18" s="96"/>
    </row>
    <row r="19" spans="1:6" s="21" customFormat="1" ht="20.100000000000001" customHeight="1">
      <c r="C19" s="94"/>
      <c r="D19" s="96"/>
    </row>
    <row r="20" spans="1:6" s="21" customFormat="1" ht="20.100000000000001" customHeight="1">
      <c r="A20" s="21" t="s">
        <v>142</v>
      </c>
      <c r="B20" s="95">
        <f>SUM(B6:B19)</f>
        <v>0</v>
      </c>
      <c r="C20" s="94"/>
      <c r="D20" s="96"/>
    </row>
    <row r="21" spans="1:6" s="21" customFormat="1" ht="20.100000000000001" customHeight="1">
      <c r="B21" s="94" t="str">
        <f>IF(B20=B4,"OK","NO")</f>
        <v>OK</v>
      </c>
      <c r="C21" s="105"/>
      <c r="D21" s="94"/>
      <c r="E21" s="96"/>
    </row>
    <row r="22" spans="1:6" ht="20.100000000000001" customHeight="1">
      <c r="D22" s="89"/>
      <c r="E22" s="89"/>
      <c r="F22" s="47"/>
    </row>
    <row r="23" spans="1:6" ht="20.100000000000001" customHeight="1">
      <c r="D23" s="89"/>
    </row>
    <row r="32" spans="1:6" ht="20.100000000000001" customHeight="1">
      <c r="F32" s="106"/>
    </row>
  </sheetData>
  <phoneticPr fontId="78" type="noConversion"/>
  <hyperlinks>
    <hyperlink ref="C1" location="目录!A1" display="BACK"/>
  </hyperlinks>
  <pageMargins left="0.55000000000000004" right="0.47152777777777799" top="0.98402777777777795" bottom="0.98402777777777795" header="0.51180555555555596" footer="0.51180555555555596"/>
  <pageSetup paperSize="9" orientation="portrait" blackAndWhite="1" r:id="rId1"/>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2"/>
  <dimension ref="A1:E23"/>
  <sheetViews>
    <sheetView view="pageBreakPreview" zoomScaleNormal="100" zoomScaleSheetLayoutView="100" workbookViewId="0">
      <selection activeCell="C1" sqref="C1"/>
    </sheetView>
  </sheetViews>
  <sheetFormatPr defaultColWidth="9" defaultRowHeight="20.100000000000001" customHeight="1"/>
  <cols>
    <col min="1" max="1" width="36.19921875" style="47" customWidth="1"/>
    <col min="2" max="2" width="38.09765625" style="47" customWidth="1"/>
    <col min="3" max="3" width="17.5" style="47" customWidth="1"/>
    <col min="4" max="4" width="16.69921875" style="47" customWidth="1"/>
    <col min="5" max="5" width="9" style="89"/>
    <col min="6" max="16384" width="9" style="47"/>
  </cols>
  <sheetData>
    <row r="1" spans="1:5" ht="24.9" customHeight="1">
      <c r="A1" s="48" t="s">
        <v>145</v>
      </c>
      <c r="B1" s="49">
        <f>基础信息!B6</f>
        <v>0</v>
      </c>
      <c r="C1" s="900" t="s">
        <v>146</v>
      </c>
      <c r="E1" s="104"/>
    </row>
    <row r="2" spans="1:5" ht="24.9" customHeight="1">
      <c r="A2" s="48" t="s">
        <v>147</v>
      </c>
      <c r="B2" s="49">
        <f>基础信息!B9</f>
        <v>0</v>
      </c>
    </row>
    <row r="3" spans="1:5" ht="24.9" customHeight="1">
      <c r="A3" s="58" t="s">
        <v>148</v>
      </c>
      <c r="B3" s="58" t="s">
        <v>1827</v>
      </c>
    </row>
    <row r="4" spans="1:5" s="89" customFormat="1" ht="24.9" customHeight="1">
      <c r="A4" s="101" t="s">
        <v>1827</v>
      </c>
      <c r="B4" s="102">
        <f>'RP 004 '!C26</f>
        <v>0</v>
      </c>
      <c r="D4" s="93"/>
    </row>
    <row r="5" spans="1:5" ht="24.9" customHeight="1">
      <c r="A5" s="91" t="s">
        <v>305</v>
      </c>
      <c r="B5" s="91" t="s">
        <v>1734</v>
      </c>
      <c r="C5" s="93"/>
      <c r="E5" s="47"/>
    </row>
    <row r="6" spans="1:5" s="21" customFormat="1" ht="20.100000000000001" customHeight="1">
      <c r="C6" s="94"/>
    </row>
    <row r="7" spans="1:5" s="21" customFormat="1" ht="20.100000000000001" customHeight="1">
      <c r="C7" s="94"/>
    </row>
    <row r="8" spans="1:5" s="21" customFormat="1" ht="20.100000000000001" customHeight="1">
      <c r="C8" s="94"/>
    </row>
    <row r="9" spans="1:5" s="21" customFormat="1" ht="20.100000000000001" customHeight="1">
      <c r="C9" s="94"/>
    </row>
    <row r="10" spans="1:5" s="21" customFormat="1" ht="20.100000000000001" customHeight="1">
      <c r="C10" s="94"/>
    </row>
    <row r="11" spans="1:5" s="21" customFormat="1" ht="20.100000000000001" customHeight="1">
      <c r="C11" s="94"/>
    </row>
    <row r="12" spans="1:5" s="21" customFormat="1" ht="20.100000000000001" customHeight="1">
      <c r="C12" s="94"/>
    </row>
    <row r="13" spans="1:5" s="21" customFormat="1" ht="20.100000000000001" customHeight="1">
      <c r="C13" s="94"/>
    </row>
    <row r="14" spans="1:5" s="21" customFormat="1" ht="20.100000000000001" customHeight="1">
      <c r="C14" s="94"/>
    </row>
    <row r="15" spans="1:5" s="21" customFormat="1" ht="20.100000000000001" customHeight="1">
      <c r="C15" s="94"/>
    </row>
    <row r="16" spans="1:5" s="21" customFormat="1" ht="20.100000000000001" customHeight="1">
      <c r="C16" s="94"/>
    </row>
    <row r="17" spans="1:5" s="21" customFormat="1" ht="20.100000000000001" customHeight="1">
      <c r="C17" s="94"/>
    </row>
    <row r="18" spans="1:5" s="21" customFormat="1" ht="20.100000000000001" customHeight="1">
      <c r="C18" s="94"/>
    </row>
    <row r="19" spans="1:5" s="21" customFormat="1" ht="20.100000000000001" customHeight="1">
      <c r="C19" s="94"/>
    </row>
    <row r="20" spans="1:5" s="21" customFormat="1" ht="20.100000000000001" customHeight="1">
      <c r="A20" s="21" t="s">
        <v>142</v>
      </c>
      <c r="B20" s="95">
        <f>SUM(B6:B19)</f>
        <v>0</v>
      </c>
    </row>
    <row r="21" spans="1:5" s="21" customFormat="1" ht="20.100000000000001" customHeight="1">
      <c r="B21" s="94" t="str">
        <f>IF(B20=B4,"OK","NO")</f>
        <v>OK</v>
      </c>
      <c r="C21" s="94"/>
    </row>
    <row r="22" spans="1:5" ht="20.100000000000001" customHeight="1">
      <c r="D22" s="89"/>
      <c r="E22" s="47"/>
    </row>
    <row r="23" spans="1:5" ht="20.100000000000001" customHeight="1">
      <c r="D23" s="89"/>
      <c r="E23" s="47"/>
    </row>
  </sheetData>
  <phoneticPr fontId="78" type="noConversion"/>
  <hyperlinks>
    <hyperlink ref="C1" location="目录!A1" display="BACK"/>
  </hyperlinks>
  <pageMargins left="0.51180555555555596" right="0.47152777777777799" top="0.98402777777777795" bottom="0.98402777777777795" header="0.51180555555555596" footer="0.51180555555555596"/>
  <pageSetup paperSize="9" orientation="portrait" blackAndWhite="1" r:id="rId1"/>
  <headerFooter alignWithMargins="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3"/>
  <dimension ref="A1:E21"/>
  <sheetViews>
    <sheetView view="pageBreakPreview" zoomScaleNormal="100" zoomScaleSheetLayoutView="100" workbookViewId="0">
      <selection activeCell="C1" sqref="C1"/>
    </sheetView>
  </sheetViews>
  <sheetFormatPr defaultColWidth="9" defaultRowHeight="20.100000000000001" customHeight="1"/>
  <cols>
    <col min="1" max="1" width="35.3984375" style="99" customWidth="1"/>
    <col min="2" max="2" width="37.59765625" style="99" customWidth="1"/>
    <col min="3" max="3" width="10.8984375" style="99" customWidth="1"/>
    <col min="4" max="4" width="16.09765625" style="98" customWidth="1"/>
    <col min="5" max="5" width="11.8984375" style="99" customWidth="1"/>
    <col min="6" max="16384" width="9" style="99"/>
  </cols>
  <sheetData>
    <row r="1" spans="1:5" ht="24.9" customHeight="1">
      <c r="A1" s="48" t="s">
        <v>145</v>
      </c>
      <c r="B1" s="49">
        <f>基础信息!B6</f>
        <v>0</v>
      </c>
      <c r="C1" s="900" t="s">
        <v>146</v>
      </c>
      <c r="E1" s="100"/>
    </row>
    <row r="2" spans="1:5" ht="24.9" customHeight="1">
      <c r="A2" s="48" t="s">
        <v>147</v>
      </c>
      <c r="B2" s="49">
        <f>基础信息!B9</f>
        <v>0</v>
      </c>
    </row>
    <row r="3" spans="1:5" ht="24.9" customHeight="1">
      <c r="A3" s="58" t="s">
        <v>148</v>
      </c>
      <c r="B3" s="58" t="s">
        <v>1828</v>
      </c>
    </row>
    <row r="4" spans="1:5" s="98" customFormat="1" ht="24.9" customHeight="1">
      <c r="A4" s="101" t="s">
        <v>1828</v>
      </c>
      <c r="B4" s="102">
        <f>'RP 004 '!C33</f>
        <v>0</v>
      </c>
    </row>
    <row r="5" spans="1:5" ht="24.9" customHeight="1">
      <c r="A5" s="91" t="s">
        <v>305</v>
      </c>
      <c r="B5" s="91" t="s">
        <v>1734</v>
      </c>
      <c r="C5" s="103"/>
      <c r="D5" s="99"/>
    </row>
    <row r="6" spans="1:5" s="21" customFormat="1" ht="20.100000000000001" customHeight="1">
      <c r="C6" s="94"/>
    </row>
    <row r="7" spans="1:5" s="21" customFormat="1" ht="20.100000000000001" customHeight="1">
      <c r="C7" s="94"/>
    </row>
    <row r="8" spans="1:5" s="21" customFormat="1" ht="20.100000000000001" customHeight="1">
      <c r="C8" s="94"/>
    </row>
    <row r="9" spans="1:5" s="21" customFormat="1" ht="20.100000000000001" customHeight="1">
      <c r="C9" s="94"/>
    </row>
    <row r="10" spans="1:5" s="21" customFormat="1" ht="20.100000000000001" customHeight="1">
      <c r="C10" s="94"/>
    </row>
    <row r="11" spans="1:5" s="21" customFormat="1" ht="20.100000000000001" customHeight="1">
      <c r="C11" s="94"/>
    </row>
    <row r="12" spans="1:5" s="21" customFormat="1" ht="20.100000000000001" customHeight="1">
      <c r="C12" s="94"/>
    </row>
    <row r="13" spans="1:5" s="21" customFormat="1" ht="20.100000000000001" customHeight="1">
      <c r="C13" s="94"/>
    </row>
    <row r="14" spans="1:5" s="21" customFormat="1" ht="20.100000000000001" customHeight="1">
      <c r="C14" s="94"/>
    </row>
    <row r="15" spans="1:5" s="21" customFormat="1" ht="20.100000000000001" customHeight="1">
      <c r="C15" s="94"/>
    </row>
    <row r="16" spans="1:5" s="21" customFormat="1" ht="20.100000000000001" customHeight="1">
      <c r="C16" s="94"/>
    </row>
    <row r="17" spans="1:3" s="21" customFormat="1" ht="20.100000000000001" customHeight="1">
      <c r="C17" s="94"/>
    </row>
    <row r="18" spans="1:3" s="21" customFormat="1" ht="20.100000000000001" customHeight="1">
      <c r="C18" s="94"/>
    </row>
    <row r="19" spans="1:3" s="21" customFormat="1" ht="20.100000000000001" customHeight="1">
      <c r="C19" s="94"/>
    </row>
    <row r="20" spans="1:3" s="21" customFormat="1" ht="20.100000000000001" customHeight="1">
      <c r="A20" s="21" t="s">
        <v>142</v>
      </c>
      <c r="B20" s="95">
        <f>SUM(B6:B19)</f>
        <v>0</v>
      </c>
    </row>
    <row r="21" spans="1:3" s="21" customFormat="1" ht="20.100000000000001" customHeight="1">
      <c r="A21" s="94"/>
      <c r="B21" s="94" t="str">
        <f>IF(B20=B4,"OK","NO")</f>
        <v>OK</v>
      </c>
      <c r="C21" s="94"/>
    </row>
  </sheetData>
  <phoneticPr fontId="78" type="noConversion"/>
  <hyperlinks>
    <hyperlink ref="C1" location="目录!A1" display="BACK"/>
  </hyperlinks>
  <pageMargins left="0.59027777777777801" right="0.47152777777777799" top="0.98402777777777795" bottom="0.98402777777777795" header="0.51180555555555596" footer="0.51180555555555596"/>
  <pageSetup paperSize="9" orientation="portrait" blackAndWhite="1" r:id="rId1"/>
  <headerFooter alignWithMargins="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4"/>
  <dimension ref="A1:E22"/>
  <sheetViews>
    <sheetView view="pageBreakPreview" zoomScale="90" zoomScaleNormal="100" zoomScaleSheetLayoutView="90" workbookViewId="0">
      <selection activeCell="C1" sqref="C1"/>
    </sheetView>
  </sheetViews>
  <sheetFormatPr defaultColWidth="9" defaultRowHeight="20.100000000000001" customHeight="1"/>
  <cols>
    <col min="1" max="1" width="34.5" style="47" customWidth="1"/>
    <col min="2" max="2" width="35.59765625" style="47" customWidth="1"/>
    <col min="3" max="3" width="13.09765625" style="47" customWidth="1"/>
    <col min="4" max="4" width="15.69921875" style="89" customWidth="1"/>
    <col min="5" max="16384" width="9" style="47"/>
  </cols>
  <sheetData>
    <row r="1" spans="1:5" ht="20.100000000000001" customHeight="1">
      <c r="A1" s="48" t="s">
        <v>145</v>
      </c>
      <c r="B1" s="49">
        <f>基础信息!B6</f>
        <v>0</v>
      </c>
      <c r="C1" s="900" t="s">
        <v>146</v>
      </c>
      <c r="E1" s="90"/>
    </row>
    <row r="2" spans="1:5" ht="20.100000000000001" customHeight="1">
      <c r="A2" s="48" t="s">
        <v>147</v>
      </c>
      <c r="B2" s="49">
        <f>基础信息!B9</f>
        <v>0</v>
      </c>
    </row>
    <row r="3" spans="1:5" ht="20.100000000000001" customHeight="1">
      <c r="A3" s="58" t="s">
        <v>148</v>
      </c>
      <c r="B3" s="58" t="s">
        <v>1829</v>
      </c>
    </row>
    <row r="4" spans="1:5" ht="19.5" customHeight="1">
      <c r="A4" s="91" t="s">
        <v>1829</v>
      </c>
      <c r="B4" s="92">
        <f>'RP 004 '!C38</f>
        <v>0</v>
      </c>
      <c r="D4" s="93"/>
    </row>
    <row r="5" spans="1:5" ht="0.75" customHeight="1">
      <c r="A5" s="91" t="s">
        <v>305</v>
      </c>
      <c r="B5" s="91" t="s">
        <v>1734</v>
      </c>
      <c r="D5" s="93"/>
    </row>
    <row r="6" spans="1:5" s="21" customFormat="1" ht="20.100000000000001" customHeight="1">
      <c r="D6" s="94"/>
    </row>
    <row r="7" spans="1:5" s="21" customFormat="1" ht="20.100000000000001" customHeight="1">
      <c r="D7" s="94"/>
    </row>
    <row r="8" spans="1:5" s="21" customFormat="1" ht="20.100000000000001" customHeight="1">
      <c r="D8" s="94"/>
    </row>
    <row r="9" spans="1:5" s="21" customFormat="1" ht="20.100000000000001" customHeight="1">
      <c r="D9" s="94"/>
    </row>
    <row r="10" spans="1:5" s="21" customFormat="1" ht="20.100000000000001" customHeight="1">
      <c r="D10" s="94"/>
    </row>
    <row r="11" spans="1:5" s="21" customFormat="1" ht="20.100000000000001" customHeight="1">
      <c r="D11" s="94"/>
    </row>
    <row r="12" spans="1:5" s="21" customFormat="1" ht="20.100000000000001" customHeight="1">
      <c r="D12" s="94"/>
    </row>
    <row r="13" spans="1:5" s="21" customFormat="1" ht="20.100000000000001" customHeight="1">
      <c r="D13" s="94"/>
    </row>
    <row r="14" spans="1:5" s="21" customFormat="1" ht="20.100000000000001" customHeight="1">
      <c r="D14" s="94"/>
    </row>
    <row r="15" spans="1:5" s="21" customFormat="1" ht="20.100000000000001" customHeight="1">
      <c r="D15" s="94"/>
    </row>
    <row r="16" spans="1:5" s="21" customFormat="1" ht="20.100000000000001" customHeight="1">
      <c r="D16" s="94"/>
    </row>
    <row r="17" spans="1:4" s="21" customFormat="1" ht="20.100000000000001" customHeight="1">
      <c r="D17" s="94"/>
    </row>
    <row r="18" spans="1:4" s="21" customFormat="1" ht="20.100000000000001" customHeight="1">
      <c r="D18" s="94"/>
    </row>
    <row r="19" spans="1:4" s="21" customFormat="1" ht="20.100000000000001" customHeight="1">
      <c r="D19" s="94"/>
    </row>
    <row r="20" spans="1:4" s="21" customFormat="1" ht="20.100000000000001" customHeight="1">
      <c r="A20" s="21" t="s">
        <v>142</v>
      </c>
      <c r="B20" s="95">
        <f>SUM(B6:B19)</f>
        <v>0</v>
      </c>
      <c r="D20" s="96"/>
    </row>
    <row r="21" spans="1:4" s="21" customFormat="1" ht="20.100000000000001" customHeight="1">
      <c r="A21" s="97"/>
      <c r="B21" s="94" t="str">
        <f>IF(B20=B4,"OK","NO")</f>
        <v>OK</v>
      </c>
      <c r="D21" s="94"/>
    </row>
    <row r="22" spans="1:4" ht="20.100000000000001" customHeight="1">
      <c r="D22" s="93"/>
    </row>
  </sheetData>
  <phoneticPr fontId="78" type="noConversion"/>
  <hyperlinks>
    <hyperlink ref="C1" location="目录!A1" display="BACK"/>
  </hyperlinks>
  <pageMargins left="0.51180555555555596" right="0.59027777777777801" top="0.98402777777777795" bottom="0.98402777777777795" header="0.51180555555555596" footer="0.51180555555555596"/>
  <pageSetup paperSize="9" orientation="portrait" blackAndWhite="1" r:id="rId1"/>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5"/>
  <dimension ref="A1:C83"/>
  <sheetViews>
    <sheetView view="pageBreakPreview" zoomScaleNormal="110" zoomScaleSheetLayoutView="100" workbookViewId="0">
      <selection activeCell="C1" sqref="C1"/>
    </sheetView>
  </sheetViews>
  <sheetFormatPr defaultColWidth="16.3984375" defaultRowHeight="20.100000000000001" customHeight="1"/>
  <cols>
    <col min="1" max="1" width="46.3984375" style="67" customWidth="1"/>
    <col min="2" max="2" width="24" style="67" customWidth="1"/>
    <col min="3" max="3" width="21" style="67" customWidth="1"/>
    <col min="4" max="16384" width="16.3984375" style="67"/>
  </cols>
  <sheetData>
    <row r="1" spans="1:3" ht="24.9" customHeight="1">
      <c r="A1" s="6" t="s">
        <v>145</v>
      </c>
      <c r="B1" s="7">
        <f>基础信息!B6</f>
        <v>0</v>
      </c>
      <c r="C1" s="900" t="s">
        <v>146</v>
      </c>
    </row>
    <row r="2" spans="1:3" ht="24.9" customHeight="1">
      <c r="A2" s="6" t="s">
        <v>147</v>
      </c>
      <c r="B2" s="7">
        <f>基础信息!B9</f>
        <v>0</v>
      </c>
    </row>
    <row r="3" spans="1:3" ht="24.9" customHeight="1">
      <c r="A3" s="68" t="s">
        <v>148</v>
      </c>
      <c r="B3" s="61" t="s">
        <v>1830</v>
      </c>
    </row>
    <row r="4" spans="1:3" s="66" customFormat="1" ht="24.9" customHeight="1">
      <c r="A4" s="69" t="s">
        <v>137</v>
      </c>
      <c r="B4" s="70" t="s">
        <v>395</v>
      </c>
    </row>
    <row r="5" spans="1:3" s="66" customFormat="1" ht="20.100000000000001" customHeight="1">
      <c r="A5" s="71" t="s">
        <v>1831</v>
      </c>
      <c r="B5" s="72"/>
    </row>
    <row r="6" spans="1:3" s="66" customFormat="1" ht="20.100000000000001" customHeight="1">
      <c r="A6" s="71" t="s">
        <v>1065</v>
      </c>
      <c r="B6" s="72"/>
    </row>
    <row r="7" spans="1:3" s="66" customFormat="1" ht="20.100000000000001" customHeight="1">
      <c r="A7" s="71" t="s">
        <v>1832</v>
      </c>
      <c r="B7" s="72"/>
    </row>
    <row r="8" spans="1:3" s="66" customFormat="1" ht="20.100000000000001" customHeight="1">
      <c r="A8" s="71" t="s">
        <v>1833</v>
      </c>
      <c r="B8" s="72"/>
    </row>
    <row r="9" spans="1:3" s="66" customFormat="1" ht="20.100000000000001" customHeight="1">
      <c r="A9" s="71" t="s">
        <v>1834</v>
      </c>
      <c r="B9" s="72"/>
    </row>
    <row r="10" spans="1:3" s="66" customFormat="1" ht="20.100000000000001" customHeight="1">
      <c r="A10" s="71" t="s">
        <v>1835</v>
      </c>
      <c r="B10" s="72"/>
    </row>
    <row r="11" spans="1:3" s="66" customFormat="1" ht="27" customHeight="1">
      <c r="A11" s="71" t="s">
        <v>1836</v>
      </c>
      <c r="B11" s="72"/>
    </row>
    <row r="12" spans="1:3" s="66" customFormat="1" ht="20.100000000000001" customHeight="1">
      <c r="A12" s="71" t="s">
        <v>1837</v>
      </c>
      <c r="B12" s="72"/>
    </row>
    <row r="13" spans="1:3" s="66" customFormat="1" ht="20.100000000000001" customHeight="1">
      <c r="A13" s="71" t="s">
        <v>1838</v>
      </c>
      <c r="B13" s="72"/>
    </row>
    <row r="14" spans="1:3" s="66" customFormat="1" ht="20.100000000000001" customHeight="1">
      <c r="A14" s="71" t="s">
        <v>1839</v>
      </c>
      <c r="B14" s="72"/>
    </row>
    <row r="15" spans="1:3" s="66" customFormat="1" ht="20.100000000000001" customHeight="1">
      <c r="A15" s="71" t="s">
        <v>1840</v>
      </c>
      <c r="B15" s="72"/>
    </row>
    <row r="16" spans="1:3" s="66" customFormat="1" ht="20.100000000000001" customHeight="1">
      <c r="A16" s="71" t="s">
        <v>1841</v>
      </c>
      <c r="B16" s="72"/>
    </row>
    <row r="17" spans="1:2" s="66" customFormat="1" ht="20.100000000000001" customHeight="1">
      <c r="A17" s="71" t="s">
        <v>1842</v>
      </c>
      <c r="B17" s="72"/>
    </row>
    <row r="18" spans="1:2" s="66" customFormat="1" ht="20.100000000000001" customHeight="1">
      <c r="A18" s="71" t="s">
        <v>1843</v>
      </c>
      <c r="B18" s="72"/>
    </row>
    <row r="19" spans="1:2" s="66" customFormat="1" ht="20.100000000000001" customHeight="1">
      <c r="A19" s="71" t="s">
        <v>1844</v>
      </c>
      <c r="B19" s="72"/>
    </row>
    <row r="20" spans="1:2" s="66" customFormat="1" ht="20.100000000000001" customHeight="1">
      <c r="A20" s="71" t="s">
        <v>1845</v>
      </c>
      <c r="B20" s="72"/>
    </row>
    <row r="21" spans="1:2" s="66" customFormat="1" ht="20.100000000000001" customHeight="1">
      <c r="A21" s="71" t="s">
        <v>430</v>
      </c>
      <c r="B21" s="72"/>
    </row>
    <row r="22" spans="1:2" s="66" customFormat="1" ht="20.100000000000001" customHeight="1">
      <c r="A22" s="71" t="s">
        <v>1846</v>
      </c>
      <c r="B22" s="73">
        <f>SUM(B6:B21)</f>
        <v>0</v>
      </c>
    </row>
    <row r="23" spans="1:2" s="66" customFormat="1" ht="20.100000000000001" customHeight="1">
      <c r="A23" s="71" t="s">
        <v>1847</v>
      </c>
      <c r="B23" s="72"/>
    </row>
    <row r="24" spans="1:2" s="66" customFormat="1" ht="20.100000000000001" customHeight="1">
      <c r="A24" s="74" t="s">
        <v>1848</v>
      </c>
      <c r="B24" s="72"/>
    </row>
    <row r="25" spans="1:2" s="66" customFormat="1" ht="20.100000000000001" customHeight="1">
      <c r="A25" s="74" t="s">
        <v>1849</v>
      </c>
      <c r="B25" s="72"/>
    </row>
    <row r="26" spans="1:2" s="66" customFormat="1" ht="20.100000000000001" customHeight="1">
      <c r="A26" s="74" t="s">
        <v>1850</v>
      </c>
      <c r="B26" s="72"/>
    </row>
    <row r="27" spans="1:2" s="66" customFormat="1" ht="20.100000000000001" customHeight="1">
      <c r="A27" s="74" t="s">
        <v>1851</v>
      </c>
      <c r="B27" s="72"/>
    </row>
    <row r="28" spans="1:2" s="66" customFormat="1" ht="20.100000000000001" customHeight="1">
      <c r="A28" s="74" t="s">
        <v>1852</v>
      </c>
      <c r="B28" s="72"/>
    </row>
    <row r="29" spans="1:2" s="66" customFormat="1" ht="20.100000000000001" customHeight="1">
      <c r="A29" s="74" t="s">
        <v>1853</v>
      </c>
      <c r="B29" s="72"/>
    </row>
    <row r="30" spans="1:2" s="66" customFormat="1" ht="20.100000000000001" customHeight="1">
      <c r="A30" s="71" t="s">
        <v>1854</v>
      </c>
      <c r="B30" s="72"/>
    </row>
    <row r="31" spans="1:2" s="66" customFormat="1" ht="20.100000000000001" customHeight="1">
      <c r="A31" s="71" t="s">
        <v>1855</v>
      </c>
      <c r="B31" s="72"/>
    </row>
    <row r="32" spans="1:2" s="66" customFormat="1" ht="20.100000000000001" customHeight="1">
      <c r="A32" s="74" t="s">
        <v>1856</v>
      </c>
      <c r="B32" s="73">
        <f>B28-B29+B30-B31</f>
        <v>0</v>
      </c>
    </row>
    <row r="33" spans="1:2" s="66" customFormat="1" ht="20.100000000000001" customHeight="1">
      <c r="A33" s="75"/>
    </row>
    <row r="34" spans="1:2" s="66" customFormat="1" ht="20.100000000000001" customHeight="1">
      <c r="A34" s="76" t="s">
        <v>1857</v>
      </c>
    </row>
    <row r="35" spans="1:2" s="66" customFormat="1" ht="20.100000000000001" customHeight="1">
      <c r="A35" s="77" t="s">
        <v>1858</v>
      </c>
      <c r="B35" s="77" t="s">
        <v>1859</v>
      </c>
    </row>
    <row r="36" spans="1:2" s="66" customFormat="1" ht="20.100000000000001" customHeight="1">
      <c r="A36" s="71" t="s">
        <v>1860</v>
      </c>
      <c r="B36" s="78">
        <f>SUM(B37:B39)</f>
        <v>0</v>
      </c>
    </row>
    <row r="37" spans="1:2" s="66" customFormat="1" ht="20.100000000000001" customHeight="1">
      <c r="A37" s="71" t="s">
        <v>1861</v>
      </c>
      <c r="B37" s="79"/>
    </row>
    <row r="38" spans="1:2" s="66" customFormat="1" ht="20.100000000000001" customHeight="1">
      <c r="A38" s="71" t="s">
        <v>1862</v>
      </c>
      <c r="B38" s="79"/>
    </row>
    <row r="39" spans="1:2" s="66" customFormat="1" ht="20.100000000000001" customHeight="1">
      <c r="A39" s="71"/>
      <c r="B39" s="79"/>
    </row>
    <row r="40" spans="1:2" s="66" customFormat="1" ht="20.100000000000001" customHeight="1">
      <c r="A40" s="71" t="s">
        <v>1863</v>
      </c>
      <c r="B40" s="78">
        <f>SUM(B41:B43)</f>
        <v>0</v>
      </c>
    </row>
    <row r="41" spans="1:2" s="66" customFormat="1" ht="20.100000000000001" customHeight="1">
      <c r="A41" s="71" t="s">
        <v>1861</v>
      </c>
      <c r="B41" s="79"/>
    </row>
    <row r="42" spans="1:2" s="66" customFormat="1" ht="20.100000000000001" customHeight="1">
      <c r="A42" s="71" t="s">
        <v>1862</v>
      </c>
      <c r="B42" s="79"/>
    </row>
    <row r="43" spans="1:2" s="66" customFormat="1" ht="20.100000000000001" customHeight="1">
      <c r="A43" s="71"/>
      <c r="B43" s="79"/>
    </row>
    <row r="44" spans="1:2" s="66" customFormat="1" ht="20.100000000000001" customHeight="1">
      <c r="A44" s="71" t="s">
        <v>1864</v>
      </c>
      <c r="B44" s="78">
        <f>SUM(B45:B47)</f>
        <v>0</v>
      </c>
    </row>
    <row r="45" spans="1:2" s="66" customFormat="1" ht="20.100000000000001" customHeight="1">
      <c r="A45" s="71" t="s">
        <v>1861</v>
      </c>
      <c r="B45" s="79"/>
    </row>
    <row r="46" spans="1:2" s="66" customFormat="1" ht="20.100000000000001" customHeight="1">
      <c r="A46" s="71" t="s">
        <v>1862</v>
      </c>
      <c r="B46" s="79"/>
    </row>
    <row r="47" spans="1:2" s="66" customFormat="1" ht="20.100000000000001" customHeight="1">
      <c r="A47" s="71"/>
      <c r="B47" s="79"/>
    </row>
    <row r="48" spans="1:2" s="66" customFormat="1" ht="20.100000000000001" customHeight="1">
      <c r="A48" s="71" t="s">
        <v>1865</v>
      </c>
      <c r="B48" s="78">
        <f>B36-B40+B44</f>
        <v>0</v>
      </c>
    </row>
    <row r="49" spans="1:2" s="66" customFormat="1" ht="20.100000000000001" customHeight="1">
      <c r="A49" s="76"/>
    </row>
    <row r="50" spans="1:2" s="66" customFormat="1" ht="20.100000000000001" customHeight="1">
      <c r="A50" s="80" t="s">
        <v>651</v>
      </c>
    </row>
    <row r="51" spans="1:2" s="66" customFormat="1" ht="20.100000000000001" customHeight="1">
      <c r="A51" s="80" t="s">
        <v>1866</v>
      </c>
    </row>
    <row r="52" spans="1:2" s="66" customFormat="1" ht="20.100000000000001" customHeight="1">
      <c r="A52" s="81" t="s">
        <v>877</v>
      </c>
      <c r="B52" s="82" t="s">
        <v>1859</v>
      </c>
    </row>
    <row r="53" spans="1:2" s="66" customFormat="1" ht="20.100000000000001" customHeight="1">
      <c r="A53" s="83" t="s">
        <v>1867</v>
      </c>
      <c r="B53" s="84">
        <f>SUM(B54:B57)</f>
        <v>0</v>
      </c>
    </row>
    <row r="54" spans="1:2" s="66" customFormat="1" ht="20.100000000000001" customHeight="1">
      <c r="A54" s="83" t="s">
        <v>1868</v>
      </c>
      <c r="B54" s="85"/>
    </row>
    <row r="55" spans="1:2" s="66" customFormat="1" ht="20.100000000000001" customHeight="1">
      <c r="A55" s="83" t="s">
        <v>1869</v>
      </c>
      <c r="B55" s="85"/>
    </row>
    <row r="56" spans="1:2" s="66" customFormat="1" ht="20.100000000000001" customHeight="1">
      <c r="A56" s="83"/>
      <c r="B56" s="85"/>
    </row>
    <row r="57" spans="1:2" s="66" customFormat="1" ht="20.100000000000001" customHeight="1">
      <c r="A57" s="83"/>
      <c r="B57" s="85"/>
    </row>
    <row r="58" spans="1:2" s="66" customFormat="1" ht="20.100000000000001" customHeight="1">
      <c r="A58" s="83" t="s">
        <v>1870</v>
      </c>
      <c r="B58" s="84">
        <f>SUM(B59:B61)</f>
        <v>0</v>
      </c>
    </row>
    <row r="59" spans="1:2" s="66" customFormat="1" ht="20.100000000000001" customHeight="1">
      <c r="A59" s="83" t="s">
        <v>1868</v>
      </c>
      <c r="B59" s="85"/>
    </row>
    <row r="60" spans="1:2" s="66" customFormat="1" ht="20.100000000000001" customHeight="1">
      <c r="A60" s="83" t="s">
        <v>1869</v>
      </c>
      <c r="B60" s="85"/>
    </row>
    <row r="61" spans="1:2" s="66" customFormat="1" ht="20.100000000000001" customHeight="1">
      <c r="A61" s="83"/>
      <c r="B61" s="85"/>
    </row>
    <row r="62" spans="1:2" s="66" customFormat="1" ht="20.100000000000001" customHeight="1">
      <c r="A62" s="83" t="s">
        <v>1871</v>
      </c>
      <c r="B62" s="84">
        <f>SUM(B63:B66)</f>
        <v>0</v>
      </c>
    </row>
    <row r="63" spans="1:2" s="66" customFormat="1" ht="20.100000000000001" customHeight="1">
      <c r="A63" s="83" t="s">
        <v>1868</v>
      </c>
      <c r="B63" s="85"/>
    </row>
    <row r="64" spans="1:2" s="66" customFormat="1" ht="20.100000000000001" customHeight="1">
      <c r="A64" s="83" t="s">
        <v>1869</v>
      </c>
      <c r="B64" s="85"/>
    </row>
    <row r="65" spans="1:2" s="66" customFormat="1" ht="20.100000000000001" customHeight="1">
      <c r="A65" s="83"/>
      <c r="B65" s="86"/>
    </row>
    <row r="66" spans="1:2" s="66" customFormat="1" ht="20.100000000000001" customHeight="1">
      <c r="A66" s="83"/>
      <c r="B66" s="86"/>
    </row>
    <row r="67" spans="1:2" s="66" customFormat="1" ht="20.100000000000001" customHeight="1">
      <c r="A67" s="83" t="s">
        <v>1872</v>
      </c>
      <c r="B67" s="84">
        <f>B53-B58+B62</f>
        <v>0</v>
      </c>
    </row>
    <row r="68" spans="1:2" s="66" customFormat="1" ht="20.100000000000001" customHeight="1">
      <c r="A68" s="76"/>
    </row>
    <row r="69" spans="1:2" s="66" customFormat="1" ht="20.100000000000001" customHeight="1">
      <c r="A69" s="80" t="s">
        <v>651</v>
      </c>
    </row>
    <row r="70" spans="1:2" s="66" customFormat="1" ht="20.100000000000001" customHeight="1">
      <c r="A70" s="80" t="s">
        <v>1873</v>
      </c>
    </row>
    <row r="71" spans="1:2" s="66" customFormat="1" ht="20.100000000000001" customHeight="1">
      <c r="A71" s="81" t="s">
        <v>877</v>
      </c>
      <c r="B71" s="82" t="s">
        <v>1874</v>
      </c>
    </row>
    <row r="72" spans="1:2" s="66" customFormat="1" ht="20.100000000000001" customHeight="1">
      <c r="A72" s="87" t="s">
        <v>1875</v>
      </c>
      <c r="B72" s="88"/>
    </row>
    <row r="73" spans="1:2" s="66" customFormat="1" ht="20.100000000000001" customHeight="1">
      <c r="A73" s="87" t="s">
        <v>1876</v>
      </c>
      <c r="B73" s="88"/>
    </row>
    <row r="74" spans="1:2" s="66" customFormat="1" ht="20.100000000000001" customHeight="1">
      <c r="A74" s="87" t="s">
        <v>1877</v>
      </c>
      <c r="B74" s="88"/>
    </row>
    <row r="75" spans="1:2" s="66" customFormat="1" ht="20.100000000000001" customHeight="1">
      <c r="A75" s="87" t="s">
        <v>1878</v>
      </c>
      <c r="B75" s="88"/>
    </row>
    <row r="76" spans="1:2" s="66" customFormat="1" ht="20.100000000000001" customHeight="1">
      <c r="A76" s="87" t="s">
        <v>1879</v>
      </c>
      <c r="B76" s="88"/>
    </row>
    <row r="77" spans="1:2" s="66" customFormat="1" ht="20.100000000000001" customHeight="1">
      <c r="A77" s="87" t="s">
        <v>1880</v>
      </c>
      <c r="B77" s="88"/>
    </row>
    <row r="78" spans="1:2" s="66" customFormat="1" ht="20.100000000000001" customHeight="1">
      <c r="A78" s="87" t="s">
        <v>1881</v>
      </c>
      <c r="B78" s="88"/>
    </row>
    <row r="79" spans="1:2" s="66" customFormat="1" ht="20.100000000000001" customHeight="1">
      <c r="A79" s="87" t="s">
        <v>1882</v>
      </c>
      <c r="B79" s="88"/>
    </row>
    <row r="80" spans="1:2" s="66" customFormat="1" ht="20.100000000000001" customHeight="1">
      <c r="A80" s="87" t="s">
        <v>1883</v>
      </c>
      <c r="B80" s="88"/>
    </row>
    <row r="81" spans="1:2" s="66" customFormat="1" ht="20.100000000000001" customHeight="1">
      <c r="A81" s="87" t="s">
        <v>1884</v>
      </c>
      <c r="B81" s="88"/>
    </row>
    <row r="82" spans="1:2" s="66" customFormat="1" ht="20.100000000000001" customHeight="1">
      <c r="A82" s="1132" t="s">
        <v>1885</v>
      </c>
      <c r="B82" s="1132"/>
    </row>
    <row r="83" spans="1:2" s="66" customFormat="1" ht="20.100000000000001" customHeight="1">
      <c r="A83" s="1132" t="s">
        <v>1886</v>
      </c>
      <c r="B83" s="1132"/>
    </row>
  </sheetData>
  <mergeCells count="2">
    <mergeCell ref="A82:B82"/>
    <mergeCell ref="A83:B83"/>
  </mergeCells>
  <phoneticPr fontId="78" type="noConversion"/>
  <hyperlinks>
    <hyperlink ref="C1" location="目录!A1" display="BACK"/>
  </hyperlinks>
  <printOptions horizontalCentered="1"/>
  <pageMargins left="0.47152777777777799" right="0.196527777777778" top="0.78680555555555598" bottom="0.59027777777777801" header="0.51180555555555596" footer="0.31388888888888899"/>
  <pageSetup paperSize="9" scale="99" orientation="portrait" blackAndWhite="1" horizontalDpi="360" r:id="rId1"/>
  <headerFooter alignWithMargins="0"/>
  <rowBreaks count="2" manualBreakCount="2">
    <brk id="32" max="5" man="1"/>
    <brk id="67" max="1" man="1"/>
  </row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6"/>
  <dimension ref="A1:J24"/>
  <sheetViews>
    <sheetView view="pageBreakPreview" zoomScaleNormal="100" zoomScaleSheetLayoutView="100" workbookViewId="0"/>
  </sheetViews>
  <sheetFormatPr defaultColWidth="9" defaultRowHeight="20.100000000000001" customHeight="1"/>
  <cols>
    <col min="1" max="9" width="10.59765625" style="18" customWidth="1"/>
    <col min="10" max="10" width="13.69921875" style="18" customWidth="1"/>
    <col min="11" max="11" width="16.19921875" style="18" customWidth="1"/>
    <col min="12" max="16384" width="9" style="18"/>
  </cols>
  <sheetData>
    <row r="1" spans="1:10" ht="24.9" customHeight="1">
      <c r="A1" s="6" t="s">
        <v>145</v>
      </c>
      <c r="B1" s="7">
        <f>基础信息!B6</f>
        <v>0</v>
      </c>
      <c r="C1" s="16"/>
      <c r="D1" s="16"/>
      <c r="E1" s="19"/>
      <c r="F1" s="16"/>
      <c r="G1" s="900" t="s">
        <v>146</v>
      </c>
      <c r="H1" s="16"/>
      <c r="I1" s="16"/>
      <c r="J1" s="16"/>
    </row>
    <row r="2" spans="1:10" ht="24.9" customHeight="1">
      <c r="A2" s="6" t="s">
        <v>147</v>
      </c>
      <c r="B2" s="7">
        <f>基础信息!B9</f>
        <v>0</v>
      </c>
      <c r="C2" s="16"/>
      <c r="D2" s="16"/>
      <c r="E2" s="16"/>
      <c r="F2" s="16"/>
      <c r="G2" s="16"/>
      <c r="H2" s="16"/>
      <c r="I2" s="16"/>
      <c r="J2" s="16"/>
    </row>
    <row r="3" spans="1:10" ht="24.9" customHeight="1">
      <c r="A3" s="61" t="s">
        <v>148</v>
      </c>
      <c r="B3" s="61" t="s">
        <v>1887</v>
      </c>
      <c r="C3" s="16"/>
      <c r="D3" s="16"/>
      <c r="E3" s="16"/>
      <c r="F3" s="16"/>
      <c r="G3" s="16"/>
      <c r="H3" s="16"/>
      <c r="I3" s="16"/>
      <c r="J3" s="16"/>
    </row>
    <row r="4" spans="1:10" s="1" customFormat="1" ht="24.9" customHeight="1">
      <c r="A4" s="62" t="s">
        <v>1888</v>
      </c>
      <c r="B4" s="9"/>
      <c r="C4" s="9"/>
      <c r="D4" s="9"/>
      <c r="E4" s="9"/>
      <c r="F4" s="9"/>
      <c r="G4" s="9"/>
      <c r="H4" s="9"/>
      <c r="I4" s="9"/>
      <c r="J4" s="9"/>
    </row>
    <row r="5" spans="1:10" s="1" customFormat="1" ht="24.9" customHeight="1">
      <c r="A5" s="9" t="s">
        <v>1889</v>
      </c>
      <c r="B5" s="9"/>
      <c r="C5" s="9"/>
      <c r="D5" s="9"/>
      <c r="E5" s="9"/>
      <c r="F5" s="9"/>
      <c r="G5" s="9"/>
      <c r="H5" s="9"/>
      <c r="I5" s="9"/>
      <c r="J5" s="9"/>
    </row>
    <row r="6" spans="1:10" s="60" customFormat="1" ht="34.5" customHeight="1">
      <c r="A6" s="17" t="s">
        <v>1890</v>
      </c>
      <c r="B6" s="17" t="s">
        <v>1011</v>
      </c>
      <c r="C6" s="17" t="s">
        <v>1891</v>
      </c>
      <c r="D6" s="17" t="s">
        <v>1892</v>
      </c>
      <c r="E6" s="17" t="s">
        <v>1893</v>
      </c>
      <c r="F6" s="17" t="s">
        <v>1894</v>
      </c>
      <c r="G6" s="17" t="s">
        <v>1895</v>
      </c>
      <c r="H6" s="17" t="s">
        <v>1896</v>
      </c>
      <c r="I6" s="17" t="s">
        <v>1897</v>
      </c>
      <c r="J6" s="65" t="s">
        <v>1898</v>
      </c>
    </row>
    <row r="7" spans="1:10" s="3" customFormat="1" ht="20.100000000000001" customHeight="1"/>
    <row r="8" spans="1:10" s="3" customFormat="1" ht="20.100000000000001" customHeight="1"/>
    <row r="9" spans="1:10" s="3" customFormat="1" ht="20.100000000000001" customHeight="1"/>
    <row r="10" spans="1:10" s="3" customFormat="1" ht="20.100000000000001" customHeight="1"/>
    <row r="11" spans="1:10" s="3" customFormat="1" ht="20.100000000000001" customHeight="1"/>
    <row r="12" spans="1:10" s="3" customFormat="1" ht="20.100000000000001" customHeight="1"/>
    <row r="13" spans="1:10" s="3" customFormat="1" ht="20.100000000000001" customHeight="1">
      <c r="B13" s="63">
        <f t="shared" ref="B13:G13" si="0">SUM(B7:B12)</f>
        <v>0</v>
      </c>
      <c r="C13" s="63">
        <f t="shared" si="0"/>
        <v>0</v>
      </c>
      <c r="D13" s="63">
        <f t="shared" si="0"/>
        <v>0</v>
      </c>
      <c r="E13" s="63">
        <f t="shared" si="0"/>
        <v>0</v>
      </c>
      <c r="F13" s="63">
        <f t="shared" si="0"/>
        <v>0</v>
      </c>
      <c r="G13" s="63">
        <f t="shared" si="0"/>
        <v>0</v>
      </c>
      <c r="J13" s="63">
        <f>SUM(J7:J12)</f>
        <v>0</v>
      </c>
    </row>
    <row r="14" spans="1:10" s="3" customFormat="1" ht="20.100000000000001" customHeight="1"/>
    <row r="15" spans="1:10" s="3" customFormat="1" ht="20.100000000000001" customHeight="1">
      <c r="A15" s="64" t="s">
        <v>1899</v>
      </c>
    </row>
    <row r="16" spans="1:10" s="3" customFormat="1" ht="20.100000000000001" customHeight="1"/>
    <row r="17" spans="1:10" s="3" customFormat="1" ht="20.100000000000001" customHeight="1"/>
    <row r="18" spans="1:10" s="3" customFormat="1" ht="42" customHeight="1">
      <c r="A18" s="1133" t="s">
        <v>1900</v>
      </c>
      <c r="B18" s="1133"/>
      <c r="C18" s="1133"/>
      <c r="D18" s="1133"/>
      <c r="E18" s="1133"/>
      <c r="F18" s="1133"/>
      <c r="G18" s="1133"/>
      <c r="H18" s="1133"/>
      <c r="I18" s="1133"/>
      <c r="J18" s="1133"/>
    </row>
    <row r="19" spans="1:10" s="3" customFormat="1" ht="20.100000000000001" customHeight="1">
      <c r="A19" s="22"/>
      <c r="B19" s="22"/>
      <c r="C19" s="22"/>
      <c r="D19" s="22"/>
      <c r="E19" s="22"/>
      <c r="F19" s="22"/>
      <c r="G19" s="22"/>
      <c r="H19" s="22"/>
      <c r="I19" s="22"/>
      <c r="J19" s="22"/>
    </row>
    <row r="20" spans="1:10" s="3" customFormat="1" ht="20.100000000000001" customHeight="1">
      <c r="A20" s="22"/>
      <c r="B20" s="22"/>
      <c r="C20" s="22"/>
      <c r="D20" s="22"/>
      <c r="E20" s="22"/>
      <c r="F20" s="22"/>
      <c r="G20" s="22"/>
      <c r="H20" s="22"/>
      <c r="I20" s="22"/>
      <c r="J20" s="22"/>
    </row>
    <row r="21" spans="1:10" s="3" customFormat="1" ht="20.100000000000001" customHeight="1">
      <c r="A21" s="22"/>
      <c r="B21" s="22"/>
      <c r="C21" s="22"/>
      <c r="D21" s="22"/>
      <c r="E21" s="22"/>
      <c r="F21" s="22"/>
      <c r="G21" s="22"/>
      <c r="H21" s="22"/>
      <c r="I21" s="22"/>
      <c r="J21" s="22"/>
    </row>
    <row r="22" spans="1:10" s="3" customFormat="1" ht="20.100000000000001" customHeight="1">
      <c r="A22" s="22"/>
      <c r="B22" s="22"/>
      <c r="C22" s="22"/>
      <c r="D22" s="22"/>
      <c r="E22" s="22"/>
      <c r="F22" s="22"/>
      <c r="G22" s="22"/>
      <c r="H22" s="22"/>
      <c r="I22" s="22"/>
      <c r="J22" s="22"/>
    </row>
    <row r="23" spans="1:10" s="3" customFormat="1" ht="20.100000000000001" customHeight="1">
      <c r="A23" s="1133" t="s">
        <v>1901</v>
      </c>
      <c r="B23" s="1133"/>
      <c r="C23" s="1133"/>
      <c r="D23" s="1133"/>
      <c r="E23" s="1133"/>
      <c r="F23" s="1133"/>
      <c r="G23" s="1133"/>
      <c r="H23" s="1133"/>
      <c r="I23" s="1133"/>
      <c r="J23" s="1133"/>
    </row>
    <row r="24" spans="1:10" s="3" customFormat="1" ht="20.100000000000001" customHeight="1"/>
  </sheetData>
  <mergeCells count="2">
    <mergeCell ref="A18:J18"/>
    <mergeCell ref="A23:J23"/>
  </mergeCells>
  <phoneticPr fontId="78" type="noConversion"/>
  <hyperlinks>
    <hyperlink ref="G1" location="目录!A1" display="BACK"/>
  </hyperlinks>
  <pageMargins left="0.74791666666666701" right="0.47152777777777799" top="0.98402777777777795" bottom="0.98402777777777795" header="0.51180555555555596" footer="0.51180555555555596"/>
  <pageSetup paperSize="9" scale="77" orientation="portrait" blackAndWhite="1" r:id="rId1"/>
  <headerFooter alignWithMargins="0"/>
  <rowBreaks count="1" manualBreakCount="1">
    <brk id="15" max="16383" man="1"/>
  </row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7"/>
  <dimension ref="A1:E11"/>
  <sheetViews>
    <sheetView view="pageBreakPreview" zoomScaleNormal="100" zoomScaleSheetLayoutView="100" workbookViewId="0">
      <selection activeCell="D1" sqref="D1"/>
    </sheetView>
  </sheetViews>
  <sheetFormatPr defaultColWidth="9" defaultRowHeight="20.100000000000001" customHeight="1"/>
  <cols>
    <col min="1" max="1" width="9.3984375" style="47" customWidth="1"/>
    <col min="2" max="3" width="30.59765625" style="47" customWidth="1"/>
    <col min="4" max="4" width="30.3984375" style="47" customWidth="1"/>
    <col min="5" max="5" width="24.59765625" style="47" customWidth="1"/>
    <col min="6" max="16384" width="9" style="47"/>
  </cols>
  <sheetData>
    <row r="1" spans="1:5" ht="24.9" customHeight="1">
      <c r="A1" s="48" t="s">
        <v>145</v>
      </c>
      <c r="B1" s="49">
        <f>基础信息!B6</f>
        <v>0</v>
      </c>
      <c r="C1" s="50"/>
      <c r="D1" s="900" t="s">
        <v>146</v>
      </c>
      <c r="E1" s="51"/>
    </row>
    <row r="2" spans="1:5" ht="24.9" customHeight="1">
      <c r="A2" s="48" t="s">
        <v>147</v>
      </c>
      <c r="B2" s="49">
        <f>基础信息!B9</f>
        <v>0</v>
      </c>
      <c r="C2" s="50"/>
      <c r="D2" s="16"/>
      <c r="E2" s="52"/>
    </row>
    <row r="3" spans="1:5" ht="24.9" customHeight="1">
      <c r="A3" s="58" t="s">
        <v>148</v>
      </c>
      <c r="B3" s="58" t="s">
        <v>1902</v>
      </c>
      <c r="C3" s="53"/>
      <c r="D3" s="54"/>
      <c r="E3" s="52"/>
    </row>
    <row r="4" spans="1:5" s="46" customFormat="1" ht="24.9" customHeight="1">
      <c r="A4" s="20" t="s">
        <v>1</v>
      </c>
      <c r="B4" s="20" t="s">
        <v>1903</v>
      </c>
      <c r="C4" s="1137" t="s">
        <v>1904</v>
      </c>
      <c r="D4" s="1137"/>
    </row>
    <row r="5" spans="1:5" s="21" customFormat="1" ht="20.100000000000001" customHeight="1">
      <c r="A5" s="21" t="s">
        <v>1905</v>
      </c>
      <c r="C5" s="1138"/>
      <c r="D5" s="1138"/>
    </row>
    <row r="6" spans="1:5" s="21" customFormat="1" ht="20.100000000000001" customHeight="1">
      <c r="A6" s="21" t="s">
        <v>1906</v>
      </c>
      <c r="C6" s="1138"/>
      <c r="D6" s="1138"/>
    </row>
    <row r="7" spans="1:5" s="21" customFormat="1" ht="20.100000000000001" customHeight="1">
      <c r="A7" s="21" t="s">
        <v>1907</v>
      </c>
      <c r="C7" s="1138"/>
      <c r="D7" s="1138"/>
    </row>
    <row r="8" spans="1:5" s="21" customFormat="1" ht="20.100000000000001" customHeight="1">
      <c r="C8" s="1138"/>
      <c r="D8" s="1138"/>
    </row>
    <row r="9" spans="1:5" s="21" customFormat="1" ht="20.100000000000001" customHeight="1"/>
    <row r="10" spans="1:5" s="21" customFormat="1" ht="20.100000000000001" customHeight="1"/>
    <row r="11" spans="1:5" s="21" customFormat="1" ht="43.5" customHeight="1">
      <c r="A11" s="1134" t="s">
        <v>1908</v>
      </c>
      <c r="B11" s="1135"/>
      <c r="C11" s="1135"/>
      <c r="D11" s="1136"/>
    </row>
  </sheetData>
  <mergeCells count="6">
    <mergeCell ref="A11:D11"/>
    <mergeCell ref="C4:D4"/>
    <mergeCell ref="C5:D5"/>
    <mergeCell ref="C6:D6"/>
    <mergeCell ref="C7:D7"/>
    <mergeCell ref="C8:D8"/>
  </mergeCells>
  <phoneticPr fontId="78" type="noConversion"/>
  <hyperlinks>
    <hyperlink ref="D1" location="目录!A1" display="BACK"/>
  </hyperlinks>
  <pageMargins left="0.90416666666666701" right="0.51180555555555596" top="0.98402777777777795" bottom="0.98402777777777795" header="0.51180555555555596" footer="0.51180555555555596"/>
  <pageSetup paperSize="9" orientation="landscape" blackAndWhite="1" r:id="rId1"/>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8"/>
  <dimension ref="A1:H9"/>
  <sheetViews>
    <sheetView view="pageBreakPreview" zoomScaleNormal="100" zoomScaleSheetLayoutView="100" workbookViewId="0">
      <selection activeCell="D1" sqref="D1"/>
    </sheetView>
  </sheetViews>
  <sheetFormatPr defaultColWidth="9" defaultRowHeight="20.100000000000001" customHeight="1"/>
  <cols>
    <col min="1" max="1" width="8.5" style="47" customWidth="1"/>
    <col min="2" max="4" width="30.59765625" style="47" customWidth="1"/>
    <col min="5" max="5" width="26.59765625" style="47" customWidth="1"/>
    <col min="6" max="6" width="6.8984375" style="47" customWidth="1"/>
    <col min="7" max="7" width="6.59765625" style="47" customWidth="1"/>
    <col min="8" max="8" width="6.09765625" style="47" customWidth="1"/>
    <col min="9" max="9" width="8.09765625" style="47" customWidth="1"/>
    <col min="10" max="16384" width="9" style="47"/>
  </cols>
  <sheetData>
    <row r="1" spans="1:8" ht="24.9" customHeight="1">
      <c r="A1" s="48" t="s">
        <v>145</v>
      </c>
      <c r="B1" s="49">
        <f>基础信息!B5</f>
        <v>0</v>
      </c>
      <c r="C1" s="50"/>
      <c r="D1" s="900" t="s">
        <v>146</v>
      </c>
      <c r="E1" s="51"/>
    </row>
    <row r="2" spans="1:8" ht="24.9" customHeight="1">
      <c r="A2" s="48" t="s">
        <v>147</v>
      </c>
      <c r="B2" s="57">
        <f>基础信息!B9</f>
        <v>0</v>
      </c>
      <c r="C2" s="50"/>
      <c r="D2" s="16"/>
      <c r="E2" s="52"/>
    </row>
    <row r="3" spans="1:8" ht="24.9" customHeight="1">
      <c r="A3" s="58" t="s">
        <v>148</v>
      </c>
      <c r="B3" s="58" t="s">
        <v>1909</v>
      </c>
      <c r="C3" s="53"/>
      <c r="D3" s="54"/>
      <c r="E3" s="52"/>
    </row>
    <row r="4" spans="1:8" s="46" customFormat="1" ht="24.9" customHeight="1">
      <c r="A4" s="20" t="s">
        <v>1</v>
      </c>
      <c r="B4" s="20" t="s">
        <v>1903</v>
      </c>
      <c r="C4" s="1137" t="s">
        <v>1904</v>
      </c>
      <c r="D4" s="1137"/>
    </row>
    <row r="5" spans="1:8" s="21" customFormat="1" ht="20.100000000000001" customHeight="1">
      <c r="A5" s="21" t="s">
        <v>1905</v>
      </c>
      <c r="C5" s="1138"/>
      <c r="D5" s="1138"/>
    </row>
    <row r="6" spans="1:8" s="21" customFormat="1" ht="20.100000000000001" customHeight="1">
      <c r="A6" s="21" t="s">
        <v>1906</v>
      </c>
      <c r="C6" s="1138"/>
      <c r="D6" s="1138"/>
    </row>
    <row r="7" spans="1:8" s="21" customFormat="1" ht="20.100000000000001" customHeight="1">
      <c r="A7" s="21" t="s">
        <v>1907</v>
      </c>
      <c r="C7" s="1138"/>
      <c r="D7" s="1138"/>
    </row>
    <row r="8" spans="1:8" s="21" customFormat="1" ht="20.100000000000001" customHeight="1">
      <c r="C8" s="1138"/>
      <c r="D8" s="1138"/>
    </row>
    <row r="9" spans="1:8" s="21" customFormat="1" ht="37.5" customHeight="1">
      <c r="A9" s="1134" t="s">
        <v>1910</v>
      </c>
      <c r="B9" s="1135"/>
      <c r="C9" s="1135"/>
      <c r="D9" s="1136"/>
      <c r="E9" s="59"/>
      <c r="F9" s="59"/>
      <c r="G9" s="59"/>
      <c r="H9" s="59"/>
    </row>
  </sheetData>
  <mergeCells count="6">
    <mergeCell ref="A9:D9"/>
    <mergeCell ref="C4:D4"/>
    <mergeCell ref="C5:D5"/>
    <mergeCell ref="C6:D6"/>
    <mergeCell ref="C7:D7"/>
    <mergeCell ref="C8:D8"/>
  </mergeCells>
  <phoneticPr fontId="78" type="noConversion"/>
  <hyperlinks>
    <hyperlink ref="D1" location="目录!A1" display="BACK"/>
  </hyperlinks>
  <pageMargins left="0.31388888888888899" right="0.31388888888888899" top="0.98402777777777795" bottom="0.98402777777777795" header="0.51180555555555596" footer="0.51180555555555596"/>
  <pageSetup paperSize="9" scale="93" orientation="landscape" blackAndWhite="1" r:id="rId1"/>
  <headerFooter alignWithMargins="0"/>
  <colBreaks count="1" manualBreakCount="1">
    <brk id="9" max="1048575" man="1"/>
  </col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9"/>
  <dimension ref="A1:E11"/>
  <sheetViews>
    <sheetView view="pageBreakPreview" zoomScaleNormal="100" zoomScaleSheetLayoutView="100" workbookViewId="0">
      <selection activeCell="D1" sqref="D1"/>
    </sheetView>
  </sheetViews>
  <sheetFormatPr defaultColWidth="9" defaultRowHeight="20.100000000000001" customHeight="1"/>
  <cols>
    <col min="1" max="1" width="21.59765625" style="47" customWidth="1"/>
    <col min="2" max="4" width="30.59765625" style="47" customWidth="1"/>
    <col min="5" max="5" width="24.59765625" style="47" customWidth="1"/>
    <col min="6" max="16384" width="9" style="47"/>
  </cols>
  <sheetData>
    <row r="1" spans="1:5" ht="24.9" customHeight="1">
      <c r="A1" s="48" t="s">
        <v>145</v>
      </c>
      <c r="B1" s="49">
        <f>基础信息!B6</f>
        <v>0</v>
      </c>
      <c r="C1" s="50"/>
      <c r="D1" s="900" t="s">
        <v>146</v>
      </c>
      <c r="E1" s="51"/>
    </row>
    <row r="2" spans="1:5" ht="24.9" customHeight="1">
      <c r="A2" s="48" t="s">
        <v>147</v>
      </c>
      <c r="B2" s="49">
        <f>基础信息!B9</f>
        <v>0</v>
      </c>
      <c r="C2" s="50"/>
      <c r="D2" s="16"/>
      <c r="E2" s="52"/>
    </row>
    <row r="3" spans="1:5" ht="24.9" customHeight="1">
      <c r="A3" s="48" t="s">
        <v>148</v>
      </c>
      <c r="B3" s="48" t="s">
        <v>1911</v>
      </c>
      <c r="C3" s="53"/>
      <c r="D3" s="54"/>
      <c r="E3" s="52"/>
    </row>
    <row r="4" spans="1:5" s="46" customFormat="1" ht="24.9" customHeight="1">
      <c r="A4" s="55" t="s">
        <v>1777</v>
      </c>
      <c r="B4" s="20" t="s">
        <v>1912</v>
      </c>
      <c r="C4" s="20" t="s">
        <v>1904</v>
      </c>
      <c r="D4" s="20" t="s">
        <v>1913</v>
      </c>
    </row>
    <row r="5" spans="1:5" s="21" customFormat="1" ht="20.100000000000001" customHeight="1">
      <c r="A5" s="56" t="s">
        <v>1914</v>
      </c>
      <c r="C5" s="33"/>
      <c r="D5" s="33"/>
    </row>
    <row r="6" spans="1:5" s="21" customFormat="1" ht="20.100000000000001" customHeight="1">
      <c r="A6" s="56" t="s">
        <v>1915</v>
      </c>
      <c r="C6" s="33"/>
      <c r="D6" s="33"/>
    </row>
    <row r="7" spans="1:5" s="21" customFormat="1" ht="20.100000000000001" customHeight="1">
      <c r="A7" s="56" t="s">
        <v>1916</v>
      </c>
      <c r="C7" s="33"/>
      <c r="D7" s="33"/>
    </row>
    <row r="8" spans="1:5" s="21" customFormat="1" ht="20.100000000000001" customHeight="1">
      <c r="A8" s="56" t="s">
        <v>1917</v>
      </c>
      <c r="C8" s="33"/>
      <c r="D8" s="33"/>
    </row>
    <row r="9" spans="1:5" s="21" customFormat="1" ht="20.100000000000001" customHeight="1">
      <c r="A9" s="56" t="s">
        <v>1918</v>
      </c>
      <c r="C9" s="33"/>
      <c r="D9" s="33"/>
    </row>
    <row r="10" spans="1:5" s="21" customFormat="1" ht="20.100000000000001" customHeight="1">
      <c r="C10" s="33"/>
      <c r="D10" s="33"/>
    </row>
    <row r="11" spans="1:5" s="21" customFormat="1" ht="37.5" customHeight="1">
      <c r="A11" s="1139" t="s">
        <v>1919</v>
      </c>
      <c r="B11" s="1135"/>
      <c r="C11" s="1135"/>
      <c r="D11" s="1136"/>
    </row>
  </sheetData>
  <mergeCells count="1">
    <mergeCell ref="A11:D11"/>
  </mergeCells>
  <phoneticPr fontId="78" type="noConversion"/>
  <hyperlinks>
    <hyperlink ref="D1" location="目录!A1" display="BACK"/>
  </hyperlinks>
  <pageMargins left="0.74791666666666701" right="0.74791666666666701" top="0.98402777777777795" bottom="0.98402777777777795" header="0.51180555555555596" footer="0.51180555555555596"/>
  <pageSetup paperSize="9" orientation="landscape" blackAndWhite="1" r:id="rId1"/>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0"/>
  <dimension ref="A1:I168"/>
  <sheetViews>
    <sheetView view="pageBreakPreview" zoomScaleNormal="100" zoomScaleSheetLayoutView="100" workbookViewId="0">
      <selection activeCell="F14" sqref="F14"/>
    </sheetView>
  </sheetViews>
  <sheetFormatPr defaultColWidth="16.59765625" defaultRowHeight="20.100000000000001" customHeight="1"/>
  <cols>
    <col min="1" max="16384" width="16.59765625" style="18"/>
  </cols>
  <sheetData>
    <row r="1" spans="1:7" s="16" customFormat="1" ht="24.9" customHeight="1">
      <c r="A1" s="6" t="s">
        <v>145</v>
      </c>
      <c r="B1" s="7">
        <f>基础信息!B6</f>
        <v>0</v>
      </c>
      <c r="E1" s="19"/>
      <c r="F1" s="900" t="s">
        <v>146</v>
      </c>
    </row>
    <row r="2" spans="1:7" s="16" customFormat="1" ht="24.9" customHeight="1">
      <c r="A2" s="6" t="s">
        <v>147</v>
      </c>
      <c r="B2" s="7">
        <f>基础信息!B9</f>
        <v>0</v>
      </c>
    </row>
    <row r="3" spans="1:7" s="16" customFormat="1" ht="24.9" customHeight="1">
      <c r="A3" s="6" t="s">
        <v>148</v>
      </c>
      <c r="B3" s="6" t="s">
        <v>1920</v>
      </c>
    </row>
    <row r="4" spans="1:7" s="17" customFormat="1" ht="24.9" customHeight="1">
      <c r="A4" s="20" t="s">
        <v>1</v>
      </c>
      <c r="B4" s="20" t="s">
        <v>1921</v>
      </c>
      <c r="C4" s="1137" t="s">
        <v>1904</v>
      </c>
      <c r="D4" s="1137"/>
      <c r="E4" s="20"/>
      <c r="F4" s="20"/>
      <c r="G4" s="20"/>
    </row>
    <row r="5" spans="1:7" s="3" customFormat="1" ht="20.100000000000001" customHeight="1">
      <c r="A5" s="21" t="s">
        <v>1905</v>
      </c>
      <c r="B5" s="21"/>
      <c r="C5" s="1138"/>
      <c r="D5" s="1138"/>
      <c r="E5" s="21"/>
      <c r="F5" s="21"/>
      <c r="G5" s="21"/>
    </row>
    <row r="6" spans="1:7" s="3" customFormat="1" ht="20.100000000000001" customHeight="1">
      <c r="A6" s="21" t="s">
        <v>1906</v>
      </c>
      <c r="B6" s="21"/>
      <c r="C6" s="1138"/>
      <c r="D6" s="1138"/>
      <c r="E6" s="21"/>
      <c r="F6" s="21"/>
      <c r="G6" s="21"/>
    </row>
    <row r="7" spans="1:7" s="3" customFormat="1" ht="20.100000000000001" customHeight="1">
      <c r="A7" s="21" t="s">
        <v>1907</v>
      </c>
      <c r="B7" s="21"/>
      <c r="C7" s="1138"/>
      <c r="D7" s="1138"/>
      <c r="E7" s="21"/>
      <c r="F7" s="21"/>
      <c r="G7" s="21"/>
    </row>
    <row r="8" spans="1:7" s="3" customFormat="1" ht="20.100000000000001" customHeight="1"/>
    <row r="9" spans="1:7" s="3" customFormat="1" ht="55.5" customHeight="1">
      <c r="A9" s="1133" t="s">
        <v>1922</v>
      </c>
      <c r="B9" s="1133"/>
      <c r="C9" s="1133"/>
      <c r="D9" s="1133"/>
      <c r="E9" s="1133"/>
      <c r="F9" s="1133"/>
      <c r="G9" s="1132"/>
    </row>
    <row r="10" spans="1:7" s="3" customFormat="1" ht="20.100000000000001" customHeight="1"/>
    <row r="11" spans="1:7" s="3" customFormat="1" ht="20.100000000000001" customHeight="1">
      <c r="A11" s="1147" t="s">
        <v>1923</v>
      </c>
      <c r="B11" s="1147"/>
      <c r="C11" s="1147"/>
      <c r="D11" s="1147"/>
      <c r="E11" s="22"/>
      <c r="F11" s="22"/>
      <c r="G11" s="22"/>
    </row>
    <row r="12" spans="1:7" s="3" customFormat="1" ht="20.100000000000001" customHeight="1">
      <c r="A12" s="1147" t="s">
        <v>1924</v>
      </c>
      <c r="B12" s="1147"/>
      <c r="C12" s="1147"/>
      <c r="D12" s="1147"/>
      <c r="E12" s="22"/>
      <c r="F12" s="22"/>
      <c r="G12" s="22"/>
    </row>
    <row r="13" spans="1:7" s="3" customFormat="1" ht="60" customHeight="1">
      <c r="A13" s="1153" t="s">
        <v>1925</v>
      </c>
      <c r="B13" s="1153"/>
      <c r="C13" s="1153"/>
      <c r="D13" s="1153"/>
      <c r="E13" s="1153"/>
      <c r="F13" s="1153"/>
      <c r="G13" s="1153"/>
    </row>
    <row r="14" spans="1:7" s="3" customFormat="1" ht="20.100000000000001" customHeight="1">
      <c r="A14" s="23"/>
      <c r="B14" s="23"/>
      <c r="C14" s="23"/>
      <c r="D14" s="23"/>
    </row>
    <row r="15" spans="1:7" s="3" customFormat="1" ht="20.100000000000001" customHeight="1">
      <c r="A15" s="1133" t="s">
        <v>1926</v>
      </c>
      <c r="B15" s="1133"/>
      <c r="C15" s="1133"/>
      <c r="D15" s="1133"/>
      <c r="E15" s="1133"/>
      <c r="F15" s="1133"/>
      <c r="G15" s="1133"/>
    </row>
    <row r="16" spans="1:7" s="3" customFormat="1" ht="20.100000000000001" customHeight="1">
      <c r="A16" s="1059" t="s">
        <v>729</v>
      </c>
      <c r="B16" s="1059"/>
      <c r="C16" s="24" t="s">
        <v>1927</v>
      </c>
      <c r="D16" s="25" t="s">
        <v>1928</v>
      </c>
    </row>
    <row r="17" spans="1:4" s="3" customFormat="1" ht="20.100000000000001" customHeight="1">
      <c r="A17" s="1149" t="s">
        <v>1047</v>
      </c>
      <c r="B17" s="1149"/>
      <c r="C17" s="26"/>
      <c r="D17" s="26"/>
    </row>
    <row r="18" spans="1:4" s="3" customFormat="1" ht="20.100000000000001" customHeight="1">
      <c r="A18" s="1149" t="s">
        <v>1929</v>
      </c>
      <c r="B18" s="1149"/>
      <c r="C18" s="26"/>
      <c r="D18" s="26"/>
    </row>
    <row r="19" spans="1:4" s="3" customFormat="1" ht="20.100000000000001" customHeight="1">
      <c r="A19" s="1149" t="s">
        <v>188</v>
      </c>
      <c r="B19" s="1149"/>
      <c r="C19" s="26"/>
      <c r="D19" s="26"/>
    </row>
    <row r="20" spans="1:4" s="3" customFormat="1" ht="20.100000000000001" customHeight="1">
      <c r="A20" s="1149" t="s">
        <v>1930</v>
      </c>
      <c r="B20" s="1149"/>
      <c r="C20" s="26"/>
      <c r="D20" s="26"/>
    </row>
    <row r="21" spans="1:4" s="3" customFormat="1" ht="20.100000000000001" customHeight="1">
      <c r="A21" s="1149" t="s">
        <v>1931</v>
      </c>
      <c r="B21" s="1149"/>
      <c r="C21" s="26"/>
      <c r="D21" s="26"/>
    </row>
    <row r="22" spans="1:4" s="3" customFormat="1" ht="20.100000000000001" customHeight="1">
      <c r="A22" s="1149" t="s">
        <v>1932</v>
      </c>
      <c r="B22" s="1149"/>
      <c r="C22" s="26"/>
      <c r="D22" s="26"/>
    </row>
    <row r="23" spans="1:4" s="3" customFormat="1" ht="20.100000000000001" customHeight="1">
      <c r="A23" s="1149" t="s">
        <v>870</v>
      </c>
      <c r="B23" s="1149"/>
      <c r="C23" s="26"/>
      <c r="D23" s="26"/>
    </row>
    <row r="24" spans="1:4" s="3" customFormat="1" ht="20.100000000000001" customHeight="1">
      <c r="A24" s="1149" t="s">
        <v>1933</v>
      </c>
      <c r="B24" s="1149"/>
      <c r="C24" s="26"/>
      <c r="D24" s="26"/>
    </row>
    <row r="25" spans="1:4" s="3" customFormat="1" ht="20.100000000000001" customHeight="1">
      <c r="A25" s="1149" t="s">
        <v>1934</v>
      </c>
      <c r="B25" s="1149"/>
      <c r="C25" s="26"/>
      <c r="D25" s="26"/>
    </row>
    <row r="26" spans="1:4" s="3" customFormat="1" ht="20.100000000000001" customHeight="1">
      <c r="A26" s="1149" t="s">
        <v>1935</v>
      </c>
      <c r="B26" s="1149"/>
      <c r="C26" s="26"/>
      <c r="D26" s="21"/>
    </row>
    <row r="27" spans="1:4" s="3" customFormat="1" ht="20.100000000000001" customHeight="1">
      <c r="A27" s="27"/>
      <c r="B27" s="27"/>
      <c r="C27" s="27"/>
    </row>
    <row r="28" spans="1:4" s="1" customFormat="1" ht="20.100000000000001" customHeight="1">
      <c r="A28" s="28" t="s">
        <v>1936</v>
      </c>
      <c r="B28" s="29"/>
      <c r="C28" s="29"/>
      <c r="D28" s="29" t="s">
        <v>1937</v>
      </c>
    </row>
    <row r="29" spans="1:4" s="3" customFormat="1" ht="37.5" customHeight="1">
      <c r="A29" s="10" t="s">
        <v>729</v>
      </c>
      <c r="B29" s="1150" t="s">
        <v>1938</v>
      </c>
      <c r="C29" s="1150"/>
    </row>
    <row r="30" spans="1:4" s="3" customFormat="1" ht="20.100000000000001" customHeight="1">
      <c r="A30" s="26" t="s">
        <v>413</v>
      </c>
      <c r="B30" s="1151"/>
      <c r="C30" s="1151"/>
    </row>
    <row r="31" spans="1:4" s="3" customFormat="1" ht="20.100000000000001" customHeight="1">
      <c r="A31" s="26" t="s">
        <v>1065</v>
      </c>
      <c r="B31" s="1151"/>
      <c r="C31" s="1151"/>
    </row>
    <row r="32" spans="1:4" s="3" customFormat="1" ht="20.100000000000001" customHeight="1">
      <c r="A32" s="26" t="s">
        <v>1939</v>
      </c>
      <c r="B32" s="1151"/>
      <c r="C32" s="1151"/>
    </row>
    <row r="33" spans="1:7" s="3" customFormat="1" ht="20.100000000000001" customHeight="1">
      <c r="A33" s="27"/>
      <c r="B33" s="27"/>
    </row>
    <row r="34" spans="1:7" s="1" customFormat="1" ht="20.100000000000001" customHeight="1">
      <c r="A34" s="1132" t="s">
        <v>1940</v>
      </c>
      <c r="B34" s="1132"/>
      <c r="C34" s="1132"/>
      <c r="D34" s="1132"/>
    </row>
    <row r="35" spans="1:7" s="3" customFormat="1" ht="20.100000000000001" customHeight="1">
      <c r="A35" s="1059" t="s">
        <v>729</v>
      </c>
      <c r="B35" s="1059"/>
      <c r="C35" s="10" t="s">
        <v>747</v>
      </c>
    </row>
    <row r="36" spans="1:7" s="3" customFormat="1" ht="20.100000000000001" customHeight="1">
      <c r="A36" s="1149" t="s">
        <v>1941</v>
      </c>
      <c r="B36" s="1149"/>
      <c r="C36" s="26"/>
    </row>
    <row r="37" spans="1:7" s="3" customFormat="1" ht="20.100000000000001" customHeight="1">
      <c r="A37" s="1149" t="s">
        <v>1942</v>
      </c>
      <c r="B37" s="1149"/>
      <c r="C37" s="26"/>
    </row>
    <row r="38" spans="1:7" s="3" customFormat="1" ht="20.100000000000001" customHeight="1">
      <c r="A38" s="1149" t="s">
        <v>1943</v>
      </c>
      <c r="B38" s="1149"/>
      <c r="C38" s="26"/>
    </row>
    <row r="39" spans="1:7" s="3" customFormat="1" ht="20.100000000000001" customHeight="1">
      <c r="A39" s="1149" t="s">
        <v>1944</v>
      </c>
      <c r="B39" s="1149"/>
      <c r="C39" s="26"/>
    </row>
    <row r="40" spans="1:7" s="1" customFormat="1" ht="62.25" customHeight="1">
      <c r="A40" s="1132" t="s">
        <v>1945</v>
      </c>
      <c r="B40" s="1132"/>
      <c r="C40" s="1132"/>
      <c r="D40" s="1132"/>
      <c r="E40" s="1132"/>
      <c r="F40" s="1132"/>
      <c r="G40" s="1132"/>
    </row>
    <row r="41" spans="1:7" s="1" customFormat="1" ht="20.100000000000001" customHeight="1">
      <c r="A41" s="1132" t="s">
        <v>1946</v>
      </c>
      <c r="B41" s="1132"/>
      <c r="C41" s="1132"/>
      <c r="D41" s="1132"/>
      <c r="E41" s="1132"/>
      <c r="F41" s="1132"/>
      <c r="G41" s="1132"/>
    </row>
    <row r="42" spans="1:7" s="1" customFormat="1" ht="20.100000000000001" customHeight="1">
      <c r="A42" s="31"/>
      <c r="B42" s="31"/>
      <c r="C42" s="31"/>
      <c r="D42" s="31"/>
    </row>
    <row r="43" spans="1:7" s="3" customFormat="1" ht="20.100000000000001" customHeight="1">
      <c r="A43" s="1132" t="s">
        <v>1947</v>
      </c>
      <c r="B43" s="1132"/>
      <c r="C43" s="1132"/>
      <c r="D43" s="1132"/>
    </row>
    <row r="44" spans="1:7" s="1" customFormat="1" ht="45.75" customHeight="1">
      <c r="A44" s="1152" t="s">
        <v>1948</v>
      </c>
      <c r="B44" s="1152"/>
      <c r="C44" s="1152"/>
      <c r="D44" s="1152"/>
      <c r="E44" s="1152"/>
      <c r="F44" s="1152"/>
      <c r="G44" s="1152"/>
    </row>
    <row r="45" spans="1:7" s="1" customFormat="1" ht="20.100000000000001" customHeight="1">
      <c r="A45" s="1062"/>
      <c r="B45" s="1062"/>
      <c r="C45" s="1062"/>
      <c r="D45" s="1062"/>
    </row>
    <row r="46" spans="1:7" s="1" customFormat="1" ht="20.100000000000001" customHeight="1">
      <c r="A46" s="1132" t="s">
        <v>1949</v>
      </c>
      <c r="B46" s="1132"/>
      <c r="C46" s="1132"/>
      <c r="D46" s="1132"/>
      <c r="E46" s="1132"/>
    </row>
    <row r="47" spans="1:7" s="3" customFormat="1" ht="20.100000000000001" customHeight="1">
      <c r="A47" s="1059" t="s">
        <v>729</v>
      </c>
      <c r="B47" s="1059"/>
      <c r="C47" s="10" t="s">
        <v>1950</v>
      </c>
      <c r="D47" s="10" t="s">
        <v>1951</v>
      </c>
    </row>
    <row r="48" spans="1:7" s="3" customFormat="1" ht="20.100000000000001" customHeight="1">
      <c r="A48" s="1149" t="s">
        <v>1047</v>
      </c>
      <c r="B48" s="1149"/>
      <c r="C48" s="26"/>
      <c r="D48" s="26"/>
    </row>
    <row r="49" spans="1:7" s="3" customFormat="1" ht="20.100000000000001" customHeight="1">
      <c r="A49" s="1149" t="s">
        <v>1929</v>
      </c>
      <c r="B49" s="1149"/>
      <c r="C49" s="26"/>
      <c r="D49" s="26"/>
    </row>
    <row r="50" spans="1:7" s="3" customFormat="1" ht="20.100000000000001" customHeight="1">
      <c r="A50" s="1149" t="s">
        <v>188</v>
      </c>
      <c r="B50" s="1149"/>
      <c r="C50" s="26"/>
      <c r="D50" s="26"/>
    </row>
    <row r="51" spans="1:7" s="3" customFormat="1" ht="28.5" customHeight="1">
      <c r="A51" s="1149" t="s">
        <v>1930</v>
      </c>
      <c r="B51" s="1149"/>
      <c r="C51" s="26"/>
      <c r="D51" s="26"/>
    </row>
    <row r="52" spans="1:7" s="3" customFormat="1" ht="20.100000000000001" customHeight="1">
      <c r="A52" s="1149" t="s">
        <v>1931</v>
      </c>
      <c r="B52" s="1149"/>
      <c r="C52" s="26"/>
      <c r="D52" s="26"/>
    </row>
    <row r="53" spans="1:7" s="3" customFormat="1" ht="20.100000000000001" customHeight="1">
      <c r="A53" s="1149" t="s">
        <v>1932</v>
      </c>
      <c r="B53" s="1149"/>
      <c r="C53" s="26"/>
      <c r="D53" s="26"/>
    </row>
    <row r="54" spans="1:7" s="3" customFormat="1" ht="20.100000000000001" customHeight="1">
      <c r="A54" s="1149" t="s">
        <v>870</v>
      </c>
      <c r="B54" s="1149"/>
      <c r="C54" s="26"/>
      <c r="D54" s="26"/>
    </row>
    <row r="55" spans="1:7" s="3" customFormat="1" ht="20.100000000000001" customHeight="1">
      <c r="A55" s="1149" t="s">
        <v>1952</v>
      </c>
      <c r="B55" s="1149"/>
      <c r="C55" s="26"/>
      <c r="D55" s="26"/>
    </row>
    <row r="56" spans="1:7" s="3" customFormat="1" ht="51.75" customHeight="1">
      <c r="A56" s="1149" t="s">
        <v>1953</v>
      </c>
      <c r="B56" s="1149"/>
      <c r="C56" s="26"/>
      <c r="D56" s="26"/>
    </row>
    <row r="57" spans="1:7" s="3" customFormat="1" ht="20.100000000000001" customHeight="1">
      <c r="A57" s="1149" t="s">
        <v>1935</v>
      </c>
      <c r="B57" s="1149"/>
      <c r="C57" s="26"/>
      <c r="D57" s="21"/>
    </row>
    <row r="58" spans="1:7" s="3" customFormat="1" ht="20.100000000000001" customHeight="1">
      <c r="A58" s="27"/>
      <c r="B58" s="27"/>
      <c r="C58" s="27"/>
    </row>
    <row r="59" spans="1:7" s="1" customFormat="1" ht="20.100000000000001" customHeight="1">
      <c r="A59" s="1132" t="s">
        <v>1954</v>
      </c>
      <c r="B59" s="1132"/>
      <c r="C59" s="1132"/>
      <c r="D59" s="1132"/>
    </row>
    <row r="60" spans="1:7" s="3" customFormat="1" ht="20.100000000000001" customHeight="1">
      <c r="A60" s="10" t="s">
        <v>729</v>
      </c>
      <c r="B60" s="1150" t="s">
        <v>1955</v>
      </c>
      <c r="C60" s="1150"/>
    </row>
    <row r="61" spans="1:7" s="3" customFormat="1" ht="20.100000000000001" customHeight="1">
      <c r="A61" s="26" t="s">
        <v>413</v>
      </c>
      <c r="B61" s="1151"/>
      <c r="C61" s="1151"/>
    </row>
    <row r="62" spans="1:7" s="3" customFormat="1" ht="20.100000000000001" customHeight="1">
      <c r="A62" s="26" t="s">
        <v>1065</v>
      </c>
      <c r="B62" s="1151"/>
      <c r="C62" s="1151"/>
    </row>
    <row r="63" spans="1:7" s="3" customFormat="1" ht="20.100000000000001" customHeight="1">
      <c r="A63" s="26" t="s">
        <v>1939</v>
      </c>
      <c r="B63" s="1151"/>
      <c r="C63" s="1151"/>
    </row>
    <row r="64" spans="1:7" s="1" customFormat="1" ht="63" customHeight="1">
      <c r="A64" s="1132" t="s">
        <v>1956</v>
      </c>
      <c r="B64" s="1132"/>
      <c r="C64" s="1132"/>
      <c r="D64" s="1132"/>
      <c r="E64" s="1132"/>
      <c r="F64" s="1132"/>
      <c r="G64" s="1132"/>
    </row>
    <row r="65" spans="1:7" s="1" customFormat="1" ht="20.100000000000001" customHeight="1">
      <c r="A65" s="1132" t="s">
        <v>1946</v>
      </c>
      <c r="B65" s="1132"/>
      <c r="C65" s="1132"/>
      <c r="D65" s="1132"/>
      <c r="E65" s="1132"/>
      <c r="F65" s="1132"/>
      <c r="G65" s="1132"/>
    </row>
    <row r="66" spans="1:7" s="1" customFormat="1" ht="20.100000000000001" customHeight="1">
      <c r="A66" s="31"/>
      <c r="B66" s="31"/>
      <c r="C66" s="31"/>
      <c r="D66" s="31"/>
    </row>
    <row r="67" spans="1:7" s="1" customFormat="1" ht="20.100000000000001" customHeight="1">
      <c r="A67" s="1132" t="s">
        <v>1957</v>
      </c>
      <c r="B67" s="1132"/>
      <c r="C67" s="1132"/>
      <c r="D67" s="1132"/>
    </row>
    <row r="68" spans="1:7" s="3" customFormat="1" ht="20.100000000000001" customHeight="1">
      <c r="A68" s="1059" t="s">
        <v>729</v>
      </c>
      <c r="B68" s="1059"/>
      <c r="C68" s="10" t="s">
        <v>747</v>
      </c>
    </row>
    <row r="69" spans="1:7" s="3" customFormat="1" ht="20.100000000000001" customHeight="1">
      <c r="A69" s="1149" t="s">
        <v>1941</v>
      </c>
      <c r="B69" s="1149"/>
      <c r="C69" s="21"/>
    </row>
    <row r="70" spans="1:7" s="3" customFormat="1" ht="20.100000000000001" customHeight="1">
      <c r="A70" s="1149" t="s">
        <v>1942</v>
      </c>
      <c r="B70" s="1149"/>
      <c r="C70" s="21"/>
    </row>
    <row r="71" spans="1:7" s="3" customFormat="1" ht="20.100000000000001" customHeight="1">
      <c r="A71" s="1149" t="s">
        <v>1943</v>
      </c>
      <c r="B71" s="1149"/>
      <c r="C71" s="21"/>
    </row>
    <row r="72" spans="1:7" s="3" customFormat="1" ht="20.100000000000001" customHeight="1">
      <c r="A72" s="1149" t="s">
        <v>1944</v>
      </c>
      <c r="B72" s="1149"/>
      <c r="C72" s="21"/>
    </row>
    <row r="73" spans="1:7" s="3" customFormat="1" ht="20.100000000000001" customHeight="1">
      <c r="A73" s="27"/>
      <c r="B73" s="27"/>
    </row>
    <row r="74" spans="1:7" s="3" customFormat="1" ht="20.100000000000001" customHeight="1">
      <c r="A74" s="3" t="s">
        <v>1958</v>
      </c>
    </row>
    <row r="75" spans="1:7" s="3" customFormat="1" ht="20.100000000000001" customHeight="1">
      <c r="A75" s="1147" t="s">
        <v>1959</v>
      </c>
      <c r="B75" s="1147"/>
      <c r="C75" s="1147"/>
      <c r="D75" s="1147"/>
    </row>
    <row r="76" spans="1:7" s="3" customFormat="1" ht="33.75" customHeight="1">
      <c r="A76" s="10" t="s">
        <v>751</v>
      </c>
      <c r="B76" s="10" t="s">
        <v>1029</v>
      </c>
      <c r="C76" s="10" t="s">
        <v>1030</v>
      </c>
      <c r="D76" s="10" t="s">
        <v>1960</v>
      </c>
      <c r="E76" s="10" t="s">
        <v>1961</v>
      </c>
      <c r="F76" s="10" t="s">
        <v>1962</v>
      </c>
      <c r="G76" s="10" t="s">
        <v>1963</v>
      </c>
    </row>
    <row r="77" spans="1:7" s="3" customFormat="1" ht="20.100000000000001" customHeight="1">
      <c r="A77" s="26"/>
      <c r="B77" s="26"/>
      <c r="C77" s="26"/>
      <c r="D77" s="26"/>
      <c r="E77" s="26"/>
      <c r="F77" s="26"/>
      <c r="G77" s="30" t="s">
        <v>1964</v>
      </c>
    </row>
    <row r="78" spans="1:7" s="3" customFormat="1" ht="20.100000000000001" customHeight="1">
      <c r="A78" s="26"/>
      <c r="B78" s="26"/>
      <c r="C78" s="26"/>
      <c r="D78" s="26"/>
      <c r="E78" s="26"/>
      <c r="F78" s="26"/>
      <c r="G78" s="26"/>
    </row>
    <row r="79" spans="1:7" s="3" customFormat="1" ht="20.100000000000001" customHeight="1">
      <c r="A79" s="26"/>
      <c r="B79" s="26"/>
      <c r="C79" s="26"/>
      <c r="D79" s="26"/>
      <c r="E79" s="26"/>
      <c r="F79" s="26"/>
      <c r="G79" s="26"/>
    </row>
    <row r="80" spans="1:7" s="3" customFormat="1" ht="20.100000000000001" customHeight="1">
      <c r="A80" s="26"/>
      <c r="B80" s="26"/>
      <c r="C80" s="26"/>
      <c r="D80" s="26"/>
      <c r="E80" s="26"/>
      <c r="F80" s="26"/>
      <c r="G80" s="26"/>
    </row>
    <row r="81" spans="1:7" s="3" customFormat="1" ht="49.5" customHeight="1">
      <c r="A81" s="1132" t="s">
        <v>1965</v>
      </c>
      <c r="B81" s="1132"/>
      <c r="C81" s="1132"/>
      <c r="D81" s="1132"/>
      <c r="E81" s="1132"/>
      <c r="F81" s="1132"/>
      <c r="G81" s="1132"/>
    </row>
    <row r="82" spans="1:7" s="3" customFormat="1" ht="20.100000000000001" customHeight="1">
      <c r="A82" s="1147" t="s">
        <v>1966</v>
      </c>
      <c r="B82" s="1147"/>
      <c r="C82" s="1147"/>
      <c r="D82" s="1147"/>
      <c r="E82" s="22"/>
      <c r="F82" s="22"/>
      <c r="G82" s="22"/>
    </row>
    <row r="83" spans="1:7" s="3" customFormat="1" ht="20.100000000000001" customHeight="1">
      <c r="A83" s="1059" t="s">
        <v>1043</v>
      </c>
      <c r="B83" s="1146" t="s">
        <v>1967</v>
      </c>
      <c r="C83" s="1146"/>
      <c r="D83" s="1146" t="s">
        <v>1968</v>
      </c>
      <c r="E83" s="1146"/>
      <c r="F83" s="1146" t="s">
        <v>1969</v>
      </c>
      <c r="G83" s="1146"/>
    </row>
    <row r="84" spans="1:7" s="3" customFormat="1" ht="20.100000000000001" customHeight="1">
      <c r="A84" s="1059"/>
      <c r="B84" s="10" t="s">
        <v>1970</v>
      </c>
      <c r="C84" s="10" t="s">
        <v>1971</v>
      </c>
      <c r="D84" s="10" t="s">
        <v>1970</v>
      </c>
      <c r="E84" s="10" t="s">
        <v>1971</v>
      </c>
      <c r="F84" s="10" t="s">
        <v>1970</v>
      </c>
      <c r="G84" s="10" t="s">
        <v>1971</v>
      </c>
    </row>
    <row r="85" spans="1:7" s="3" customFormat="1" ht="20.100000000000001" customHeight="1">
      <c r="A85" s="26" t="s">
        <v>1047</v>
      </c>
      <c r="B85" s="26"/>
      <c r="C85" s="26"/>
      <c r="D85" s="26"/>
      <c r="E85" s="26"/>
      <c r="F85" s="26"/>
      <c r="G85" s="26"/>
    </row>
    <row r="86" spans="1:7" s="3" customFormat="1" ht="20.100000000000001" customHeight="1">
      <c r="A86" s="26" t="s">
        <v>1929</v>
      </c>
      <c r="B86" s="26"/>
      <c r="C86" s="26"/>
      <c r="D86" s="26"/>
      <c r="E86" s="26"/>
      <c r="F86" s="26"/>
      <c r="G86" s="26"/>
    </row>
    <row r="87" spans="1:7" s="3" customFormat="1" ht="20.100000000000001" customHeight="1">
      <c r="A87" s="26" t="s">
        <v>188</v>
      </c>
      <c r="B87" s="26"/>
      <c r="C87" s="26"/>
      <c r="D87" s="26"/>
      <c r="E87" s="26"/>
      <c r="F87" s="26"/>
      <c r="G87" s="26"/>
    </row>
    <row r="88" spans="1:7" s="3" customFormat="1" ht="20.100000000000001" customHeight="1">
      <c r="A88" s="26" t="s">
        <v>1930</v>
      </c>
      <c r="B88" s="26"/>
      <c r="C88" s="26"/>
      <c r="D88" s="26"/>
      <c r="E88" s="26"/>
      <c r="F88" s="26"/>
      <c r="G88" s="26"/>
    </row>
    <row r="89" spans="1:7" s="3" customFormat="1" ht="20.100000000000001" customHeight="1">
      <c r="A89" s="26" t="s">
        <v>1050</v>
      </c>
      <c r="B89" s="26"/>
      <c r="C89" s="26"/>
      <c r="D89" s="26"/>
      <c r="E89" s="26"/>
      <c r="F89" s="26"/>
      <c r="G89" s="26"/>
    </row>
    <row r="90" spans="1:7" s="3" customFormat="1" ht="20.100000000000001" customHeight="1">
      <c r="A90" s="26" t="s">
        <v>1932</v>
      </c>
      <c r="B90" s="26"/>
      <c r="C90" s="26"/>
      <c r="D90" s="26"/>
      <c r="E90" s="26"/>
      <c r="F90" s="26"/>
      <c r="G90" s="26"/>
    </row>
    <row r="91" spans="1:7" s="3" customFormat="1" ht="20.100000000000001" customHeight="1">
      <c r="A91" s="26"/>
      <c r="B91" s="26" t="s">
        <v>740</v>
      </c>
      <c r="C91" s="26"/>
      <c r="D91" s="26" t="s">
        <v>740</v>
      </c>
      <c r="E91" s="26"/>
      <c r="F91" s="26" t="s">
        <v>740</v>
      </c>
      <c r="G91" s="26"/>
    </row>
    <row r="92" spans="1:7" s="3" customFormat="1" ht="20.100000000000001" customHeight="1">
      <c r="A92" s="26" t="s">
        <v>1972</v>
      </c>
      <c r="B92" s="26" t="s">
        <v>932</v>
      </c>
      <c r="C92" s="26"/>
      <c r="D92" s="26" t="s">
        <v>932</v>
      </c>
      <c r="E92" s="26"/>
      <c r="F92" s="26" t="s">
        <v>932</v>
      </c>
      <c r="G92" s="26"/>
    </row>
    <row r="93" spans="1:7" s="3" customFormat="1" ht="20.100000000000001" customHeight="1">
      <c r="A93" s="26" t="s">
        <v>1973</v>
      </c>
      <c r="B93" s="26" t="s">
        <v>740</v>
      </c>
      <c r="C93" s="26"/>
      <c r="D93" s="26" t="s">
        <v>740</v>
      </c>
      <c r="E93" s="26"/>
      <c r="F93" s="26" t="s">
        <v>740</v>
      </c>
      <c r="G93" s="26"/>
    </row>
    <row r="94" spans="1:7" s="3" customFormat="1" ht="20.100000000000001" customHeight="1">
      <c r="A94" s="27"/>
      <c r="B94" s="27"/>
      <c r="C94" s="27"/>
      <c r="D94" s="27"/>
      <c r="E94" s="27"/>
      <c r="F94" s="27"/>
      <c r="G94" s="27"/>
    </row>
    <row r="95" spans="1:7" s="3" customFormat="1" ht="20.100000000000001" customHeight="1">
      <c r="A95" s="1147" t="s">
        <v>1974</v>
      </c>
      <c r="B95" s="1147"/>
      <c r="C95" s="1147"/>
      <c r="D95" s="1147"/>
      <c r="E95" s="1147"/>
      <c r="F95" s="1147"/>
      <c r="G95" s="1147"/>
    </row>
    <row r="96" spans="1:7" s="3" customFormat="1" ht="20.100000000000001" customHeight="1">
      <c r="A96" s="1059" t="s">
        <v>1043</v>
      </c>
      <c r="B96" s="1146" t="s">
        <v>1967</v>
      </c>
      <c r="C96" s="1146"/>
      <c r="D96" s="1146" t="s">
        <v>1968</v>
      </c>
      <c r="E96" s="1146"/>
      <c r="F96" s="1146" t="s">
        <v>1969</v>
      </c>
      <c r="G96" s="1146"/>
    </row>
    <row r="97" spans="1:7" s="3" customFormat="1" ht="20.100000000000001" customHeight="1">
      <c r="A97" s="1059"/>
      <c r="B97" s="10" t="s">
        <v>1975</v>
      </c>
      <c r="C97" s="10" t="s">
        <v>1976</v>
      </c>
      <c r="D97" s="10" t="s">
        <v>1975</v>
      </c>
      <c r="E97" s="10" t="s">
        <v>1976</v>
      </c>
      <c r="F97" s="10" t="s">
        <v>1975</v>
      </c>
      <c r="G97" s="10" t="s">
        <v>1976</v>
      </c>
    </row>
    <row r="98" spans="1:7" s="3" customFormat="1" ht="20.100000000000001" customHeight="1">
      <c r="A98" s="26" t="s">
        <v>413</v>
      </c>
      <c r="B98" s="26"/>
      <c r="C98" s="26"/>
      <c r="D98" s="26"/>
      <c r="E98" s="26"/>
      <c r="F98" s="26"/>
      <c r="G98" s="26"/>
    </row>
    <row r="99" spans="1:7" s="3" customFormat="1" ht="20.100000000000001" customHeight="1">
      <c r="A99" s="26" t="s">
        <v>1977</v>
      </c>
      <c r="B99" s="26"/>
      <c r="C99" s="26"/>
      <c r="D99" s="26"/>
      <c r="E99" s="26"/>
      <c r="F99" s="26"/>
      <c r="G99" s="26"/>
    </row>
    <row r="100" spans="1:7" s="3" customFormat="1" ht="20.100000000000001" customHeight="1">
      <c r="A100" s="26" t="s">
        <v>1811</v>
      </c>
      <c r="B100" s="26"/>
      <c r="C100" s="26"/>
      <c r="D100" s="26"/>
      <c r="E100" s="26"/>
      <c r="F100" s="26"/>
      <c r="G100" s="26"/>
    </row>
    <row r="101" spans="1:7" s="3" customFormat="1" ht="20.100000000000001" customHeight="1">
      <c r="A101" s="26" t="s">
        <v>105</v>
      </c>
      <c r="B101" s="26"/>
      <c r="C101" s="26"/>
      <c r="D101" s="26"/>
      <c r="E101" s="26"/>
      <c r="F101" s="26"/>
      <c r="G101" s="26"/>
    </row>
    <row r="102" spans="1:7" s="3" customFormat="1" ht="20.100000000000001" customHeight="1">
      <c r="A102" s="26" t="s">
        <v>1065</v>
      </c>
      <c r="B102" s="26"/>
      <c r="C102" s="26"/>
      <c r="D102" s="26"/>
      <c r="E102" s="26"/>
      <c r="F102" s="26"/>
      <c r="G102" s="26"/>
    </row>
    <row r="103" spans="1:7" s="3" customFormat="1" ht="20.100000000000001" customHeight="1">
      <c r="A103" s="26"/>
      <c r="B103" s="26"/>
      <c r="C103" s="26"/>
      <c r="D103" s="26"/>
      <c r="E103" s="26"/>
      <c r="F103" s="26"/>
      <c r="G103" s="26"/>
    </row>
    <row r="104" spans="1:7" s="3" customFormat="1" ht="20.100000000000001" customHeight="1">
      <c r="A104" s="1148" t="s">
        <v>1978</v>
      </c>
      <c r="B104" s="1148"/>
      <c r="C104" s="1148"/>
      <c r="D104" s="1148"/>
      <c r="E104" s="1148"/>
      <c r="F104" s="1148"/>
      <c r="G104" s="1148"/>
    </row>
    <row r="105" spans="1:7" s="3" customFormat="1" ht="20.100000000000001" customHeight="1">
      <c r="A105" s="1059" t="s">
        <v>1043</v>
      </c>
      <c r="B105" s="32" t="s">
        <v>1967</v>
      </c>
      <c r="C105" s="32" t="s">
        <v>1968</v>
      </c>
      <c r="D105" s="32" t="s">
        <v>1969</v>
      </c>
    </row>
    <row r="106" spans="1:7" s="3" customFormat="1" ht="20.100000000000001" customHeight="1">
      <c r="A106" s="1059"/>
      <c r="B106" s="10" t="s">
        <v>1975</v>
      </c>
      <c r="C106" s="10" t="s">
        <v>1975</v>
      </c>
      <c r="D106" s="10" t="s">
        <v>1975</v>
      </c>
    </row>
    <row r="107" spans="1:7" s="3" customFormat="1" ht="20.100000000000001" customHeight="1">
      <c r="A107" s="26" t="s">
        <v>1979</v>
      </c>
      <c r="B107" s="26"/>
      <c r="C107" s="26"/>
      <c r="D107" s="26"/>
    </row>
    <row r="108" spans="1:7" s="3" customFormat="1" ht="28.5" customHeight="1">
      <c r="A108" s="26" t="s">
        <v>1980</v>
      </c>
      <c r="B108" s="26"/>
      <c r="C108" s="26"/>
      <c r="D108" s="26"/>
    </row>
    <row r="109" spans="1:7" s="3" customFormat="1" ht="26.25" customHeight="1">
      <c r="A109" s="26" t="s">
        <v>1943</v>
      </c>
      <c r="B109" s="26"/>
      <c r="C109" s="26"/>
      <c r="D109" s="26"/>
    </row>
    <row r="110" spans="1:7" s="3" customFormat="1" ht="35.25" customHeight="1">
      <c r="A110" s="26" t="s">
        <v>1981</v>
      </c>
      <c r="B110" s="26"/>
      <c r="C110" s="26"/>
      <c r="D110" s="26"/>
    </row>
    <row r="111" spans="1:7" s="3" customFormat="1" ht="20.100000000000001" customHeight="1"/>
    <row r="112" spans="1:7" ht="20.100000000000001" customHeight="1">
      <c r="A112" s="3" t="s">
        <v>1982</v>
      </c>
    </row>
    <row r="113" spans="1:4" ht="20.100000000000001" customHeight="1">
      <c r="A113" s="1059" t="s">
        <v>1983</v>
      </c>
      <c r="B113" s="1059" t="s">
        <v>1984</v>
      </c>
      <c r="C113" s="10" t="s">
        <v>1985</v>
      </c>
      <c r="D113" s="10" t="s">
        <v>1986</v>
      </c>
    </row>
    <row r="114" spans="1:4" ht="20.100000000000001" customHeight="1">
      <c r="A114" s="1144" t="s">
        <v>1987</v>
      </c>
      <c r="B114" s="1144"/>
      <c r="C114" s="34"/>
      <c r="D114" s="34"/>
    </row>
    <row r="115" spans="1:4" ht="20.100000000000001" customHeight="1">
      <c r="A115" s="1145" t="s">
        <v>1988</v>
      </c>
      <c r="B115" s="1145"/>
      <c r="C115" s="34"/>
      <c r="D115" s="34"/>
    </row>
    <row r="116" spans="1:4" ht="20.100000000000001" customHeight="1">
      <c r="A116" s="1144" t="s">
        <v>1989</v>
      </c>
      <c r="B116" s="1144"/>
      <c r="C116" s="34">
        <f>C114-C115</f>
        <v>0</v>
      </c>
      <c r="D116" s="34"/>
    </row>
    <row r="117" spans="1:4" ht="20.100000000000001" customHeight="1">
      <c r="A117" s="1145" t="s">
        <v>1990</v>
      </c>
      <c r="B117" s="1145"/>
      <c r="C117" s="34"/>
      <c r="D117" s="34"/>
    </row>
    <row r="118" spans="1:4" ht="20.100000000000001" customHeight="1">
      <c r="A118" s="1144" t="s">
        <v>1991</v>
      </c>
      <c r="B118" s="1144"/>
      <c r="C118" s="34"/>
      <c r="D118" s="34"/>
    </row>
    <row r="119" spans="1:4" ht="20.100000000000001" customHeight="1">
      <c r="A119" s="1144" t="s">
        <v>1992</v>
      </c>
      <c r="B119" s="1144"/>
      <c r="C119" s="34"/>
      <c r="D119" s="34"/>
    </row>
    <row r="120" spans="1:4" ht="20.100000000000001" customHeight="1">
      <c r="A120" s="1144" t="s">
        <v>1993</v>
      </c>
      <c r="B120" s="1144"/>
      <c r="C120" s="34"/>
      <c r="D120" s="34"/>
    </row>
    <row r="121" spans="1:4" ht="20.100000000000001" customHeight="1">
      <c r="A121" s="1144" t="s">
        <v>1994</v>
      </c>
      <c r="B121" s="1144"/>
      <c r="C121" s="34"/>
      <c r="D121" s="34"/>
    </row>
    <row r="122" spans="1:4" ht="20.100000000000001" customHeight="1">
      <c r="A122" s="1144" t="s">
        <v>1995</v>
      </c>
      <c r="B122" s="1144"/>
      <c r="C122" s="34"/>
      <c r="D122" s="34"/>
    </row>
    <row r="123" spans="1:4" ht="20.100000000000001" customHeight="1">
      <c r="A123" s="1144" t="s">
        <v>1996</v>
      </c>
      <c r="B123" s="1144"/>
      <c r="C123" s="34"/>
      <c r="D123" s="34"/>
    </row>
    <row r="124" spans="1:4" ht="20.100000000000001" customHeight="1">
      <c r="A124" s="1144" t="s">
        <v>1997</v>
      </c>
      <c r="B124" s="1144"/>
      <c r="C124" s="34"/>
      <c r="D124" s="34"/>
    </row>
    <row r="125" spans="1:4" ht="20.100000000000001" customHeight="1">
      <c r="A125" s="1145" t="s">
        <v>1998</v>
      </c>
      <c r="B125" s="1145"/>
      <c r="C125" s="34"/>
      <c r="D125" s="34"/>
    </row>
    <row r="126" spans="1:4" ht="20.100000000000001" customHeight="1">
      <c r="A126" s="1144" t="s">
        <v>1999</v>
      </c>
      <c r="B126" s="1144"/>
      <c r="C126" s="34"/>
      <c r="D126" s="34"/>
    </row>
    <row r="127" spans="1:4" ht="20.100000000000001" customHeight="1">
      <c r="A127" s="1144" t="s">
        <v>2000</v>
      </c>
      <c r="B127" s="1144"/>
      <c r="C127" s="34"/>
      <c r="D127" s="34"/>
    </row>
    <row r="128" spans="1:4" ht="20.100000000000001" customHeight="1">
      <c r="A128" s="1144" t="s">
        <v>2001</v>
      </c>
      <c r="B128" s="1144"/>
      <c r="C128" s="34"/>
      <c r="D128" s="34"/>
    </row>
    <row r="130" spans="1:9" ht="20.100000000000001" customHeight="1">
      <c r="A130" s="1141" t="s">
        <v>2002</v>
      </c>
      <c r="B130" s="1141"/>
      <c r="C130" s="1141"/>
      <c r="D130" s="1141"/>
      <c r="E130" s="1141"/>
      <c r="F130" s="1141"/>
      <c r="G130" s="1141"/>
    </row>
    <row r="131" spans="1:9" ht="20.100000000000001" customHeight="1">
      <c r="A131" s="1141" t="s">
        <v>2003</v>
      </c>
      <c r="B131" s="1141"/>
      <c r="C131" s="1141"/>
      <c r="D131" s="1141"/>
      <c r="E131" s="1141"/>
      <c r="F131" s="1141"/>
      <c r="G131" s="1141"/>
    </row>
    <row r="132" spans="1:9" ht="40.5" customHeight="1">
      <c r="A132" s="1141" t="s">
        <v>2004</v>
      </c>
      <c r="B132" s="1141"/>
      <c r="C132" s="1141"/>
      <c r="D132" s="1141"/>
      <c r="E132" s="1141"/>
      <c r="F132" s="1141"/>
      <c r="G132" s="1141"/>
    </row>
    <row r="134" spans="1:9" ht="20.100000000000001" customHeight="1">
      <c r="A134" s="3" t="s">
        <v>2005</v>
      </c>
    </row>
    <row r="135" spans="1:9" ht="29.25" customHeight="1">
      <c r="A135" s="1141" t="s">
        <v>2006</v>
      </c>
      <c r="B135" s="1141"/>
      <c r="C135" s="1141"/>
      <c r="D135" s="1141"/>
      <c r="E135" s="1141"/>
      <c r="F135" s="1141"/>
      <c r="G135" s="1141"/>
    </row>
    <row r="136" spans="1:9" ht="20.100000000000001" customHeight="1">
      <c r="A136" s="1142" t="s">
        <v>2007</v>
      </c>
      <c r="B136" s="1142"/>
      <c r="C136" s="1142"/>
      <c r="D136" s="1142"/>
      <c r="E136" s="1142"/>
      <c r="F136" s="1142"/>
      <c r="G136" s="1142"/>
    </row>
    <row r="137" spans="1:9" ht="20.100000000000001" customHeight="1">
      <c r="A137" s="1059" t="s">
        <v>2008</v>
      </c>
      <c r="B137" s="1059" t="s">
        <v>2009</v>
      </c>
      <c r="C137" s="1059" t="s">
        <v>2010</v>
      </c>
      <c r="D137" s="1059" t="s">
        <v>2011</v>
      </c>
      <c r="E137" s="1059" t="s">
        <v>2012</v>
      </c>
      <c r="F137" s="1059" t="s">
        <v>2013</v>
      </c>
      <c r="G137" s="1059" t="s">
        <v>664</v>
      </c>
      <c r="H137" s="1059" t="s">
        <v>2014</v>
      </c>
      <c r="I137" s="1059" t="s">
        <v>2015</v>
      </c>
    </row>
    <row r="138" spans="1:9" ht="20.100000000000001" customHeight="1">
      <c r="A138" s="1059"/>
      <c r="B138" s="1059"/>
      <c r="C138" s="1059"/>
      <c r="D138" s="1059"/>
      <c r="E138" s="1059"/>
      <c r="F138" s="1059"/>
      <c r="G138" s="1059"/>
      <c r="H138" s="1059"/>
      <c r="I138" s="1059"/>
    </row>
    <row r="139" spans="1:9" ht="20.100000000000001" customHeight="1">
      <c r="A139" s="35" t="s">
        <v>2016</v>
      </c>
      <c r="B139" s="36" t="s">
        <v>2017</v>
      </c>
      <c r="C139" s="37"/>
      <c r="D139" s="37"/>
      <c r="E139" s="37"/>
      <c r="F139" s="37"/>
      <c r="G139" s="37">
        <f>C139+D139-E139-F139</f>
        <v>0</v>
      </c>
      <c r="H139" s="36" t="s">
        <v>100</v>
      </c>
      <c r="I139" s="36"/>
    </row>
    <row r="140" spans="1:9" ht="20.100000000000001" customHeight="1">
      <c r="A140" s="38"/>
      <c r="B140" s="39"/>
      <c r="C140" s="37"/>
      <c r="D140" s="37"/>
      <c r="E140" s="37"/>
      <c r="F140" s="37"/>
      <c r="G140" s="37">
        <f t="shared" ref="G140:G141" si="0">C140+D140-E140-F140</f>
        <v>0</v>
      </c>
      <c r="H140" s="36" t="s">
        <v>2018</v>
      </c>
      <c r="I140" s="39"/>
    </row>
    <row r="141" spans="1:9" ht="20.100000000000001" customHeight="1">
      <c r="A141" s="40"/>
      <c r="B141" s="41"/>
      <c r="C141" s="42"/>
      <c r="D141" s="42"/>
      <c r="E141" s="42"/>
      <c r="F141" s="42"/>
      <c r="G141" s="42">
        <f t="shared" si="0"/>
        <v>0</v>
      </c>
      <c r="H141" s="41"/>
      <c r="I141" s="41"/>
    </row>
    <row r="142" spans="1:9" ht="20.100000000000001" customHeight="1">
      <c r="A142" s="43" t="s">
        <v>502</v>
      </c>
      <c r="B142" s="43"/>
      <c r="C142" s="44">
        <f>SUM(C139:C141)</f>
        <v>0</v>
      </c>
      <c r="D142" s="44">
        <f t="shared" ref="D142:G142" si="1">SUM(D139:D141)</f>
        <v>0</v>
      </c>
      <c r="E142" s="44">
        <f t="shared" si="1"/>
        <v>0</v>
      </c>
      <c r="F142" s="44">
        <f t="shared" si="1"/>
        <v>0</v>
      </c>
      <c r="G142" s="44">
        <f t="shared" si="1"/>
        <v>0</v>
      </c>
      <c r="H142" s="43"/>
      <c r="I142" s="43"/>
    </row>
    <row r="144" spans="1:9" ht="37.5" customHeight="1">
      <c r="A144" s="1143" t="s">
        <v>2019</v>
      </c>
      <c r="B144" s="1143"/>
      <c r="C144" s="1143"/>
      <c r="D144" s="1143"/>
      <c r="E144" s="1143"/>
      <c r="F144" s="1143"/>
      <c r="G144" s="1143"/>
    </row>
    <row r="146" spans="1:9" ht="20.100000000000001" customHeight="1">
      <c r="A146" s="1142" t="s">
        <v>2020</v>
      </c>
      <c r="B146" s="1142"/>
      <c r="C146" s="1142"/>
      <c r="D146" s="1142"/>
      <c r="E146" s="1142"/>
      <c r="F146" s="1142"/>
      <c r="G146" s="1142"/>
    </row>
    <row r="147" spans="1:9" ht="20.100000000000001" customHeight="1">
      <c r="A147" s="1059" t="s">
        <v>2008</v>
      </c>
      <c r="B147" s="1059" t="s">
        <v>2009</v>
      </c>
      <c r="C147" s="1059" t="s">
        <v>2010</v>
      </c>
      <c r="D147" s="1059" t="s">
        <v>2011</v>
      </c>
      <c r="E147" s="1059" t="s">
        <v>2012</v>
      </c>
      <c r="F147" s="1059" t="s">
        <v>2013</v>
      </c>
      <c r="G147" s="1059" t="s">
        <v>664</v>
      </c>
      <c r="H147" s="1059" t="s">
        <v>2014</v>
      </c>
      <c r="I147" s="1059" t="s">
        <v>2015</v>
      </c>
    </row>
    <row r="148" spans="1:9" ht="20.100000000000001" customHeight="1">
      <c r="A148" s="1059"/>
      <c r="B148" s="1059"/>
      <c r="C148" s="1059"/>
      <c r="D148" s="1059"/>
      <c r="E148" s="1059"/>
      <c r="F148" s="1059"/>
      <c r="G148" s="1059"/>
      <c r="H148" s="1059"/>
      <c r="I148" s="1059"/>
    </row>
    <row r="149" spans="1:9" ht="20.100000000000001" customHeight="1">
      <c r="A149" s="35" t="s">
        <v>2016</v>
      </c>
      <c r="B149" s="36" t="s">
        <v>2017</v>
      </c>
      <c r="C149" s="37"/>
      <c r="D149" s="37"/>
      <c r="E149" s="37"/>
      <c r="F149" s="37"/>
      <c r="G149" s="37">
        <f>C149+D149-E149-F149</f>
        <v>0</v>
      </c>
      <c r="H149" s="36" t="s">
        <v>2021</v>
      </c>
      <c r="I149" s="36"/>
    </row>
    <row r="150" spans="1:9" ht="20.100000000000001" customHeight="1">
      <c r="A150" s="38"/>
      <c r="B150" s="39"/>
      <c r="C150" s="37"/>
      <c r="D150" s="37"/>
      <c r="E150" s="37"/>
      <c r="F150" s="37"/>
      <c r="G150" s="37">
        <f t="shared" ref="G150:G151" si="2">C150+D150-E150-F150</f>
        <v>0</v>
      </c>
      <c r="H150" s="36"/>
      <c r="I150" s="39"/>
    </row>
    <row r="151" spans="1:9" ht="20.100000000000001" customHeight="1">
      <c r="A151" s="40"/>
      <c r="B151" s="41"/>
      <c r="C151" s="42"/>
      <c r="D151" s="42"/>
      <c r="E151" s="42"/>
      <c r="F151" s="42"/>
      <c r="G151" s="42">
        <f t="shared" si="2"/>
        <v>0</v>
      </c>
      <c r="H151" s="41"/>
      <c r="I151" s="41"/>
    </row>
    <row r="152" spans="1:9" ht="20.100000000000001" customHeight="1">
      <c r="A152" s="43" t="s">
        <v>502</v>
      </c>
      <c r="B152" s="43"/>
      <c r="C152" s="44">
        <f>SUM(C149:C151)</f>
        <v>0</v>
      </c>
      <c r="D152" s="44">
        <f t="shared" ref="D152" si="3">SUM(D149:D151)</f>
        <v>0</v>
      </c>
      <c r="E152" s="44">
        <f t="shared" ref="E152" si="4">SUM(E149:E151)</f>
        <v>0</v>
      </c>
      <c r="F152" s="44">
        <f t="shared" ref="F152" si="5">SUM(F149:F151)</f>
        <v>0</v>
      </c>
      <c r="G152" s="44">
        <f t="shared" ref="G152" si="6">SUM(G149:G151)</f>
        <v>0</v>
      </c>
      <c r="H152" s="43"/>
      <c r="I152" s="43"/>
    </row>
    <row r="154" spans="1:9" ht="20.100000000000001" customHeight="1">
      <c r="A154" s="1142" t="s">
        <v>2022</v>
      </c>
      <c r="B154" s="1142"/>
      <c r="C154" s="1142"/>
      <c r="D154" s="1142"/>
      <c r="E154" s="1142"/>
      <c r="F154" s="1142"/>
      <c r="G154" s="1142"/>
    </row>
    <row r="155" spans="1:9" ht="20.100000000000001" customHeight="1">
      <c r="A155" s="1059" t="s">
        <v>2008</v>
      </c>
      <c r="B155" s="1059" t="s">
        <v>2009</v>
      </c>
      <c r="C155" s="1140" t="s">
        <v>2023</v>
      </c>
      <c r="D155" s="1059" t="s">
        <v>2014</v>
      </c>
      <c r="E155" s="1059" t="s">
        <v>2015</v>
      </c>
    </row>
    <row r="156" spans="1:9" ht="20.100000000000001" customHeight="1">
      <c r="A156" s="1059"/>
      <c r="B156" s="1059"/>
      <c r="C156" s="1059"/>
      <c r="D156" s="1059"/>
      <c r="E156" s="1059"/>
    </row>
    <row r="157" spans="1:9" ht="20.100000000000001" customHeight="1">
      <c r="A157" s="35" t="s">
        <v>2016</v>
      </c>
      <c r="B157" s="36" t="s">
        <v>2017</v>
      </c>
      <c r="C157" s="37"/>
      <c r="D157" s="36" t="s">
        <v>100</v>
      </c>
      <c r="E157" s="36"/>
    </row>
    <row r="158" spans="1:9" ht="20.100000000000001" customHeight="1">
      <c r="A158" s="38"/>
      <c r="B158" s="39"/>
      <c r="C158" s="37"/>
      <c r="D158" s="36" t="s">
        <v>2018</v>
      </c>
      <c r="E158" s="39"/>
    </row>
    <row r="159" spans="1:9" ht="20.100000000000001" customHeight="1">
      <c r="A159" s="40"/>
      <c r="B159" s="41"/>
      <c r="C159" s="42"/>
      <c r="D159" s="41"/>
      <c r="E159" s="41"/>
    </row>
    <row r="160" spans="1:9" ht="20.100000000000001" customHeight="1">
      <c r="A160" s="43" t="s">
        <v>502</v>
      </c>
      <c r="B160" s="43"/>
      <c r="C160" s="44">
        <f>SUM(C157:C159)</f>
        <v>0</v>
      </c>
      <c r="D160" s="43"/>
      <c r="E160" s="43"/>
    </row>
    <row r="162" spans="1:7" ht="20.100000000000001" customHeight="1">
      <c r="A162" s="1142" t="s">
        <v>2024</v>
      </c>
      <c r="B162" s="1142"/>
      <c r="C162" s="1142"/>
      <c r="D162" s="1142"/>
      <c r="E162" s="1142"/>
      <c r="F162" s="1142"/>
      <c r="G162" s="1142"/>
    </row>
    <row r="163" spans="1:7" ht="20.100000000000001" customHeight="1">
      <c r="A163" s="1059" t="s">
        <v>2008</v>
      </c>
      <c r="B163" s="1059" t="s">
        <v>2009</v>
      </c>
      <c r="C163" s="1140" t="s">
        <v>2025</v>
      </c>
      <c r="D163" s="1140" t="s">
        <v>2026</v>
      </c>
      <c r="E163" s="1059" t="s">
        <v>2015</v>
      </c>
    </row>
    <row r="164" spans="1:7" ht="20.100000000000001" customHeight="1">
      <c r="A164" s="1059"/>
      <c r="B164" s="1059"/>
      <c r="C164" s="1059"/>
      <c r="D164" s="1059"/>
      <c r="E164" s="1059"/>
    </row>
    <row r="165" spans="1:7" ht="20.100000000000001" customHeight="1">
      <c r="A165" s="35" t="s">
        <v>2016</v>
      </c>
      <c r="B165" s="36" t="s">
        <v>2017</v>
      </c>
      <c r="C165" s="37"/>
      <c r="D165" s="36" t="s">
        <v>2021</v>
      </c>
      <c r="E165" s="36"/>
    </row>
    <row r="166" spans="1:7" ht="20.100000000000001" customHeight="1">
      <c r="A166" s="38"/>
      <c r="B166" s="39"/>
      <c r="C166" s="37"/>
      <c r="D166" s="36" t="s">
        <v>58</v>
      </c>
      <c r="E166" s="39"/>
    </row>
    <row r="167" spans="1:7" ht="20.100000000000001" customHeight="1">
      <c r="A167" s="40"/>
      <c r="B167" s="41"/>
      <c r="C167" s="42"/>
      <c r="D167" s="41"/>
      <c r="E167" s="41"/>
    </row>
    <row r="168" spans="1:7" ht="20.100000000000001" customHeight="1">
      <c r="A168" s="43" t="s">
        <v>502</v>
      </c>
      <c r="B168" s="43"/>
      <c r="C168" s="44">
        <f>SUM(C165:C167)</f>
        <v>0</v>
      </c>
      <c r="D168" s="43"/>
      <c r="E168" s="43"/>
    </row>
  </sheetData>
  <mergeCells count="127">
    <mergeCell ref="C4:D4"/>
    <mergeCell ref="C5:D5"/>
    <mergeCell ref="C6:D6"/>
    <mergeCell ref="C7:D7"/>
    <mergeCell ref="A9:G9"/>
    <mergeCell ref="A11:D11"/>
    <mergeCell ref="A12:D12"/>
    <mergeCell ref="A13:G13"/>
    <mergeCell ref="A15:G15"/>
    <mergeCell ref="A16:B16"/>
    <mergeCell ref="A17:B17"/>
    <mergeCell ref="A18:B18"/>
    <mergeCell ref="A19:B19"/>
    <mergeCell ref="A20:B20"/>
    <mergeCell ref="A21:B21"/>
    <mergeCell ref="A22:B22"/>
    <mergeCell ref="A23:B23"/>
    <mergeCell ref="A24:B24"/>
    <mergeCell ref="A25:B25"/>
    <mergeCell ref="A26:B26"/>
    <mergeCell ref="B29:C29"/>
    <mergeCell ref="B30:C30"/>
    <mergeCell ref="B31:C31"/>
    <mergeCell ref="B32:C32"/>
    <mergeCell ref="A34:D34"/>
    <mergeCell ref="A35:B35"/>
    <mergeCell ref="A36:B36"/>
    <mergeCell ref="A37:B37"/>
    <mergeCell ref="A38:B38"/>
    <mergeCell ref="A39:B39"/>
    <mergeCell ref="A40:G40"/>
    <mergeCell ref="A41:G41"/>
    <mergeCell ref="A43:D43"/>
    <mergeCell ref="A44:G44"/>
    <mergeCell ref="A45:D45"/>
    <mergeCell ref="A46:E46"/>
    <mergeCell ref="A47:B47"/>
    <mergeCell ref="A48:B48"/>
    <mergeCell ref="A49:B49"/>
    <mergeCell ref="A50:B50"/>
    <mergeCell ref="A51:B51"/>
    <mergeCell ref="A52:B52"/>
    <mergeCell ref="A53:B53"/>
    <mergeCell ref="A54:B54"/>
    <mergeCell ref="A55:B55"/>
    <mergeCell ref="A56:B56"/>
    <mergeCell ref="A57:B57"/>
    <mergeCell ref="A59:D59"/>
    <mergeCell ref="B60:C60"/>
    <mergeCell ref="B61:C61"/>
    <mergeCell ref="B62:C62"/>
    <mergeCell ref="B63:C63"/>
    <mergeCell ref="A64:G64"/>
    <mergeCell ref="A65:G65"/>
    <mergeCell ref="A67:D67"/>
    <mergeCell ref="A68:B68"/>
    <mergeCell ref="A69:B69"/>
    <mergeCell ref="A70:B70"/>
    <mergeCell ref="A71:B71"/>
    <mergeCell ref="A72:B72"/>
    <mergeCell ref="A75:D75"/>
    <mergeCell ref="A81:G81"/>
    <mergeCell ref="A82:D82"/>
    <mergeCell ref="B83:C83"/>
    <mergeCell ref="D83:E83"/>
    <mergeCell ref="F83:G83"/>
    <mergeCell ref="A95:G95"/>
    <mergeCell ref="B96:C96"/>
    <mergeCell ref="D96:E96"/>
    <mergeCell ref="F96:G96"/>
    <mergeCell ref="A104:G104"/>
    <mergeCell ref="A113:B113"/>
    <mergeCell ref="A114:B114"/>
    <mergeCell ref="A115:B115"/>
    <mergeCell ref="A116:B116"/>
    <mergeCell ref="A117:B117"/>
    <mergeCell ref="A118:B118"/>
    <mergeCell ref="A119:B119"/>
    <mergeCell ref="A120:B120"/>
    <mergeCell ref="A121:B121"/>
    <mergeCell ref="A122:B122"/>
    <mergeCell ref="A135:G135"/>
    <mergeCell ref="A136:G136"/>
    <mergeCell ref="A144:G144"/>
    <mergeCell ref="A146:G146"/>
    <mergeCell ref="A154:G154"/>
    <mergeCell ref="A162:G162"/>
    <mergeCell ref="A83:A84"/>
    <mergeCell ref="A96:A97"/>
    <mergeCell ref="A105:A106"/>
    <mergeCell ref="A137:A138"/>
    <mergeCell ref="A147:A148"/>
    <mergeCell ref="A155:A156"/>
    <mergeCell ref="D137:D138"/>
    <mergeCell ref="D147:D148"/>
    <mergeCell ref="D155:D156"/>
    <mergeCell ref="A123:B123"/>
    <mergeCell ref="A124:B124"/>
    <mergeCell ref="A125:B125"/>
    <mergeCell ref="A126:B126"/>
    <mergeCell ref="A127:B127"/>
    <mergeCell ref="A128:B128"/>
    <mergeCell ref="A130:G130"/>
    <mergeCell ref="A131:G131"/>
    <mergeCell ref="A132:G132"/>
    <mergeCell ref="A163:A164"/>
    <mergeCell ref="B137:B138"/>
    <mergeCell ref="B147:B148"/>
    <mergeCell ref="B155:B156"/>
    <mergeCell ref="B163:B164"/>
    <mergeCell ref="C137:C138"/>
    <mergeCell ref="C147:C148"/>
    <mergeCell ref="C155:C156"/>
    <mergeCell ref="C163:C164"/>
    <mergeCell ref="H137:H138"/>
    <mergeCell ref="H147:H148"/>
    <mergeCell ref="I137:I138"/>
    <mergeCell ref="I147:I148"/>
    <mergeCell ref="D163:D164"/>
    <mergeCell ref="E137:E138"/>
    <mergeCell ref="E147:E148"/>
    <mergeCell ref="E155:E156"/>
    <mergeCell ref="E163:E164"/>
    <mergeCell ref="F137:F138"/>
    <mergeCell ref="F147:F148"/>
    <mergeCell ref="G137:G138"/>
    <mergeCell ref="G147:G148"/>
  </mergeCells>
  <phoneticPr fontId="78" type="noConversion"/>
  <hyperlinks>
    <hyperlink ref="F1" location="目录!A1" display="BACK"/>
  </hyperlinks>
  <pageMargins left="0.74791666666666701" right="0.74791666666666701" top="0.98402777777777795" bottom="0.98402777777777795" header="0.51180555555555596" footer="0.51180555555555596"/>
  <pageSetup paperSize="9" scale="81" orientation="landscape" blackAndWhite="1" r:id="rId1"/>
  <headerFooter alignWithMargins="0"/>
  <rowBreaks count="4" manualBreakCount="4">
    <brk id="14" max="16383" man="1"/>
    <brk id="44" max="8" man="1"/>
    <brk id="63" max="16383" man="1"/>
    <brk id="94" max="16383" man="1"/>
  </rowBreak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
  <dimension ref="A1:E36"/>
  <sheetViews>
    <sheetView view="pageBreakPreview" zoomScaleNormal="100" zoomScaleSheetLayoutView="100" workbookViewId="0">
      <selection activeCell="D1" sqref="D1"/>
    </sheetView>
  </sheetViews>
  <sheetFormatPr defaultColWidth="9" defaultRowHeight="20.100000000000001" customHeight="1"/>
  <cols>
    <col min="1" max="1" width="56.19921875" style="5" customWidth="1"/>
    <col min="2" max="2" width="24.8984375" style="5" customWidth="1"/>
    <col min="3" max="3" width="17.59765625" style="5" customWidth="1"/>
    <col min="4" max="4" width="24.59765625" style="5" customWidth="1"/>
    <col min="5" max="16384" width="9" style="5"/>
  </cols>
  <sheetData>
    <row r="1" spans="1:5" ht="24.9" customHeight="1">
      <c r="A1" s="6" t="s">
        <v>145</v>
      </c>
      <c r="B1" s="7">
        <f>基础信息!B6</f>
        <v>0</v>
      </c>
      <c r="D1" s="900" t="s">
        <v>146</v>
      </c>
      <c r="E1" s="8"/>
    </row>
    <row r="2" spans="1:5" ht="24.9" customHeight="1">
      <c r="A2" s="6" t="s">
        <v>147</v>
      </c>
      <c r="B2" s="7">
        <f>基础信息!B9</f>
        <v>0</v>
      </c>
    </row>
    <row r="3" spans="1:5" ht="24.9" customHeight="1">
      <c r="A3" s="6" t="s">
        <v>148</v>
      </c>
      <c r="B3" s="6" t="s">
        <v>2027</v>
      </c>
    </row>
    <row r="4" spans="1:5" s="1" customFormat="1" ht="24.9" customHeight="1">
      <c r="A4" s="9" t="s">
        <v>2028</v>
      </c>
      <c r="B4" s="9"/>
    </row>
    <row r="5" spans="1:5" s="2" customFormat="1" ht="24.9" customHeight="1">
      <c r="A5" s="10" t="s">
        <v>729</v>
      </c>
      <c r="B5" s="10" t="s">
        <v>1714</v>
      </c>
    </row>
    <row r="6" spans="1:5" s="3" customFormat="1" ht="20.100000000000001" customHeight="1">
      <c r="A6" s="11" t="s">
        <v>2029</v>
      </c>
      <c r="B6" s="12"/>
    </row>
    <row r="7" spans="1:5" s="3" customFormat="1" ht="20.100000000000001" customHeight="1">
      <c r="A7" s="13" t="s">
        <v>2030</v>
      </c>
      <c r="B7" s="12"/>
    </row>
    <row r="8" spans="1:5" s="3" customFormat="1" ht="20.100000000000001" customHeight="1">
      <c r="A8" s="13" t="s">
        <v>2031</v>
      </c>
      <c r="B8" s="12"/>
    </row>
    <row r="9" spans="1:5" s="3" customFormat="1" ht="20.100000000000001" customHeight="1">
      <c r="A9" s="13" t="s">
        <v>2032</v>
      </c>
      <c r="B9" s="12"/>
    </row>
    <row r="10" spans="1:5" s="3" customFormat="1" ht="28.5" customHeight="1">
      <c r="A10" s="13" t="s">
        <v>2033</v>
      </c>
      <c r="B10" s="12"/>
    </row>
    <row r="11" spans="1:5" s="3" customFormat="1" ht="20.100000000000001" customHeight="1">
      <c r="A11" s="13" t="s">
        <v>2034</v>
      </c>
      <c r="B11" s="12"/>
    </row>
    <row r="12" spans="1:5" s="3" customFormat="1" ht="20.100000000000001" customHeight="1">
      <c r="A12" s="13" t="s">
        <v>2035</v>
      </c>
      <c r="B12" s="12"/>
    </row>
    <row r="13" spans="1:5" s="3" customFormat="1" ht="20.100000000000001" customHeight="1">
      <c r="A13" s="13" t="s">
        <v>2036</v>
      </c>
      <c r="B13" s="12"/>
    </row>
    <row r="14" spans="1:5" s="3" customFormat="1" ht="20.100000000000001" customHeight="1">
      <c r="A14" s="11" t="s">
        <v>2037</v>
      </c>
      <c r="B14" s="12"/>
    </row>
    <row r="15" spans="1:5" s="3" customFormat="1" ht="20.100000000000001" customHeight="1">
      <c r="A15" s="13" t="s">
        <v>2038</v>
      </c>
      <c r="B15" s="12"/>
    </row>
    <row r="16" spans="1:5" s="3" customFormat="1" ht="20.100000000000001" customHeight="1">
      <c r="A16" s="11" t="s">
        <v>2039</v>
      </c>
      <c r="B16" s="12"/>
    </row>
    <row r="17" spans="1:2" s="3" customFormat="1" ht="20.100000000000001" customHeight="1">
      <c r="A17" s="11" t="s">
        <v>2040</v>
      </c>
      <c r="B17" s="12"/>
    </row>
    <row r="18" spans="1:2" s="3" customFormat="1" ht="20.100000000000001" customHeight="1">
      <c r="A18" s="11" t="s">
        <v>2041</v>
      </c>
      <c r="B18" s="12"/>
    </row>
    <row r="19" spans="1:2" s="3" customFormat="1" ht="27.75" customHeight="1">
      <c r="A19" s="11" t="s">
        <v>2042</v>
      </c>
      <c r="B19" s="12"/>
    </row>
    <row r="20" spans="1:2" s="3" customFormat="1" ht="20.100000000000001" customHeight="1">
      <c r="A20" s="11" t="s">
        <v>2043</v>
      </c>
      <c r="B20" s="12"/>
    </row>
    <row r="21" spans="1:2" s="3" customFormat="1" ht="20.100000000000001" customHeight="1">
      <c r="A21" s="11" t="s">
        <v>2044</v>
      </c>
      <c r="B21" s="12"/>
    </row>
    <row r="22" spans="1:2" s="3" customFormat="1" ht="20.100000000000001" customHeight="1">
      <c r="A22" s="11" t="s">
        <v>2045</v>
      </c>
      <c r="B22" s="12"/>
    </row>
    <row r="23" spans="1:2" s="3" customFormat="1" ht="20.100000000000001" customHeight="1">
      <c r="A23" s="11" t="s">
        <v>2046</v>
      </c>
      <c r="B23" s="12"/>
    </row>
    <row r="24" spans="1:2" s="3" customFormat="1" ht="28.5" customHeight="1">
      <c r="A24" s="11" t="s">
        <v>2047</v>
      </c>
      <c r="B24" s="12"/>
    </row>
    <row r="25" spans="1:2" s="3" customFormat="1" ht="20.100000000000001" customHeight="1">
      <c r="A25" s="11" t="s">
        <v>2048</v>
      </c>
      <c r="B25" s="12"/>
    </row>
    <row r="26" spans="1:2" s="3" customFormat="1" ht="20.100000000000001" customHeight="1">
      <c r="A26" s="11" t="s">
        <v>2049</v>
      </c>
      <c r="B26" s="12"/>
    </row>
    <row r="27" spans="1:2" s="3" customFormat="1" ht="20.100000000000001" customHeight="1">
      <c r="A27" s="11" t="s">
        <v>2050</v>
      </c>
      <c r="B27" s="12"/>
    </row>
    <row r="28" spans="1:2" s="3" customFormat="1" ht="20.100000000000001" customHeight="1">
      <c r="A28" s="11" t="s">
        <v>2051</v>
      </c>
      <c r="B28" s="14">
        <f>SUM(B6:B27)</f>
        <v>0</v>
      </c>
    </row>
    <row r="29" spans="1:2" s="3" customFormat="1" ht="20.100000000000001" customHeight="1">
      <c r="A29" s="11" t="s">
        <v>2052</v>
      </c>
      <c r="B29" s="12"/>
    </row>
    <row r="30" spans="1:2" s="3" customFormat="1" ht="20.100000000000001" customHeight="1">
      <c r="A30" s="11" t="s">
        <v>2053</v>
      </c>
      <c r="B30" s="14">
        <f>B28-B29</f>
        <v>0</v>
      </c>
    </row>
    <row r="31" spans="1:2" s="3" customFormat="1" ht="20.100000000000001" customHeight="1">
      <c r="A31" s="11" t="s">
        <v>2054</v>
      </c>
      <c r="B31" s="12"/>
    </row>
    <row r="32" spans="1:2" s="3" customFormat="1" ht="20.100000000000001" customHeight="1">
      <c r="A32" s="11" t="s">
        <v>2055</v>
      </c>
      <c r="B32" s="14">
        <f>B30-B31</f>
        <v>0</v>
      </c>
    </row>
    <row r="33" spans="1:2" s="3" customFormat="1" ht="20.100000000000001" customHeight="1">
      <c r="A33" s="15" t="s">
        <v>1282</v>
      </c>
    </row>
    <row r="34" spans="1:2" s="4" customFormat="1" ht="20.100000000000001" customHeight="1">
      <c r="A34" s="1133" t="s">
        <v>2056</v>
      </c>
      <c r="B34" s="1133"/>
    </row>
    <row r="35" spans="1:2" s="4" customFormat="1" ht="31.5" customHeight="1">
      <c r="A35" s="1133" t="s">
        <v>2057</v>
      </c>
      <c r="B35" s="1133"/>
    </row>
    <row r="36" spans="1:2" s="4" customFormat="1" ht="20.100000000000001" customHeight="1">
      <c r="A36" s="1133" t="s">
        <v>2058</v>
      </c>
      <c r="B36" s="1133"/>
    </row>
  </sheetData>
  <mergeCells count="3">
    <mergeCell ref="A34:B34"/>
    <mergeCell ref="A35:B35"/>
    <mergeCell ref="A36:B36"/>
  </mergeCells>
  <phoneticPr fontId="78" type="noConversion"/>
  <hyperlinks>
    <hyperlink ref="D1" location="目录!A1" display="BACK"/>
  </hyperlinks>
  <pageMargins left="0.51180555555555596" right="0.51180555555555596" top="0.98402777777777795" bottom="0.98402777777777795" header="0.51180555555555596" footer="0.51180555555555596"/>
  <pageSetup paperSize="9" orientation="portrait" blackAndWhite="1" r:id="rId1"/>
  <headerFooter alignWithMargins="0"/>
  <rowBreaks count="1" manualBreakCount="1">
    <brk id="18" max="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113</vt:i4>
      </vt:variant>
      <vt:variant>
        <vt:lpstr>命名范围</vt:lpstr>
      </vt:variant>
      <vt:variant>
        <vt:i4>163</vt:i4>
      </vt:variant>
    </vt:vector>
  </HeadingPairs>
  <TitlesOfParts>
    <vt:vector size="276" baseType="lpstr">
      <vt:lpstr>目录</vt:lpstr>
      <vt:lpstr>基础信息</vt:lpstr>
      <vt:lpstr>RP 001</vt:lpstr>
      <vt:lpstr>RP 002-1</vt:lpstr>
      <vt:lpstr>RP 002-2</vt:lpstr>
      <vt:lpstr>RP 003 </vt:lpstr>
      <vt:lpstr>RP 004 </vt:lpstr>
      <vt:lpstr>RP 005</vt:lpstr>
      <vt:lpstr>RP 006</vt:lpstr>
      <vt:lpstr>RP 007</vt:lpstr>
      <vt:lpstr>RP 008</vt:lpstr>
      <vt:lpstr>RP 009</vt:lpstr>
      <vt:lpstr>RP 010</vt:lpstr>
      <vt:lpstr>RP 011</vt:lpstr>
      <vt:lpstr>RP 012</vt:lpstr>
      <vt:lpstr>RP 013</vt:lpstr>
      <vt:lpstr>RP 014</vt:lpstr>
      <vt:lpstr>RP 015</vt:lpstr>
      <vt:lpstr>RP 016</vt:lpstr>
      <vt:lpstr>RP 017</vt:lpstr>
      <vt:lpstr>RP 018</vt:lpstr>
      <vt:lpstr>RP 019</vt:lpstr>
      <vt:lpstr>RP 020</vt:lpstr>
      <vt:lpstr>RP 020-1</vt:lpstr>
      <vt:lpstr>RP 020-2</vt:lpstr>
      <vt:lpstr>RP 020-3</vt:lpstr>
      <vt:lpstr>RP 021</vt:lpstr>
      <vt:lpstr>RP 022</vt:lpstr>
      <vt:lpstr>RP 023</vt:lpstr>
      <vt:lpstr>RP 024</vt:lpstr>
      <vt:lpstr>RP 025</vt:lpstr>
      <vt:lpstr>RP 026</vt:lpstr>
      <vt:lpstr>RP 027</vt:lpstr>
      <vt:lpstr>RP 028</vt:lpstr>
      <vt:lpstr>RP 029</vt:lpstr>
      <vt:lpstr>RP 030</vt:lpstr>
      <vt:lpstr>RP 031</vt:lpstr>
      <vt:lpstr>RP 032</vt:lpstr>
      <vt:lpstr>RP 033</vt:lpstr>
      <vt:lpstr>RP 034</vt:lpstr>
      <vt:lpstr>RP 035</vt:lpstr>
      <vt:lpstr>RP 036</vt:lpstr>
      <vt:lpstr>RP 036-1</vt:lpstr>
      <vt:lpstr>RP 036-2</vt:lpstr>
      <vt:lpstr>RP 037</vt:lpstr>
      <vt:lpstr>RP 037-1</vt:lpstr>
      <vt:lpstr>RP 037-2</vt:lpstr>
      <vt:lpstr>RP 038</vt:lpstr>
      <vt:lpstr>RP 039</vt:lpstr>
      <vt:lpstr>RP 040</vt:lpstr>
      <vt:lpstr>RP 041</vt:lpstr>
      <vt:lpstr>RP 042</vt:lpstr>
      <vt:lpstr>RP 043</vt:lpstr>
      <vt:lpstr>RP 044</vt:lpstr>
      <vt:lpstr>RP 045</vt:lpstr>
      <vt:lpstr>RP 046</vt:lpstr>
      <vt:lpstr>RP 047</vt:lpstr>
      <vt:lpstr>RP 048</vt:lpstr>
      <vt:lpstr>RP 049</vt:lpstr>
      <vt:lpstr>RP 050</vt:lpstr>
      <vt:lpstr>RP 051</vt:lpstr>
      <vt:lpstr>RP 052</vt:lpstr>
      <vt:lpstr>RP 053</vt:lpstr>
      <vt:lpstr>RP 054</vt:lpstr>
      <vt:lpstr>RP 055</vt:lpstr>
      <vt:lpstr>RP 056</vt:lpstr>
      <vt:lpstr>RP 057</vt:lpstr>
      <vt:lpstr>RP 058</vt:lpstr>
      <vt:lpstr>RP 059</vt:lpstr>
      <vt:lpstr>RP 059-1</vt:lpstr>
      <vt:lpstr>RP 059-2</vt:lpstr>
      <vt:lpstr>RP 059-3</vt:lpstr>
      <vt:lpstr>RP 060</vt:lpstr>
      <vt:lpstr>RP 061</vt:lpstr>
      <vt:lpstr>RP 062</vt:lpstr>
      <vt:lpstr>RP 063</vt:lpstr>
      <vt:lpstr>RP 064</vt:lpstr>
      <vt:lpstr>RP 065</vt:lpstr>
      <vt:lpstr>RP 065-1</vt:lpstr>
      <vt:lpstr>RP 065-2</vt:lpstr>
      <vt:lpstr>RP 066</vt:lpstr>
      <vt:lpstr>RP 067</vt:lpstr>
      <vt:lpstr>RP 068</vt:lpstr>
      <vt:lpstr>RP 069</vt:lpstr>
      <vt:lpstr>RP 070</vt:lpstr>
      <vt:lpstr>RP 071</vt:lpstr>
      <vt:lpstr>RP 072</vt:lpstr>
      <vt:lpstr>RP 073</vt:lpstr>
      <vt:lpstr>RP 074</vt:lpstr>
      <vt:lpstr>RP 075</vt:lpstr>
      <vt:lpstr>RP 076</vt:lpstr>
      <vt:lpstr>RP 077</vt:lpstr>
      <vt:lpstr>RP 078</vt:lpstr>
      <vt:lpstr>RP 079</vt:lpstr>
      <vt:lpstr>RP 080</vt:lpstr>
      <vt:lpstr>RP 081</vt:lpstr>
      <vt:lpstr>RP 082</vt:lpstr>
      <vt:lpstr>RP 083</vt:lpstr>
      <vt:lpstr>RP 084</vt:lpstr>
      <vt:lpstr>RP 085</vt:lpstr>
      <vt:lpstr>RP 086</vt:lpstr>
      <vt:lpstr>RP 087</vt:lpstr>
      <vt:lpstr>RP 088</vt:lpstr>
      <vt:lpstr>RP 089</vt:lpstr>
      <vt:lpstr>RP 090</vt:lpstr>
      <vt:lpstr>RP 091</vt:lpstr>
      <vt:lpstr>RP 092</vt:lpstr>
      <vt:lpstr>RP 093</vt:lpstr>
      <vt:lpstr>RP 094</vt:lpstr>
      <vt:lpstr>RP 095</vt:lpstr>
      <vt:lpstr>RP 096</vt:lpstr>
      <vt:lpstr>RP 097</vt:lpstr>
      <vt:lpstr>RP 098</vt:lpstr>
      <vt:lpstr>'RP 098'!OLE_LINK1</vt:lpstr>
      <vt:lpstr>'RP 098'!OLE_LINK2</vt:lpstr>
      <vt:lpstr>'RP 098'!OLE_LINK4</vt:lpstr>
      <vt:lpstr>'RP 098'!OLE_LINK9</vt:lpstr>
      <vt:lpstr>'RP 001'!Print_Area</vt:lpstr>
      <vt:lpstr>'RP 002-1'!Print_Area</vt:lpstr>
      <vt:lpstr>'RP 002-2'!Print_Area</vt:lpstr>
      <vt:lpstr>'RP 003 '!Print_Area</vt:lpstr>
      <vt:lpstr>'RP 004 '!Print_Area</vt:lpstr>
      <vt:lpstr>'RP 005'!Print_Area</vt:lpstr>
      <vt:lpstr>'RP 006'!Print_Area</vt:lpstr>
      <vt:lpstr>'RP 007'!Print_Area</vt:lpstr>
      <vt:lpstr>'RP 008'!Print_Area</vt:lpstr>
      <vt:lpstr>'RP 009'!Print_Area</vt:lpstr>
      <vt:lpstr>'RP 010'!Print_Area</vt:lpstr>
      <vt:lpstr>'RP 011'!Print_Area</vt:lpstr>
      <vt:lpstr>'RP 012'!Print_Area</vt:lpstr>
      <vt:lpstr>'RP 014'!Print_Area</vt:lpstr>
      <vt:lpstr>'RP 015'!Print_Area</vt:lpstr>
      <vt:lpstr>'RP 016'!Print_Area</vt:lpstr>
      <vt:lpstr>'RP 017'!Print_Area</vt:lpstr>
      <vt:lpstr>'RP 019'!Print_Area</vt:lpstr>
      <vt:lpstr>'RP 020-1'!Print_Area</vt:lpstr>
      <vt:lpstr>'RP 020-2'!Print_Area</vt:lpstr>
      <vt:lpstr>'RP 020-3'!Print_Area</vt:lpstr>
      <vt:lpstr>'RP 021'!Print_Area</vt:lpstr>
      <vt:lpstr>'RP 024'!Print_Area</vt:lpstr>
      <vt:lpstr>'RP 025'!Print_Area</vt:lpstr>
      <vt:lpstr>'RP 027'!Print_Area</vt:lpstr>
      <vt:lpstr>'RP 029'!Print_Area</vt:lpstr>
      <vt:lpstr>'RP 031'!Print_Area</vt:lpstr>
      <vt:lpstr>'RP 032'!Print_Area</vt:lpstr>
      <vt:lpstr>'RP 035'!Print_Area</vt:lpstr>
      <vt:lpstr>'RP 036-1'!Print_Area</vt:lpstr>
      <vt:lpstr>'RP 036-2'!Print_Area</vt:lpstr>
      <vt:lpstr>'RP 037-1'!Print_Area</vt:lpstr>
      <vt:lpstr>'RP 037-2'!Print_Area</vt:lpstr>
      <vt:lpstr>'RP 038'!Print_Area</vt:lpstr>
      <vt:lpstr>'RP 041'!Print_Area</vt:lpstr>
      <vt:lpstr>'RP 042'!Print_Area</vt:lpstr>
      <vt:lpstr>'RP 043'!Print_Area</vt:lpstr>
      <vt:lpstr>'RP 044'!Print_Area</vt:lpstr>
      <vt:lpstr>'RP 045'!Print_Area</vt:lpstr>
      <vt:lpstr>'RP 046'!Print_Area</vt:lpstr>
      <vt:lpstr>'RP 047'!Print_Area</vt:lpstr>
      <vt:lpstr>'RP 048'!Print_Area</vt:lpstr>
      <vt:lpstr>'RP 049'!Print_Area</vt:lpstr>
      <vt:lpstr>'RP 051'!Print_Area</vt:lpstr>
      <vt:lpstr>'RP 052'!Print_Area</vt:lpstr>
      <vt:lpstr>'RP 053'!Print_Area</vt:lpstr>
      <vt:lpstr>'RP 054'!Print_Area</vt:lpstr>
      <vt:lpstr>'RP 055'!Print_Area</vt:lpstr>
      <vt:lpstr>'RP 057'!Print_Area</vt:lpstr>
      <vt:lpstr>'RP 058'!Print_Area</vt:lpstr>
      <vt:lpstr>'RP 059-1'!Print_Area</vt:lpstr>
      <vt:lpstr>'RP 059-2'!Print_Area</vt:lpstr>
      <vt:lpstr>'RP 059-3'!Print_Area</vt:lpstr>
      <vt:lpstr>'RP 060'!Print_Area</vt:lpstr>
      <vt:lpstr>'RP 061'!Print_Area</vt:lpstr>
      <vt:lpstr>'RP 062'!Print_Area</vt:lpstr>
      <vt:lpstr>'RP 063'!Print_Area</vt:lpstr>
      <vt:lpstr>'RP 065-1'!Print_Area</vt:lpstr>
      <vt:lpstr>'RP 065-2'!Print_Area</vt:lpstr>
      <vt:lpstr>'RP 066'!Print_Area</vt:lpstr>
      <vt:lpstr>'RP 067'!Print_Area</vt:lpstr>
      <vt:lpstr>'RP 068'!Print_Area</vt:lpstr>
      <vt:lpstr>'RP 069'!Print_Area</vt:lpstr>
      <vt:lpstr>'RP 070'!Print_Area</vt:lpstr>
      <vt:lpstr>'RP 071'!Print_Area</vt:lpstr>
      <vt:lpstr>'RP 072'!Print_Area</vt:lpstr>
      <vt:lpstr>'RP 073'!Print_Area</vt:lpstr>
      <vt:lpstr>'RP 075'!Print_Area</vt:lpstr>
      <vt:lpstr>'RP 076'!Print_Area</vt:lpstr>
      <vt:lpstr>'RP 077'!Print_Area</vt:lpstr>
      <vt:lpstr>'RP 079'!Print_Area</vt:lpstr>
      <vt:lpstr>'RP 081'!Print_Area</vt:lpstr>
      <vt:lpstr>'RP 082'!Print_Area</vt:lpstr>
      <vt:lpstr>'RP 083'!Print_Area</vt:lpstr>
      <vt:lpstr>'RP 084'!Print_Area</vt:lpstr>
      <vt:lpstr>'RP 085'!Print_Area</vt:lpstr>
      <vt:lpstr>'RP 086'!Print_Area</vt:lpstr>
      <vt:lpstr>'RP 087'!Print_Area</vt:lpstr>
      <vt:lpstr>'RP 088'!Print_Area</vt:lpstr>
      <vt:lpstr>'RP 089'!Print_Area</vt:lpstr>
      <vt:lpstr>'RP 090'!Print_Area</vt:lpstr>
      <vt:lpstr>'RP 091'!Print_Area</vt:lpstr>
      <vt:lpstr>'RP 092'!Print_Area</vt:lpstr>
      <vt:lpstr>'RP 094'!Print_Area</vt:lpstr>
      <vt:lpstr>'RP 095'!Print_Area</vt:lpstr>
      <vt:lpstr>'RP 096'!Print_Area</vt:lpstr>
      <vt:lpstr>'RP 097'!Print_Area</vt:lpstr>
      <vt:lpstr>'RP 098'!Print_Area</vt:lpstr>
      <vt:lpstr>基础信息!Print_Area</vt:lpstr>
      <vt:lpstr>目录!Print_Area</vt:lpstr>
      <vt:lpstr>'RP 001'!Print_Titles</vt:lpstr>
      <vt:lpstr>'RP 005'!Print_Titles</vt:lpstr>
      <vt:lpstr>'RP 006'!Print_Titles</vt:lpstr>
      <vt:lpstr>'RP 008'!Print_Titles</vt:lpstr>
      <vt:lpstr>'RP 009'!Print_Titles</vt:lpstr>
      <vt:lpstr>'RP 010'!Print_Titles</vt:lpstr>
      <vt:lpstr>'RP 011'!Print_Titles</vt:lpstr>
      <vt:lpstr>'RP 012'!Print_Titles</vt:lpstr>
      <vt:lpstr>'RP 017'!Print_Titles</vt:lpstr>
      <vt:lpstr>'RP 020-3'!Print_Titles</vt:lpstr>
      <vt:lpstr>'RP 021'!Print_Titles</vt:lpstr>
      <vt:lpstr>'RP 027'!Print_Titles</vt:lpstr>
      <vt:lpstr>'RP 029'!Print_Titles</vt:lpstr>
      <vt:lpstr>'RP 032'!Print_Titles</vt:lpstr>
      <vt:lpstr>'RP 035'!Print_Titles</vt:lpstr>
      <vt:lpstr>'RP 036-1'!Print_Titles</vt:lpstr>
      <vt:lpstr>'RP 041'!Print_Titles</vt:lpstr>
      <vt:lpstr>'RP 042'!Print_Titles</vt:lpstr>
      <vt:lpstr>'RP 043'!Print_Titles</vt:lpstr>
      <vt:lpstr>'RP 044'!Print_Titles</vt:lpstr>
      <vt:lpstr>'RP 045'!Print_Titles</vt:lpstr>
      <vt:lpstr>'RP 046'!Print_Titles</vt:lpstr>
      <vt:lpstr>'RP 047'!Print_Titles</vt:lpstr>
      <vt:lpstr>'RP 048'!Print_Titles</vt:lpstr>
      <vt:lpstr>'RP 049'!Print_Titles</vt:lpstr>
      <vt:lpstr>'RP 051'!Print_Titles</vt:lpstr>
      <vt:lpstr>'RP 053'!Print_Titles</vt:lpstr>
      <vt:lpstr>'RP 054'!Print_Titles</vt:lpstr>
      <vt:lpstr>'RP 055'!Print_Titles</vt:lpstr>
      <vt:lpstr>'RP 057'!Print_Titles</vt:lpstr>
      <vt:lpstr>'RP 058'!Print_Titles</vt:lpstr>
      <vt:lpstr>'RP 059-2'!Print_Titles</vt:lpstr>
      <vt:lpstr>'RP 060'!Print_Titles</vt:lpstr>
      <vt:lpstr>'RP 062'!Print_Titles</vt:lpstr>
      <vt:lpstr>'RP 065-1'!Print_Titles</vt:lpstr>
      <vt:lpstr>'RP 065-2'!Print_Titles</vt:lpstr>
      <vt:lpstr>'RP 067'!Print_Titles</vt:lpstr>
      <vt:lpstr>'RP 070'!Print_Titles</vt:lpstr>
      <vt:lpstr>'RP 071'!Print_Titles</vt:lpstr>
      <vt:lpstr>'RP 075'!Print_Titles</vt:lpstr>
      <vt:lpstr>'RP 076'!Print_Titles</vt:lpstr>
      <vt:lpstr>'RP 077'!Print_Titles</vt:lpstr>
      <vt:lpstr>'RP 079'!Print_Titles</vt:lpstr>
      <vt:lpstr>'RP 081'!Print_Titles</vt:lpstr>
      <vt:lpstr>'RP 082'!Print_Titles</vt:lpstr>
      <vt:lpstr>'RP 083'!Print_Titles</vt:lpstr>
      <vt:lpstr>'RP 084'!Print_Titles</vt:lpstr>
      <vt:lpstr>'RP 085'!Print_Titles</vt:lpstr>
      <vt:lpstr>'RP 086'!Print_Titles</vt:lpstr>
      <vt:lpstr>'RP 087'!Print_Titles</vt:lpstr>
      <vt:lpstr>'RP 088'!Print_Titles</vt:lpstr>
      <vt:lpstr>'RP 089'!Print_Titles</vt:lpstr>
      <vt:lpstr>'RP 090'!Print_Titles</vt:lpstr>
      <vt:lpstr>'RP 091'!Print_Titles</vt:lpstr>
      <vt:lpstr>'RP 092'!Print_Titles</vt:lpstr>
      <vt:lpstr>'RP 093'!Print_Titles</vt:lpstr>
      <vt:lpstr>'RP 094'!Print_Titles</vt:lpstr>
      <vt:lpstr>'RP 095'!Print_Titles</vt:lpstr>
      <vt:lpstr>'RP 096'!Print_Titles</vt:lpstr>
      <vt:lpstr>'RP 097'!Print_Titles</vt:lpstr>
      <vt:lpstr>'RP 098'!Print_Titles</vt:lpstr>
      <vt:lpstr>表头</vt:lpstr>
      <vt:lpstr>复核</vt:lpstr>
      <vt:lpstr>截止</vt:lpstr>
      <vt:lpstr>客户</vt:lpstr>
      <vt:lpstr>日期1</vt:lpstr>
      <vt:lpstr>'RP 003 '!日期2</vt:lpstr>
      <vt:lpstr>'RP 004 '!日期2</vt:lpstr>
      <vt:lpstr>日期2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 Tianpei 韩天佩</dc:creator>
  <cp:lastModifiedBy>Kyria</cp:lastModifiedBy>
  <cp:lastPrinted>2009-12-10T05:21:00Z</cp:lastPrinted>
  <dcterms:created xsi:type="dcterms:W3CDTF">2001-06-27T02:04:00Z</dcterms:created>
  <dcterms:modified xsi:type="dcterms:W3CDTF">2019-09-10T08:38:52Z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