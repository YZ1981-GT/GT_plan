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codeName="ThisWorkbook"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35442BAF-9753-43BD-AA23-D2276F839FD3}" xr6:coauthVersionLast="36" xr6:coauthVersionMax="47" xr10:uidLastSave="{00000000-0000-0000-0000-000000000000}"/>
  <bookViews>
    <workbookView xWindow="-120" yWindow="-120" windowWidth="29040" windowHeight="15528" tabRatio="780" xr2:uid="{00000000-000D-0000-FFFF-FFFF00000000}"/>
  </bookViews>
  <sheets>
    <sheet name="表头（请先填写）" sheetId="1" r:id="rId1"/>
    <sheet name="审计程序S15" sheetId="2" r:id="rId2"/>
    <sheet name="审定表S15-1" sheetId="12" r:id="rId3"/>
    <sheet name="基本每股收益计算表S15-2" sheetId="13" r:id="rId4"/>
    <sheet name="稀释每股收益计算表S15-3" sheetId="14" r:id="rId5"/>
    <sheet name="净资产收益率计算S15-4" sheetId="15" r:id="rId6"/>
  </sheets>
  <externalReferences>
    <externalReference r:id="rId7"/>
    <externalReference r:id="rId8"/>
    <externalReference r:id="rId9"/>
    <externalReference r:id="rId10"/>
    <externalReference r:id="rId11"/>
    <externalReference r:id="rId12"/>
    <externalReference r:id="rId13"/>
  </externalReferences>
  <definedNames>
    <definedName name="_13102" localSheetId="5">#REF!</definedName>
    <definedName name="_13302" localSheetId="5">#REF!</definedName>
    <definedName name="_13398" localSheetId="5">#REF!</definedName>
    <definedName name="_18102" localSheetId="5">#REF!</definedName>
    <definedName name="_18198" localSheetId="5">#REF!</definedName>
    <definedName name="_1其他资产_开办费除外_明细表" localSheetId="5">#REF!</definedName>
    <definedName name="_scn11" localSheetId="5">#REF!</definedName>
    <definedName name="_scn15" localSheetId="5">#REF!</definedName>
    <definedName name="_scn16" localSheetId="5">#REF!</definedName>
    <definedName name="_scn17" localSheetId="5">#REF!</definedName>
    <definedName name="_scn19" localSheetId="5">#REF!</definedName>
    <definedName name="_scn2" localSheetId="5">#REF!</definedName>
    <definedName name="_scn20" localSheetId="5">#REF!</definedName>
    <definedName name="_scn3" localSheetId="5">#REF!</definedName>
    <definedName name="_scn4" localSheetId="5">#REF!</definedName>
    <definedName name="_scn5" localSheetId="5">#REF!</definedName>
    <definedName name="_scn6" localSheetId="5">#REF!</definedName>
    <definedName name="_scn7" localSheetId="5">#REF!</definedName>
    <definedName name="_scn8" localSheetId="5">#REF!</definedName>
    <definedName name="_scn9" localSheetId="5">#REF!</definedName>
    <definedName name="_scq1" localSheetId="5">#REF!</definedName>
    <definedName name="_scq11" localSheetId="5">#REF!</definedName>
    <definedName name="_scq15" localSheetId="5">#REF!</definedName>
    <definedName name="_scq16" localSheetId="5">#REF!</definedName>
    <definedName name="_scq17" localSheetId="5">#REF!</definedName>
    <definedName name="_scq19" localSheetId="5">#REF!</definedName>
    <definedName name="_scq2" localSheetId="5">#REF!</definedName>
    <definedName name="_scq20" localSheetId="5">#REF!</definedName>
    <definedName name="_scq3" localSheetId="5">#REF!</definedName>
    <definedName name="_scq4" localSheetId="5">#REF!</definedName>
    <definedName name="_scq5" localSheetId="5">#REF!</definedName>
    <definedName name="_scq6" localSheetId="5">#REF!</definedName>
    <definedName name="_scq7" localSheetId="5">#REF!</definedName>
    <definedName name="_scq8" localSheetId="5">#REF!</definedName>
    <definedName name="_scq9" localSheetId="5">#REF!</definedName>
    <definedName name="AS2DocOpenMode" hidden="1">"AS2DocumentEdit"</definedName>
    <definedName name="bs" localSheetId="5" hidden="1">{#N/A,#N/A,FALSE,"BBPREP"}</definedName>
    <definedName name="bs" hidden="1">{#N/A,#N/A,FALSE,"BBPREP"}</definedName>
    <definedName name="bs_1" hidden="1">{#N/A,#N/A,FALSE,"BBPREP"}</definedName>
    <definedName name="_xlnm.Database" localSheetId="5">[1]B!#REF!</definedName>
    <definedName name="hv" localSheetId="5">#REF!</definedName>
    <definedName name="L" localSheetId="5" hidden="1">{#N/A,#N/A,FALSE,"BBPREP"}</definedName>
    <definedName name="_xlnm.Print_Area" localSheetId="5">'净资产收益率计算S15-4'!$A$2:$I$40</definedName>
    <definedName name="s" localSheetId="5" hidden="1">{#N/A,#N/A,FALSE,"BBPREP"}</definedName>
    <definedName name="scn" localSheetId="5">#REF!</definedName>
    <definedName name="scq" localSheetId="5">#REF!</definedName>
    <definedName name="ss" localSheetId="5">#REF!</definedName>
    <definedName name="t" localSheetId="5" hidden="1">{#N/A,#N/A,FALSE,"BBPREP"}</definedName>
    <definedName name="TextRefCopy1" localSheetId="5">#REF!</definedName>
    <definedName name="TextRefCopy10" localSheetId="5">#REF!</definedName>
    <definedName name="TextRefCopy100" localSheetId="5">#REF!</definedName>
    <definedName name="TextRefCopy101" localSheetId="5">#REF!</definedName>
    <definedName name="TextRefCopy102" localSheetId="5">#REF!</definedName>
    <definedName name="TextRefCopy103" localSheetId="5">#REF!</definedName>
    <definedName name="TextRefCopy104" localSheetId="5">#REF!</definedName>
    <definedName name="TextRefCopy105" localSheetId="5">#REF!</definedName>
    <definedName name="TextRefCopy106" localSheetId="5">#REF!</definedName>
    <definedName name="TextRefCopy107" localSheetId="5">#REF!</definedName>
    <definedName name="TextRefCopy108" localSheetId="5">#REF!</definedName>
    <definedName name="TextRefCopy109" localSheetId="5">#REF!</definedName>
    <definedName name="TextRefCopy11" localSheetId="5">#REF!</definedName>
    <definedName name="TextRefCopy12" localSheetId="5">#REF!</definedName>
    <definedName name="TextRefCopy120" localSheetId="5">#REF!</definedName>
    <definedName name="TextRefCopy121" localSheetId="5">#REF!</definedName>
    <definedName name="TextRefCopy122" localSheetId="5">#REF!</definedName>
    <definedName name="TextRefCopy123" localSheetId="5">#REF!</definedName>
    <definedName name="TextRefCopy124" localSheetId="5">#REF!</definedName>
    <definedName name="TextRefCopy125" localSheetId="5">#REF!</definedName>
    <definedName name="TextRefCopy126" localSheetId="5">#REF!</definedName>
    <definedName name="TextRefCopy127" localSheetId="5">#REF!</definedName>
    <definedName name="TextRefCopy128" localSheetId="5">#REF!</definedName>
    <definedName name="TextRefCopy129" localSheetId="5">#REF!</definedName>
    <definedName name="TextRefCopy13" localSheetId="5">#REF!</definedName>
    <definedName name="TextRefCopy130" localSheetId="5">#REF!</definedName>
    <definedName name="TextRefCopy131" localSheetId="5">#REF!</definedName>
    <definedName name="TextRefCopy137" localSheetId="5">#REF!</definedName>
    <definedName name="TextRefCopy14" localSheetId="5">#REF!</definedName>
    <definedName name="TextRefCopy149" localSheetId="5">#REF!</definedName>
    <definedName name="TextRefCopy15" localSheetId="5">#REF!</definedName>
    <definedName name="TextRefCopy150" localSheetId="5">#REF!</definedName>
    <definedName name="TextRefCopy151" localSheetId="5">#REF!</definedName>
    <definedName name="TextRefCopy16" localSheetId="5">#REF!</definedName>
    <definedName name="TextRefCopy17" localSheetId="5">#REF!</definedName>
    <definedName name="TextRefCopy18" localSheetId="5">#REF!</definedName>
    <definedName name="TextRefCopy19" localSheetId="5">#REF!</definedName>
    <definedName name="TextRefCopy190" localSheetId="5">#REF!</definedName>
    <definedName name="TextRefCopy191" localSheetId="5">#REF!</definedName>
    <definedName name="TextRefCopy2" localSheetId="5">#REF!</definedName>
    <definedName name="TextRefCopy20" localSheetId="5">#REF!</definedName>
    <definedName name="TextRefCopy21" localSheetId="5">#REF!</definedName>
    <definedName name="TextRefCopy22" localSheetId="5">#REF!</definedName>
    <definedName name="TextRefCopy221" localSheetId="5">'[2]Investment Property'!#REF!</definedName>
    <definedName name="TextRefCopy222" localSheetId="5">'[2]Investment Property'!#REF!</definedName>
    <definedName name="TextRefCopy23" localSheetId="5">#REF!</definedName>
    <definedName name="TextRefCopy24" localSheetId="5">#REF!</definedName>
    <definedName name="TextRefCopy25" localSheetId="5">#REF!</definedName>
    <definedName name="TextRefCopy26" localSheetId="5">#REF!</definedName>
    <definedName name="TextRefCopy27" localSheetId="5">#REF!</definedName>
    <definedName name="TextRefCopy28" localSheetId="5">#REF!</definedName>
    <definedName name="TextRefCopy29" localSheetId="5">#REF!</definedName>
    <definedName name="TextRefCopy3" localSheetId="5">#REF!</definedName>
    <definedName name="TextRefCopy30" localSheetId="5">#REF!</definedName>
    <definedName name="TextRefCopy31" localSheetId="5">#REF!</definedName>
    <definedName name="TextRefCopy32" localSheetId="5">#REF!</definedName>
    <definedName name="TextRefCopy33" localSheetId="5">#REF!</definedName>
    <definedName name="TextRefCopy34" localSheetId="5">#REF!</definedName>
    <definedName name="TextRefCopy35" localSheetId="5">#REF!</definedName>
    <definedName name="TextRefCopy36" localSheetId="5">#REF!</definedName>
    <definedName name="TextRefCopy37" localSheetId="5">#REF!</definedName>
    <definedName name="TextRefCopy38" localSheetId="5">#REF!</definedName>
    <definedName name="TextRefCopy39" localSheetId="5">#REF!</definedName>
    <definedName name="TextRefCopy4" localSheetId="5">#REF!</definedName>
    <definedName name="TextRefCopy40" localSheetId="5">#REF!</definedName>
    <definedName name="TextRefCopy41" localSheetId="5">#REF!</definedName>
    <definedName name="TextRefCopy42" localSheetId="5">#REF!</definedName>
    <definedName name="TextRefCopy43" localSheetId="5">#REF!</definedName>
    <definedName name="TextRefCopy44" localSheetId="5">#REF!</definedName>
    <definedName name="TextRefCopy45" localSheetId="5">#REF!</definedName>
    <definedName name="TextRefCopy46" localSheetId="5">#REF!</definedName>
    <definedName name="TextRefCopy47" localSheetId="5">#REF!</definedName>
    <definedName name="TextRefCopy48" localSheetId="5">#REF!</definedName>
    <definedName name="TextRefCopy49" localSheetId="5">#REF!</definedName>
    <definedName name="TextRefCopy5" localSheetId="5">#REF!</definedName>
    <definedName name="TextRefCopy50" localSheetId="5">#REF!</definedName>
    <definedName name="TextRefCopy51" localSheetId="5">#REF!</definedName>
    <definedName name="TextRefCopy52" localSheetId="5">#REF!</definedName>
    <definedName name="TextRefCopy53" localSheetId="5">#REF!</definedName>
    <definedName name="TextRefCopy54" localSheetId="5">#REF!</definedName>
    <definedName name="TextRefCopy55" localSheetId="5">#REF!</definedName>
    <definedName name="TextRefCopy56" localSheetId="5">#REF!</definedName>
    <definedName name="TextRefCopy57" localSheetId="5">#REF!</definedName>
    <definedName name="TextRefCopy58" localSheetId="5">#REF!</definedName>
    <definedName name="TextRefCopy59" localSheetId="5">#REF!</definedName>
    <definedName name="TextRefCopy6" localSheetId="5">#REF!</definedName>
    <definedName name="TextRefCopy60" localSheetId="5">#REF!</definedName>
    <definedName name="TextRefCopy61" localSheetId="5">#REF!</definedName>
    <definedName name="TextRefCopy62" localSheetId="5">#REF!</definedName>
    <definedName name="TextRefCopy63" localSheetId="5">#REF!</definedName>
    <definedName name="TextRefCopy64" localSheetId="5">#REF!</definedName>
    <definedName name="TextRefCopy65" localSheetId="5">#REF!</definedName>
    <definedName name="TextRefCopy66" localSheetId="5">#REF!</definedName>
    <definedName name="TextRefCopy67" localSheetId="5">#REF!</definedName>
    <definedName name="TextRefCopy68" localSheetId="5">#REF!</definedName>
    <definedName name="TextRefCopy69" localSheetId="5">#REF!</definedName>
    <definedName name="TextRefCopy7" localSheetId="5">#REF!</definedName>
    <definedName name="TextRefCopy70" localSheetId="5">#REF!</definedName>
    <definedName name="TextRefCopy71" localSheetId="5">#REF!</definedName>
    <definedName name="TextRefCopy72" localSheetId="5">#REF!</definedName>
    <definedName name="TextRefCopy73" localSheetId="5">#REF!</definedName>
    <definedName name="TextRefCopy74" localSheetId="5">#REF!</definedName>
    <definedName name="TextRefCopy75" localSheetId="5">#REF!</definedName>
    <definedName name="TextRefCopy76" localSheetId="5">#REF!</definedName>
    <definedName name="TextRefCopy77" localSheetId="5">#REF!</definedName>
    <definedName name="TextRefCopy78" localSheetId="5">#REF!</definedName>
    <definedName name="TextRefCopy79" localSheetId="5">#REF!</definedName>
    <definedName name="TextRefCopy8" localSheetId="5">#REF!</definedName>
    <definedName name="TextRefCopy80" localSheetId="5">#REF!</definedName>
    <definedName name="TextRefCopy81" localSheetId="5">#REF!</definedName>
    <definedName name="TextRefCopy82" localSheetId="5">#REF!</definedName>
    <definedName name="TextRefCopy83" localSheetId="5">#REF!</definedName>
    <definedName name="TextRefCopy84" localSheetId="5">#REF!</definedName>
    <definedName name="TextRefCopy85" localSheetId="5">#REF!</definedName>
    <definedName name="TextRefCopy86" localSheetId="5">#REF!</definedName>
    <definedName name="TextRefCopy87" localSheetId="5">#REF!</definedName>
    <definedName name="TextRefCopy88" localSheetId="5">#REF!</definedName>
    <definedName name="TextRefCopy89" localSheetId="5">#REF!</definedName>
    <definedName name="TextRefCopy9" localSheetId="5">#REF!</definedName>
    <definedName name="TextRefCopy90" localSheetId="5">#REF!</definedName>
    <definedName name="TextRefCopy91" localSheetId="5">#REF!</definedName>
    <definedName name="TextRefCopy92" localSheetId="5">#REF!</definedName>
    <definedName name="TextRefCopy93" localSheetId="5">#REF!</definedName>
    <definedName name="TextRefCopy94" localSheetId="5">#REF!</definedName>
    <definedName name="TextRefCopy95" localSheetId="5">#REF!</definedName>
    <definedName name="TextRefCopy96" localSheetId="5">#REF!</definedName>
    <definedName name="TextRefCopy97" localSheetId="5">#REF!</definedName>
    <definedName name="TextRefCopy98" localSheetId="5">#REF!</definedName>
    <definedName name="TextRefCopy99" localSheetId="5">#REF!</definedName>
    <definedName name="TextRefCopyRangeCount" hidden="1">136</definedName>
    <definedName name="UFPrn20000324091925" localSheetId="5">#REF!</definedName>
    <definedName name="UFPrn20021008134934" localSheetId="5">#REF!</definedName>
    <definedName name="XREF_COLUMN_1" localSheetId="5" hidden="1">#REF!</definedName>
    <definedName name="XREF_COLUMN_1" hidden="1">#REF!</definedName>
    <definedName name="XREF_COLUMN_2" hidden="1">[3]Breakdown!#REF!</definedName>
    <definedName name="XREF_COLUMN_3" hidden="1">#REF!</definedName>
    <definedName name="XREF_COLUMN_5" hidden="1">'[4]2004'!#REF!</definedName>
    <definedName name="XRefActiveRow" localSheetId="5" hidden="1">#REF!</definedName>
    <definedName name="XRefActiveRow" hidden="1">#REF!</definedName>
    <definedName name="XRefColumnsCount" hidden="1">2</definedName>
    <definedName name="XRefCopy1" localSheetId="5" hidden="1">#REF!</definedName>
    <definedName name="XRefCopy1" hidden="1">#REF!</definedName>
    <definedName name="XRefCopy1Row" localSheetId="5" hidden="1">#REF!</definedName>
    <definedName name="XRefCopy1Row" hidden="1">#REF!</definedName>
    <definedName name="XRefCopy2Row" localSheetId="5"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[5]索引!$D$15:$D$76</definedName>
    <definedName name="存货93期初" localSheetId="5">[6]企业表一!$C$7</definedName>
    <definedName name="存货93期末" localSheetId="5">[6]企业表一!$D$7</definedName>
    <definedName name="存货94期初" localSheetId="5">[6]企业表一!$E$7</definedName>
    <definedName name="存货94期末" localSheetId="5">[6]企业表一!$F$7</definedName>
    <definedName name="存货95期初" localSheetId="5">[6]企业表一!$G$7</definedName>
    <definedName name="存货95期末" localSheetId="5">[6]企业表一!$H$7</definedName>
    <definedName name="待处理固定资产净损失明细表" localSheetId="5">#REF!</definedName>
    <definedName name="短期投资_债券_明细表" localSheetId="5">#REF!</definedName>
    <definedName name="负债合计93期末" localSheetId="5">[6]企业表一!$D$17</definedName>
    <definedName name="负债合计94期末" localSheetId="5">[6]企业表一!$F$17</definedName>
    <definedName name="负债合计95期末" localSheetId="5">[6]企业表一!$H$17</definedName>
    <definedName name="管理费用明细表" localSheetId="5">#REF!</definedName>
    <definedName name="合并价差明细表" localSheetId="5">#REF!</definedName>
    <definedName name="汇率" localSheetId="5">#REF!</definedName>
    <definedName name="净_利_润93" localSheetId="5">'[6]M-5C'!$B$24</definedName>
    <definedName name="净_利_润94" localSheetId="5">'[6]M-5C'!$D$24</definedName>
    <definedName name="净_利_润95" localSheetId="5">'[6]M-5C'!$F$24</definedName>
    <definedName name="净资产合计93期初" localSheetId="5">[6]企业表一!$C$20</definedName>
    <definedName name="净资产合计93期末" localSheetId="5">[6]企业表一!$D$20</definedName>
    <definedName name="净资产合计94期初" localSheetId="5">[6]企业表一!$E$20</definedName>
    <definedName name="净资产合计94期末" localSheetId="5">[6]企业表一!$F$20</definedName>
    <definedName name="净资产合计95期初" localSheetId="5">[6]企业表一!$G$20</definedName>
    <definedName name="净资产合计95期末" localSheetId="5">[6]企业表一!$H$20</definedName>
    <definedName name="开办费明细表" localSheetId="5">#REF!</definedName>
    <definedName name="累计折旧明细表" localSheetId="5">#REF!</definedName>
    <definedName name="利_润_总_额93" localSheetId="5">'[6]M-5A'!$B$10</definedName>
    <definedName name="利_润_总_额94" localSheetId="5">'[6]M-5A'!$C$10</definedName>
    <definedName name="利_润_总_额95" localSheetId="5">'[6]M-5A'!$D$10</definedName>
    <definedName name="流_动_资_产93" localSheetId="5">'[6]M-5A'!$B$15</definedName>
    <definedName name="流_动_资_产94" localSheetId="5">'[6]M-5A'!$C$15</definedName>
    <definedName name="流_动_资_产95" localSheetId="5">'[6]M-5A'!$D$15</definedName>
    <definedName name="流动负债93期末" localSheetId="5">[6]企业表一!$D$15</definedName>
    <definedName name="流动负债94期末" localSheetId="5">[6]企业表一!$F$15</definedName>
    <definedName name="流动负债95期末" localSheetId="5">[6]企业表一!$H$15</definedName>
    <definedName name="其他货币资金明细表" localSheetId="5">#REF!</definedName>
    <definedName name="其他未交款明细表" localSheetId="5">#REF!</definedName>
    <definedName name="其他应付款明细表" localSheetId="5">#REF!</definedName>
    <definedName name="其他应收款明细表" localSheetId="5">#REF!</definedName>
    <definedName name="生产列1" localSheetId="5">#REF!</definedName>
    <definedName name="生产列11" localSheetId="5">#REF!</definedName>
    <definedName name="生产列15" localSheetId="5">#REF!</definedName>
    <definedName name="生产列16" localSheetId="5">#REF!</definedName>
    <definedName name="生产列17" localSheetId="5">#REF!</definedName>
    <definedName name="生产列19" localSheetId="5">#REF!</definedName>
    <definedName name="生产列2" localSheetId="5">#REF!</definedName>
    <definedName name="生产列20" localSheetId="5">#REF!</definedName>
    <definedName name="生产列3" localSheetId="5">#REF!</definedName>
    <definedName name="生产列4" localSheetId="5">#REF!</definedName>
    <definedName name="生产列5" localSheetId="5">#REF!</definedName>
    <definedName name="生产列6" localSheetId="5">#REF!</definedName>
    <definedName name="生产列7" localSheetId="5">#REF!</definedName>
    <definedName name="生产列8" localSheetId="5">#REF!</definedName>
    <definedName name="生产列9" localSheetId="5">#REF!</definedName>
    <definedName name="生产期" localSheetId="5">#REF!</definedName>
    <definedName name="生产期1" localSheetId="5">#REF!</definedName>
    <definedName name="生产期11" localSheetId="5">#REF!</definedName>
    <definedName name="生产期15" localSheetId="5">#REF!</definedName>
    <definedName name="生产期16" localSheetId="5">#REF!</definedName>
    <definedName name="生产期17" localSheetId="5">#REF!</definedName>
    <definedName name="生产期19" localSheetId="5">#REF!</definedName>
    <definedName name="生产期2" localSheetId="5">#REF!</definedName>
    <definedName name="生产期20" localSheetId="5">#REF!</definedName>
    <definedName name="生产期3" localSheetId="5">#REF!</definedName>
    <definedName name="生产期4" localSheetId="5">#REF!</definedName>
    <definedName name="生产期5" localSheetId="5">#REF!</definedName>
    <definedName name="生产期6" localSheetId="5">#REF!</definedName>
    <definedName name="生产期7" localSheetId="5">#REF!</definedName>
    <definedName name="生产期8" localSheetId="5">#REF!</definedName>
    <definedName name="生产期9" localSheetId="5">#REF!</definedName>
    <definedName name="速_动_资_产93" localSheetId="5">'[6]M-5A'!$B$14</definedName>
    <definedName name="速_动_资_产94" localSheetId="5">'[6]M-5A'!$C$14</definedName>
    <definedName name="速_动_资_产95" localSheetId="5">'[6]M-5A'!$D$14</definedName>
    <definedName name="未交税金明细表" localSheetId="5">#REF!</definedName>
    <definedName name="无对应明细表的报表项目" localSheetId="5">#REF!</definedName>
    <definedName name="以前年度损益调整明细表" localSheetId="5">#REF!</definedName>
    <definedName name="银行存款" localSheetId="5">[7]银行借款询证!#REF!</definedName>
    <definedName name="应付票据明细表" localSheetId="5">#REF!</definedName>
    <definedName name="应收帐款93期初" localSheetId="5">[6]企业表一!$C$6</definedName>
    <definedName name="应收帐款93期末" localSheetId="5">[6]企业表一!$D$6</definedName>
    <definedName name="应收帐款94期初" localSheetId="5">[6]企业表一!$E$6</definedName>
    <definedName name="应收帐款94期末" localSheetId="5">[6]企业表一!$F$6</definedName>
    <definedName name="应收帐款95期初" localSheetId="5">[6]企业表一!$G$6</definedName>
    <definedName name="应收帐款95期末" localSheetId="5">[6]企业表一!$H$6</definedName>
    <definedName name="营业外支出明细表" localSheetId="5">#REF!</definedName>
    <definedName name="预付帐款明细表" localSheetId="5">#REF!</definedName>
    <definedName name="预收货款明细表" localSheetId="5">#REF!</definedName>
    <definedName name="预提费用明细表" localSheetId="5">#REF!</definedName>
    <definedName name="资产合计93期初" localSheetId="5">[6]企业表一!$C$14</definedName>
    <definedName name="资产合计93期末" localSheetId="5">[6]企业表一!$D$14</definedName>
    <definedName name="资产合计94期初" localSheetId="5">[6]企业表一!$E$14</definedName>
    <definedName name="资产合计94期末" localSheetId="5">[6]企业表一!$F$14</definedName>
    <definedName name="资产合计95期初" localSheetId="5">[6]企业表一!$G$14</definedName>
    <definedName name="资产合计95期末" localSheetId="5">[6]企业表一!$H$14</definedName>
  </definedNames>
  <calcPr calcId="191029"/>
</workbook>
</file>

<file path=xl/calcChain.xml><?xml version="1.0" encoding="utf-8"?>
<calcChain xmlns="http://schemas.openxmlformats.org/spreadsheetml/2006/main">
  <c r="D11" i="15" l="1"/>
  <c r="D26" i="15" s="1"/>
  <c r="D45" i="15" s="1"/>
  <c r="C28" i="15"/>
  <c r="D30" i="15" s="1"/>
  <c r="D36" i="15" s="1"/>
  <c r="D18" i="15"/>
  <c r="C11" i="15"/>
  <c r="C12" i="15"/>
  <c r="C18" i="15"/>
  <c r="D3" i="14"/>
  <c r="B3" i="14"/>
  <c r="D3" i="13"/>
  <c r="B3" i="13"/>
  <c r="C3" i="12"/>
  <c r="B3" i="12"/>
  <c r="E3" i="2"/>
  <c r="C3" i="2"/>
  <c r="F8" i="13"/>
  <c r="D8" i="13"/>
  <c r="A4" i="14"/>
  <c r="A3" i="14"/>
  <c r="A4" i="13"/>
  <c r="A3" i="13"/>
  <c r="A4" i="12"/>
  <c r="A3" i="12"/>
  <c r="A4" i="2"/>
  <c r="A3" i="2"/>
  <c r="C15" i="15"/>
  <c r="C26" i="15" s="1"/>
  <c r="C45" i="15"/>
  <c r="C36" i="15"/>
  <c r="F4" i="15" s="1"/>
  <c r="C5" i="15"/>
  <c r="C4" i="15"/>
  <c r="G4" i="15"/>
  <c r="G45" i="15" l="1"/>
  <c r="F45" i="15"/>
  <c r="D5" i="15"/>
  <c r="D4" i="15"/>
  <c r="F5" i="15"/>
  <c r="G5" i="15"/>
  <c r="D12" i="15"/>
  <c r="G46" i="15" l="1"/>
  <c r="D46" i="15"/>
  <c r="C46" i="15"/>
  <c r="F4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Liufs</author>
  </authors>
  <commentList>
    <comment ref="A3" authorId="0" shapeId="0" xr:uid="{00000000-0006-0000-0000-000001000000}">
      <text>
        <r>
          <rPr>
            <b/>
            <sz val="9"/>
            <color indexed="81"/>
            <rFont val="宋体"/>
            <family val="3"/>
            <charset val="134"/>
          </rPr>
          <t>Liufs:</t>
        </r>
        <r>
          <rPr>
            <sz val="9"/>
            <color indexed="81"/>
            <rFont val="宋体"/>
            <family val="3"/>
            <charset val="134"/>
          </rPr>
          <t xml:space="preserve">
或，2009年1-9月 等</t>
        </r>
      </text>
    </comment>
  </commentList>
</comments>
</file>

<file path=xl/sharedStrings.xml><?xml version="1.0" encoding="utf-8"?>
<sst xmlns="http://schemas.openxmlformats.org/spreadsheetml/2006/main" count="237" uniqueCount="207">
  <si>
    <t>复核人：</t>
  </si>
  <si>
    <t>索引号：</t>
  </si>
  <si>
    <t>日期：</t>
  </si>
  <si>
    <t>每股收益的计算</t>
  </si>
  <si>
    <t>计算</t>
  </si>
  <si>
    <t>b4</t>
  </si>
  <si>
    <t>报告期利润</t>
  </si>
  <si>
    <t>每股收益</t>
  </si>
  <si>
    <t>基本每股收益</t>
  </si>
  <si>
    <t>稀释每股收益</t>
  </si>
  <si>
    <t>归属于公司普通股股东的净利润</t>
  </si>
  <si>
    <t>a2</t>
  </si>
  <si>
    <t>a2/b</t>
  </si>
  <si>
    <t>a2/f</t>
  </si>
  <si>
    <t>底稿开列时，可先在以下单元格填写有关内容，以便其他底稿引用有关数据：</t>
    <phoneticPr fontId="11" type="noConversion"/>
  </si>
  <si>
    <t>客户名称：</t>
    <phoneticPr fontId="11" type="noConversion"/>
  </si>
  <si>
    <t>序号</t>
    <phoneticPr fontId="11" type="noConversion"/>
  </si>
  <si>
    <t>内  容</t>
    <phoneticPr fontId="11" type="noConversion"/>
  </si>
  <si>
    <t>性质</t>
    <phoneticPr fontId="11" type="noConversion"/>
  </si>
  <si>
    <t>审计程序</t>
    <phoneticPr fontId="11" type="noConversion"/>
  </si>
  <si>
    <t>编制人：</t>
    <phoneticPr fontId="11" type="noConversion"/>
  </si>
  <si>
    <t>审定表</t>
    <phoneticPr fontId="11" type="noConversion"/>
  </si>
  <si>
    <t>日期：</t>
    <phoneticPr fontId="11"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</si>
  <si>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</si>
  <si>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</si>
  <si>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11" type="noConversion"/>
  </si>
  <si>
    <t>按自然顺序依次编制索引号，并通过唯一的索引号将审计程序表中的特定程序与相关</t>
    <phoneticPr fontId="11" type="noConversion"/>
  </si>
  <si>
    <t>支持性工作底稿进行一一对应。</t>
    <phoneticPr fontId="11" type="noConversion"/>
  </si>
  <si>
    <t>每股收益审定表</t>
    <phoneticPr fontId="11" type="noConversion"/>
  </si>
  <si>
    <r>
      <t>页</t>
    </r>
    <r>
      <rPr>
        <sz val="10"/>
        <rFont val="Arial Narrow"/>
        <family val="2"/>
      </rPr>
      <t xml:space="preserve">    </t>
    </r>
    <r>
      <rPr>
        <sz val="10"/>
        <rFont val="宋体"/>
        <family val="3"/>
        <charset val="134"/>
      </rPr>
      <t>次：</t>
    </r>
    <phoneticPr fontId="11" type="noConversion"/>
  </si>
  <si>
    <t>扣除非经常性损益后归属于公司普通股股东的净利润</t>
    <phoneticPr fontId="11" type="noConversion"/>
  </si>
  <si>
    <t>基本每股收益计算表</t>
    <phoneticPr fontId="11" type="noConversion"/>
  </si>
  <si>
    <r>
      <t>页</t>
    </r>
    <r>
      <rPr>
        <sz val="10"/>
        <rFont val="Arial Narrow"/>
        <family val="2"/>
      </rPr>
      <t xml:space="preserve">    </t>
    </r>
    <r>
      <rPr>
        <sz val="10"/>
        <rFont val="宋体"/>
        <family val="3"/>
        <charset val="134"/>
      </rPr>
      <t>次：</t>
    </r>
    <phoneticPr fontId="11" type="noConversion"/>
  </si>
  <si>
    <r>
      <t>1.</t>
    </r>
    <r>
      <rPr>
        <sz val="10"/>
        <rFont val="宋体"/>
        <family val="3"/>
        <charset val="134"/>
      </rPr>
      <t>归属于母公司普通股股东的净利润</t>
    </r>
    <phoneticPr fontId="11" type="noConversion"/>
  </si>
  <si>
    <t>a1</t>
    <phoneticPr fontId="11" type="noConversion"/>
  </si>
  <si>
    <r>
      <t>2.</t>
    </r>
    <r>
      <rPr>
        <sz val="10"/>
        <rFont val="宋体"/>
        <family val="3"/>
        <charset val="134"/>
      </rPr>
      <t>扣除非经常性损益后归属于母公司普通股股东的净利润</t>
    </r>
    <phoneticPr fontId="11" type="noConversion"/>
  </si>
  <si>
    <r>
      <t>3.</t>
    </r>
    <r>
      <rPr>
        <sz val="10"/>
        <rFont val="宋体"/>
        <family val="3"/>
        <charset val="134"/>
      </rPr>
      <t>母公司发行在外普通股的加权平均数</t>
    </r>
    <phoneticPr fontId="11" type="noConversion"/>
  </si>
  <si>
    <t>b=b0+b1+b2-b3-b4</t>
    <phoneticPr fontId="11" type="noConversion"/>
  </si>
  <si>
    <r>
      <t>3.1</t>
    </r>
    <r>
      <rPr>
        <sz val="10"/>
        <rFont val="宋体"/>
        <family val="3"/>
        <charset val="134"/>
      </rPr>
      <t>期初股份总数</t>
    </r>
    <phoneticPr fontId="11" type="noConversion"/>
  </si>
  <si>
    <t>b0</t>
    <phoneticPr fontId="11" type="noConversion"/>
  </si>
  <si>
    <r>
      <t>3.2</t>
    </r>
    <r>
      <rPr>
        <sz val="10"/>
        <rFont val="宋体"/>
        <family val="3"/>
        <charset val="134"/>
      </rPr>
      <t>报告期因公积金转增股本或股票股利分配等增加股份数</t>
    </r>
    <phoneticPr fontId="11" type="noConversion"/>
  </si>
  <si>
    <t>b1</t>
    <phoneticPr fontId="11" type="noConversion"/>
  </si>
  <si>
    <r>
      <t>3.3</t>
    </r>
    <r>
      <rPr>
        <sz val="10"/>
        <rFont val="宋体"/>
        <family val="3"/>
        <charset val="134"/>
      </rPr>
      <t>报告期因发行新股或债转股等增加股份的加权平均数</t>
    </r>
    <phoneticPr fontId="11" type="noConversion"/>
  </si>
  <si>
    <t>b2</t>
    <phoneticPr fontId="11" type="noConversion"/>
  </si>
  <si>
    <r>
      <t>3.3.1</t>
    </r>
    <r>
      <rPr>
        <sz val="10"/>
        <rFont val="宋体"/>
        <family val="3"/>
        <charset val="134"/>
      </rPr>
      <t>发行新股增加股份的加权平均数</t>
    </r>
    <phoneticPr fontId="11" type="noConversion"/>
  </si>
  <si>
    <t>c=c1*c2/m0</t>
    <phoneticPr fontId="11" type="noConversion"/>
  </si>
  <si>
    <t>c1</t>
    <phoneticPr fontId="11" type="noConversion"/>
  </si>
  <si>
    <t>c2</t>
    <phoneticPr fontId="11" type="noConversion"/>
  </si>
  <si>
    <t>d=d1*d2/m0</t>
    <phoneticPr fontId="11" type="noConversion"/>
  </si>
  <si>
    <r>
      <t>3.3.2.1</t>
    </r>
    <r>
      <rPr>
        <sz val="10"/>
        <rFont val="宋体"/>
        <family val="3"/>
        <charset val="134"/>
      </rPr>
      <t>债转股增加的股份数</t>
    </r>
    <phoneticPr fontId="11" type="noConversion"/>
  </si>
  <si>
    <t>d1</t>
    <phoneticPr fontId="11" type="noConversion"/>
  </si>
  <si>
    <r>
      <t>3.3.2.2</t>
    </r>
    <r>
      <rPr>
        <sz val="10"/>
        <rFont val="宋体"/>
        <family val="3"/>
        <charset val="134"/>
      </rPr>
      <t>债转股下一月份起至报告期末的月份数</t>
    </r>
    <phoneticPr fontId="11" type="noConversion"/>
  </si>
  <si>
    <t>d2</t>
    <phoneticPr fontId="11" type="noConversion"/>
  </si>
  <si>
    <t>b3=e1*e2/mo</t>
    <phoneticPr fontId="11" type="noConversion"/>
  </si>
  <si>
    <t>e1</t>
    <phoneticPr fontId="11" type="noConversion"/>
  </si>
  <si>
    <t>e2</t>
    <phoneticPr fontId="11" type="noConversion"/>
  </si>
  <si>
    <r>
      <t>4.</t>
    </r>
    <r>
      <rPr>
        <sz val="10"/>
        <rFont val="宋体"/>
        <family val="3"/>
        <charset val="134"/>
      </rPr>
      <t>报告期月份数</t>
    </r>
    <phoneticPr fontId="11" type="noConversion"/>
  </si>
  <si>
    <t>m0</t>
    <phoneticPr fontId="11" type="noConversion"/>
  </si>
  <si>
    <r>
      <t>5.</t>
    </r>
    <r>
      <rPr>
        <sz val="10"/>
        <rFont val="宋体"/>
        <family val="3"/>
        <charset val="134"/>
      </rPr>
      <t>基本每股收益</t>
    </r>
    <phoneticPr fontId="11" type="noConversion"/>
  </si>
  <si>
    <t>a1/b</t>
    <phoneticPr fontId="11" type="noConversion"/>
  </si>
  <si>
    <r>
      <t>6.</t>
    </r>
    <r>
      <rPr>
        <sz val="10"/>
        <rFont val="宋体"/>
        <family val="3"/>
        <charset val="134"/>
      </rPr>
      <t>基本每股收益（扣除非经常性损益）</t>
    </r>
    <phoneticPr fontId="11" type="noConversion"/>
  </si>
  <si>
    <r>
      <t>7.</t>
    </r>
    <r>
      <rPr>
        <sz val="10"/>
        <rFont val="宋体"/>
        <family val="3"/>
        <charset val="134"/>
      </rPr>
      <t>配股对基本每股收益的调整</t>
    </r>
    <phoneticPr fontId="11" type="noConversion"/>
  </si>
  <si>
    <t>f</t>
    <phoneticPr fontId="11" type="noConversion"/>
  </si>
  <si>
    <t>a1/f</t>
    <phoneticPr fontId="11" type="noConversion"/>
  </si>
  <si>
    <r>
      <t xml:space="preserve">  </t>
    </r>
    <r>
      <rPr>
        <sz val="10"/>
        <rFont val="宋体"/>
        <family val="3"/>
        <charset val="134"/>
      </rPr>
      <t>可转换公司债券增加的普通股股数</t>
    </r>
    <r>
      <rPr>
        <sz val="10"/>
        <rFont val="Arial Narrow"/>
        <family val="2"/>
      </rPr>
      <t>=</t>
    </r>
    <r>
      <rPr>
        <sz val="10"/>
        <rFont val="宋体"/>
        <family val="3"/>
        <charset val="134"/>
      </rPr>
      <t>可转换公司债券总额</t>
    </r>
    <r>
      <rPr>
        <sz val="10"/>
        <rFont val="Arial Narrow"/>
        <family val="2"/>
      </rPr>
      <t>/</t>
    </r>
    <r>
      <rPr>
        <sz val="10"/>
        <rFont val="宋体"/>
        <family val="3"/>
        <charset val="134"/>
      </rPr>
      <t>转股价格</t>
    </r>
    <phoneticPr fontId="11" type="noConversion"/>
  </si>
  <si>
    <r>
      <t xml:space="preserve">  </t>
    </r>
    <r>
      <rPr>
        <sz val="10"/>
        <rFont val="宋体"/>
        <family val="3"/>
        <charset val="134"/>
      </rPr>
      <t>股份回购增加的普通股股数＝回购价格</t>
    </r>
    <r>
      <rPr>
        <sz val="10"/>
        <rFont val="Arial Narrow"/>
        <family val="2"/>
      </rPr>
      <t>×</t>
    </r>
    <r>
      <rPr>
        <sz val="10"/>
        <rFont val="宋体"/>
        <family val="3"/>
        <charset val="134"/>
      </rPr>
      <t>承诺回购的普通股股数</t>
    </r>
    <r>
      <rPr>
        <sz val="10"/>
        <rFont val="Arial Narrow"/>
        <family val="2"/>
      </rPr>
      <t>÷</t>
    </r>
    <r>
      <rPr>
        <sz val="10"/>
        <rFont val="宋体"/>
        <family val="3"/>
        <charset val="134"/>
      </rPr>
      <t>当期普通股平均市场价格－承诺回购的普通股股数</t>
    </r>
    <phoneticPr fontId="11" type="noConversion"/>
  </si>
  <si>
    <t>净资产收益率</t>
  </si>
  <si>
    <t>全面摊薄</t>
  </si>
  <si>
    <t>加权平均</t>
  </si>
  <si>
    <t>期末净资产</t>
  </si>
  <si>
    <t>加权平均净资产测算</t>
  </si>
  <si>
    <t>计算表</t>
    <phoneticPr fontId="11" type="noConversion"/>
  </si>
  <si>
    <t>基本每股收益</t>
    <phoneticPr fontId="15" type="noConversion"/>
  </si>
  <si>
    <t>稀释每股收益</t>
    <phoneticPr fontId="15" type="noConversion"/>
  </si>
  <si>
    <t>归属于公司普通股股东的净利润</t>
    <phoneticPr fontId="15" type="noConversion"/>
  </si>
  <si>
    <r>
      <t>扣除非经常性损益后归属于公司普通股股东的净利润</t>
    </r>
    <r>
      <rPr>
        <sz val="10"/>
        <rFont val="Arial Narrow"/>
        <family val="2"/>
      </rPr>
      <t xml:space="preserve"> </t>
    </r>
    <phoneticPr fontId="15" type="noConversion"/>
  </si>
  <si>
    <t>项目</t>
    <phoneticPr fontId="15" type="noConversion"/>
  </si>
  <si>
    <t>本年数据</t>
    <phoneticPr fontId="15" type="noConversion"/>
  </si>
  <si>
    <t>上年数据</t>
    <phoneticPr fontId="15" type="noConversion"/>
  </si>
  <si>
    <t>归属于母公司股东的净利润</t>
    <phoneticPr fontId="15" type="noConversion"/>
  </si>
  <si>
    <t>减项</t>
    <phoneticPr fontId="15" type="noConversion"/>
  </si>
  <si>
    <t>已确认为费用的稀释性潜在普通股利息</t>
    <phoneticPr fontId="15" type="noConversion"/>
  </si>
  <si>
    <r>
      <t>归属于公司普通股股东的净利润</t>
    </r>
    <r>
      <rPr>
        <sz val="10"/>
        <rFont val="Arial Narrow"/>
        <family val="2"/>
      </rPr>
      <t>NP</t>
    </r>
    <phoneticPr fontId="15" type="noConversion"/>
  </si>
  <si>
    <r>
      <t>扣除非经常性损益后归属于公司普通股股东的净利润</t>
    </r>
    <r>
      <rPr>
        <sz val="10"/>
        <rFont val="Arial Narrow"/>
        <family val="2"/>
      </rPr>
      <t>P</t>
    </r>
    <phoneticPr fontId="15" type="noConversion"/>
  </si>
  <si>
    <t>转换费用</t>
    <phoneticPr fontId="15" type="noConversion"/>
  </si>
  <si>
    <t>非经常性损益（母＋子公司中母普通股股东所占份额）</t>
    <phoneticPr fontId="15" type="noConversion"/>
  </si>
  <si>
    <t>所得税率</t>
    <phoneticPr fontId="15" type="noConversion"/>
  </si>
  <si>
    <r>
      <t>归属于公司普通股股东的期初净资产</t>
    </r>
    <r>
      <rPr>
        <sz val="10"/>
        <rFont val="Arial Narrow"/>
        <family val="2"/>
      </rPr>
      <t>E0</t>
    </r>
    <phoneticPr fontId="15" type="noConversion"/>
  </si>
  <si>
    <t>少数股东权益</t>
    <phoneticPr fontId="15" type="noConversion"/>
  </si>
  <si>
    <r>
      <t>归属于公司普通股股东的期末净资产</t>
    </r>
    <r>
      <rPr>
        <sz val="10"/>
        <rFont val="Arial Narrow"/>
        <family val="2"/>
      </rPr>
      <t>E</t>
    </r>
    <phoneticPr fontId="15" type="noConversion"/>
  </si>
  <si>
    <r>
      <t>报告期月份数</t>
    </r>
    <r>
      <rPr>
        <sz val="10"/>
        <rFont val="Arial Narrow"/>
        <family val="2"/>
      </rPr>
      <t>M0</t>
    </r>
    <phoneticPr fontId="15" type="noConversion"/>
  </si>
  <si>
    <r>
      <t>发行新股或债转股等新增的、归属于公司普通股股东的净资产</t>
    </r>
    <r>
      <rPr>
        <sz val="10"/>
        <rFont val="Arial Narrow"/>
        <family val="2"/>
      </rPr>
      <t>Ei</t>
    </r>
    <phoneticPr fontId="15" type="noConversion"/>
  </si>
  <si>
    <r>
      <t>全面摊薄净资产收益率＝</t>
    </r>
    <r>
      <rPr>
        <sz val="10"/>
        <rFont val="Arial Narrow"/>
        <family val="2"/>
      </rPr>
      <t>P÷E</t>
    </r>
    <phoneticPr fontId="15" type="noConversion"/>
  </si>
  <si>
    <r>
      <t>新增净资产下一个月份至报告期期末的月份</t>
    </r>
    <r>
      <rPr>
        <sz val="10"/>
        <rFont val="Arial Narrow"/>
        <family val="2"/>
      </rPr>
      <t>Mi</t>
    </r>
    <phoneticPr fontId="15" type="noConversion"/>
  </si>
  <si>
    <r>
      <t>回购或现金分红等减少的、归属于公司普通股股东的净资产</t>
    </r>
    <r>
      <rPr>
        <sz val="10"/>
        <rFont val="Arial Narrow"/>
        <family val="2"/>
      </rPr>
      <t>Ej</t>
    </r>
    <phoneticPr fontId="15" type="noConversion"/>
  </si>
  <si>
    <t>加权平均净资产收益率：</t>
    <phoneticPr fontId="15" type="noConversion"/>
  </si>
  <si>
    <r>
      <t>减少净资产下一个月份至报告期期末的月份</t>
    </r>
    <r>
      <rPr>
        <sz val="10"/>
        <rFont val="Arial Narrow"/>
        <family val="2"/>
      </rPr>
      <t>Mj</t>
    </r>
    <phoneticPr fontId="15" type="noConversion"/>
  </si>
  <si>
    <t>P</t>
    <phoneticPr fontId="15" type="noConversion"/>
  </si>
  <si>
    <r>
      <t>其他交易或事项引起的净资产增减变动</t>
    </r>
    <r>
      <rPr>
        <sz val="10"/>
        <rFont val="Arial Narrow"/>
        <family val="2"/>
      </rPr>
      <t>Ek</t>
    </r>
    <phoneticPr fontId="15" type="noConversion"/>
  </si>
  <si>
    <t>ROE = ——————————————————</t>
    <phoneticPr fontId="15" type="noConversion"/>
  </si>
  <si>
    <r>
      <t>发生其他净资产增减变动下一月份起至报告期期末的月份数</t>
    </r>
    <r>
      <rPr>
        <sz val="10"/>
        <rFont val="Arial Narrow"/>
        <family val="2"/>
      </rPr>
      <t>Mk</t>
    </r>
    <phoneticPr fontId="15" type="noConversion"/>
  </si>
  <si>
    <t>E0 + NP÷2 + Ei×Mi÷M0 - Ej×Mj÷M0±Ek×Mk÷M0</t>
    <phoneticPr fontId="15" type="noConversion"/>
  </si>
  <si>
    <r>
      <t>期初股份总数</t>
    </r>
    <r>
      <rPr>
        <sz val="10"/>
        <rFont val="Arial Narrow"/>
        <family val="2"/>
      </rPr>
      <t>S0</t>
    </r>
    <phoneticPr fontId="15" type="noConversion"/>
  </si>
  <si>
    <t>期末股份总数</t>
    <phoneticPr fontId="15" type="noConversion"/>
  </si>
  <si>
    <r>
      <t>公积金转增股本或股票股利分配等增加股份数</t>
    </r>
    <r>
      <rPr>
        <sz val="10"/>
        <rFont val="Arial Narrow"/>
        <family val="2"/>
      </rPr>
      <t>S1</t>
    </r>
    <phoneticPr fontId="15" type="noConversion"/>
  </si>
  <si>
    <t>稀释性普通股</t>
    <phoneticPr fontId="15" type="noConversion"/>
  </si>
  <si>
    <r>
      <t>发行新股或债转股等增加股份数</t>
    </r>
    <r>
      <rPr>
        <sz val="10"/>
        <rFont val="Arial Narrow"/>
        <family val="2"/>
      </rPr>
      <t>Si</t>
    </r>
    <phoneticPr fontId="15" type="noConversion"/>
  </si>
  <si>
    <r>
      <t>增加股份下一月份起至报告期期末的月份数</t>
    </r>
    <r>
      <rPr>
        <sz val="10"/>
        <rFont val="Arial Narrow"/>
        <family val="2"/>
      </rPr>
      <t>Mi</t>
    </r>
    <phoneticPr fontId="15" type="noConversion"/>
  </si>
  <si>
    <r>
      <t>回购或缩股等减少股份数</t>
    </r>
    <r>
      <rPr>
        <sz val="10"/>
        <rFont val="Arial Narrow"/>
        <family val="2"/>
      </rPr>
      <t>Sj</t>
    </r>
    <phoneticPr fontId="15" type="noConversion"/>
  </si>
  <si>
    <r>
      <t>减少股份下一月份起至报告期期末的月份数</t>
    </r>
    <r>
      <rPr>
        <sz val="10"/>
        <rFont val="Arial Narrow"/>
        <family val="2"/>
      </rPr>
      <t>Mj</t>
    </r>
    <phoneticPr fontId="15" type="noConversion"/>
  </si>
  <si>
    <r>
      <t>为报告期缩股数</t>
    </r>
    <r>
      <rPr>
        <sz val="10"/>
        <rFont val="Arial Narrow"/>
        <family val="2"/>
      </rPr>
      <t>Sk</t>
    </r>
    <phoneticPr fontId="15" type="noConversion"/>
  </si>
  <si>
    <r>
      <t>发行在外的普通股加权平均数</t>
    </r>
    <r>
      <rPr>
        <sz val="10"/>
        <rFont val="Arial Narrow"/>
        <family val="2"/>
      </rPr>
      <t>S</t>
    </r>
    <phoneticPr fontId="15" type="noConversion"/>
  </si>
  <si>
    <t>稀释每股收益：</t>
    <phoneticPr fontId="15" type="noConversion"/>
  </si>
  <si>
    <r>
      <t xml:space="preserve">                             P+</t>
    </r>
    <r>
      <rPr>
        <sz val="10"/>
        <rFont val="宋体"/>
        <family val="3"/>
        <charset val="134"/>
      </rPr>
      <t>（已确认为费用的稀释性潜在普通股利息－转换费用）</t>
    </r>
    <r>
      <rPr>
        <sz val="10"/>
        <rFont val="Times New Roman"/>
        <family val="1"/>
      </rPr>
      <t>×</t>
    </r>
    <r>
      <rPr>
        <sz val="10"/>
        <rFont val="宋体"/>
        <family val="3"/>
        <charset val="134"/>
      </rPr>
      <t>（</t>
    </r>
    <r>
      <rPr>
        <sz val="10"/>
        <rFont val="Times New Roman"/>
        <family val="1"/>
      </rPr>
      <t>1</t>
    </r>
    <r>
      <rPr>
        <sz val="10"/>
        <rFont val="宋体"/>
        <family val="3"/>
        <charset val="134"/>
      </rPr>
      <t>－所得税率）</t>
    </r>
    <phoneticPr fontId="15" type="noConversion"/>
  </si>
  <si>
    <r>
      <t>基本每股收益＝</t>
    </r>
    <r>
      <rPr>
        <sz val="10"/>
        <rFont val="Arial Narrow"/>
        <family val="2"/>
      </rPr>
      <t>P÷S</t>
    </r>
    <phoneticPr fontId="15" type="noConversion"/>
  </si>
  <si>
    <t>DEPS = ———————————————————————————————————————————</t>
    <phoneticPr fontId="15" type="noConversion"/>
  </si>
  <si>
    <r>
      <t>S</t>
    </r>
    <r>
      <rPr>
        <sz val="10"/>
        <rFont val="宋体"/>
        <family val="3"/>
        <charset val="134"/>
      </rPr>
      <t>＝</t>
    </r>
    <r>
      <rPr>
        <sz val="10"/>
        <rFont val="Arial Narrow"/>
        <family val="2"/>
      </rPr>
      <t>S0</t>
    </r>
    <r>
      <rPr>
        <sz val="10"/>
        <rFont val="宋体"/>
        <family val="3"/>
        <charset val="134"/>
      </rPr>
      <t>＋</t>
    </r>
    <r>
      <rPr>
        <sz val="10"/>
        <rFont val="Arial Narrow"/>
        <family val="2"/>
      </rPr>
      <t>S1</t>
    </r>
    <r>
      <rPr>
        <sz val="10"/>
        <rFont val="宋体"/>
        <family val="3"/>
        <charset val="134"/>
      </rPr>
      <t>＋</t>
    </r>
    <r>
      <rPr>
        <sz val="10"/>
        <rFont val="Arial Narrow"/>
        <family val="2"/>
      </rPr>
      <t>Si×Mi÷M0</t>
    </r>
    <r>
      <rPr>
        <sz val="10"/>
        <rFont val="宋体"/>
        <family val="3"/>
        <charset val="134"/>
      </rPr>
      <t>－</t>
    </r>
    <r>
      <rPr>
        <sz val="10"/>
        <rFont val="Arial Narrow"/>
        <family val="2"/>
      </rPr>
      <t>Sj×Mj÷M0</t>
    </r>
    <r>
      <rPr>
        <sz val="10"/>
        <rFont val="宋体"/>
        <family val="3"/>
        <charset val="134"/>
      </rPr>
      <t>－</t>
    </r>
    <r>
      <rPr>
        <sz val="10"/>
        <rFont val="Arial Narrow"/>
        <family val="2"/>
      </rPr>
      <t>Sk</t>
    </r>
    <phoneticPr fontId="15" type="noConversion"/>
  </si>
  <si>
    <r>
      <t xml:space="preserve">          S0</t>
    </r>
    <r>
      <rPr>
        <sz val="10"/>
        <rFont val="宋体"/>
        <family val="3"/>
        <charset val="134"/>
      </rPr>
      <t>＋</t>
    </r>
    <r>
      <rPr>
        <sz val="10"/>
        <rFont val="Times New Roman"/>
        <family val="1"/>
      </rPr>
      <t>S1</t>
    </r>
    <r>
      <rPr>
        <sz val="10"/>
        <rFont val="宋体"/>
        <family val="3"/>
        <charset val="134"/>
      </rPr>
      <t>＋</t>
    </r>
    <r>
      <rPr>
        <sz val="10"/>
        <rFont val="Times New Roman"/>
        <family val="1"/>
      </rPr>
      <t>Si×Mi÷M0</t>
    </r>
    <r>
      <rPr>
        <sz val="10"/>
        <rFont val="宋体"/>
        <family val="3"/>
        <charset val="134"/>
      </rPr>
      <t>－</t>
    </r>
    <r>
      <rPr>
        <sz val="10"/>
        <rFont val="Times New Roman"/>
        <family val="1"/>
      </rPr>
      <t>Sj×Mj÷M0</t>
    </r>
    <r>
      <rPr>
        <sz val="10"/>
        <rFont val="宋体"/>
        <family val="3"/>
        <charset val="134"/>
      </rPr>
      <t>－</t>
    </r>
    <r>
      <rPr>
        <sz val="10"/>
        <rFont val="Times New Roman"/>
        <family val="1"/>
      </rPr>
      <t>Sk</t>
    </r>
    <r>
      <rPr>
        <sz val="10"/>
        <rFont val="宋体"/>
        <family val="3"/>
        <charset val="134"/>
      </rPr>
      <t>＋认股权证、股份期权、可转换债券等增加的普通股加权平均数</t>
    </r>
    <phoneticPr fontId="15" type="noConversion"/>
  </si>
  <si>
    <t>注：</t>
    <phoneticPr fontId="15" type="noConversion"/>
  </si>
  <si>
    <r>
      <t>为了保持会计指标的前后期可比性，企业应当在</t>
    </r>
    <r>
      <rPr>
        <sz val="10"/>
        <color indexed="10"/>
        <rFont val="宋体"/>
        <family val="3"/>
        <charset val="134"/>
      </rPr>
      <t>派发股票股利、公积金转增资本、拆股</t>
    </r>
    <r>
      <rPr>
        <sz val="10"/>
        <color indexed="12"/>
        <rFont val="宋体"/>
        <family val="3"/>
        <charset val="134"/>
      </rPr>
      <t>和并股相关报批手续全部完成后，</t>
    </r>
    <r>
      <rPr>
        <sz val="10"/>
        <color indexed="10"/>
        <rFont val="宋体"/>
        <family val="3"/>
        <charset val="134"/>
      </rPr>
      <t>按调整后的股数重新计算各列报期间的每股收益。</t>
    </r>
    <phoneticPr fontId="15" type="noConversion"/>
  </si>
  <si>
    <t>上述变化发生于资产负债表日至财务报告批准报出日之间的，应当以调整后的股数重新计算各列报期间的每股收益。</t>
    <phoneticPr fontId="15" type="noConversion"/>
  </si>
  <si>
    <r>
      <t>计算基本每股收益时，应当考虑配股中的送股因素，将这部分无对价的送股</t>
    </r>
    <r>
      <rPr>
        <sz val="10"/>
        <color indexed="12"/>
        <rFont val="Arial Narrow"/>
        <family val="2"/>
      </rPr>
      <t>(</t>
    </r>
    <r>
      <rPr>
        <sz val="10"/>
        <color indexed="12"/>
        <rFont val="宋体"/>
        <family val="3"/>
        <charset val="134"/>
      </rPr>
      <t>不是全部配发的普通股</t>
    </r>
    <r>
      <rPr>
        <sz val="10"/>
        <color indexed="12"/>
        <rFont val="Arial Narrow"/>
        <family val="2"/>
      </rPr>
      <t>)</t>
    </r>
    <r>
      <rPr>
        <sz val="10"/>
        <color indexed="12"/>
        <rFont val="宋体"/>
        <family val="3"/>
        <charset val="134"/>
      </rPr>
      <t>视同列报最早期间期初就已发行在外，</t>
    </r>
    <phoneticPr fontId="15" type="noConversion"/>
  </si>
  <si>
    <t>并据以调整各列报期间发行在外普通股的加权平均数，计算各列报期间的每股收益。</t>
    <phoneticPr fontId="15" type="noConversion"/>
  </si>
  <si>
    <t>为此，企业首先应当计算出一个调整系数，再用配股前发行在外普通股的股数乘以该调整系数，得出计算每股收益时应采用的普通股股数。</t>
    <phoneticPr fontId="15" type="noConversion"/>
  </si>
  <si>
    <t>不存在稀释性潜在普通股的企业应当在利润表中单独列示基本每股收益。</t>
    <phoneticPr fontId="15" type="noConversion"/>
  </si>
  <si>
    <t>潜在普通股主要有可转换公司债券、认股权证、股份期权等。</t>
    <phoneticPr fontId="15" type="noConversion"/>
  </si>
  <si>
    <t>S26-1</t>
    <phoneticPr fontId="11" type="noConversion"/>
  </si>
  <si>
    <r>
      <rPr>
        <sz val="10"/>
        <rFont val="宋体"/>
        <family val="3"/>
        <charset val="134"/>
      </rPr>
      <t>索引号：</t>
    </r>
  </si>
  <si>
    <r>
      <rPr>
        <sz val="10"/>
        <rFont val="宋体"/>
        <family val="3"/>
        <charset val="134"/>
      </rPr>
      <t>复核人：</t>
    </r>
  </si>
  <si>
    <r>
      <rPr>
        <sz val="10"/>
        <rFont val="宋体"/>
        <family val="3"/>
        <charset val="134"/>
      </rPr>
      <t>日期：</t>
    </r>
  </si>
  <si>
    <r>
      <rPr>
        <b/>
        <sz val="10"/>
        <rFont val="宋体"/>
        <family val="3"/>
        <charset val="134"/>
      </rPr>
      <t>执行人</t>
    </r>
  </si>
  <si>
    <r>
      <rPr>
        <sz val="10"/>
        <rFont val="宋体"/>
        <family val="3"/>
        <charset val="134"/>
      </rPr>
      <t>页</t>
    </r>
    <r>
      <rPr>
        <sz val="10"/>
        <rFont val="Arial Narrow"/>
        <family val="2"/>
      </rPr>
      <t xml:space="preserve">  </t>
    </r>
    <r>
      <rPr>
        <sz val="10"/>
        <rFont val="宋体"/>
        <family val="3"/>
        <charset val="134"/>
      </rPr>
      <t>次：</t>
    </r>
    <phoneticPr fontId="11" type="noConversion"/>
  </si>
  <si>
    <r>
      <rPr>
        <b/>
        <sz val="10"/>
        <rFont val="宋体"/>
        <family val="3"/>
        <charset val="134"/>
      </rPr>
      <t>一、审计目标</t>
    </r>
    <phoneticPr fontId="11" type="noConversion"/>
  </si>
  <si>
    <r>
      <t>1.</t>
    </r>
    <r>
      <rPr>
        <sz val="10"/>
        <rFont val="宋体"/>
        <family val="3"/>
        <charset val="134"/>
      </rPr>
      <t>每股收益的计算和披露是否符合中国证券监督管理委员会发布的《公开发行证券公司信息披露编报规则第</t>
    </r>
    <r>
      <rPr>
        <sz val="10"/>
        <rFont val="Arial Narrow"/>
        <family val="2"/>
      </rPr>
      <t>9</t>
    </r>
    <r>
      <rPr>
        <sz val="10"/>
        <rFont val="宋体"/>
        <family val="3"/>
        <charset val="134"/>
      </rPr>
      <t>号</t>
    </r>
    <r>
      <rPr>
        <sz val="10"/>
        <rFont val="Arial Narrow"/>
        <family val="2"/>
      </rPr>
      <t>―</t>
    </r>
    <r>
      <rPr>
        <sz val="10"/>
        <rFont val="宋体"/>
        <family val="3"/>
        <charset val="134"/>
      </rPr>
      <t>净资产收益率和每股收益的计算及披露》的规定；</t>
    </r>
    <phoneticPr fontId="11" type="noConversion"/>
  </si>
  <si>
    <r>
      <t>2.</t>
    </r>
    <r>
      <rPr>
        <sz val="10"/>
        <rFont val="宋体"/>
        <family val="3"/>
        <charset val="134"/>
      </rPr>
      <t>每股收益的计算和披露是否符合《企业会计准则第</t>
    </r>
    <r>
      <rPr>
        <sz val="10"/>
        <rFont val="Arial Narrow"/>
        <family val="2"/>
      </rPr>
      <t>34</t>
    </r>
    <r>
      <rPr>
        <sz val="10"/>
        <rFont val="宋体"/>
        <family val="3"/>
        <charset val="134"/>
      </rPr>
      <t>号</t>
    </r>
    <r>
      <rPr>
        <sz val="10"/>
        <rFont val="Arial Narrow"/>
        <family val="2"/>
      </rPr>
      <t>-</t>
    </r>
    <r>
      <rPr>
        <sz val="10"/>
        <rFont val="宋体"/>
        <family val="3"/>
        <charset val="134"/>
      </rPr>
      <t>每股收益》的规定。</t>
    </r>
    <phoneticPr fontId="11" type="noConversion"/>
  </si>
  <si>
    <r>
      <rPr>
        <b/>
        <sz val="10"/>
        <rFont val="宋体"/>
        <family val="3"/>
        <charset val="134"/>
      </rPr>
      <t>索引号</t>
    </r>
    <phoneticPr fontId="11" type="noConversion"/>
  </si>
  <si>
    <r>
      <t xml:space="preserve">1.1 </t>
    </r>
    <r>
      <rPr>
        <sz val="10"/>
        <rFont val="宋体"/>
        <family val="3"/>
        <charset val="134"/>
      </rPr>
      <t>确认计算的准确性</t>
    </r>
    <phoneticPr fontId="11" type="noConversion"/>
  </si>
  <si>
    <r>
      <t xml:space="preserve">1.2 </t>
    </r>
    <r>
      <rPr>
        <sz val="10"/>
        <rFont val="宋体"/>
        <family val="3"/>
        <charset val="134"/>
      </rPr>
      <t>从财务报表中追踪金额和股数</t>
    </r>
    <phoneticPr fontId="11" type="noConversion"/>
  </si>
  <si>
    <r>
      <t xml:space="preserve">2. </t>
    </r>
    <r>
      <rPr>
        <sz val="10"/>
        <rFont val="宋体"/>
        <family val="3"/>
        <charset val="134"/>
      </rPr>
      <t>考虑可能的稀释性效应，例如：可转换优先股，假如适用，获取稀释股收益的计算方法</t>
    </r>
    <phoneticPr fontId="11" type="noConversion"/>
  </si>
  <si>
    <r>
      <t xml:space="preserve">3. </t>
    </r>
    <r>
      <rPr>
        <sz val="10"/>
        <rFont val="宋体"/>
        <family val="3"/>
        <charset val="134"/>
      </rPr>
      <t>确定计算的准确性</t>
    </r>
    <phoneticPr fontId="11" type="noConversion"/>
  </si>
  <si>
    <r>
      <t xml:space="preserve">3.1 </t>
    </r>
    <r>
      <rPr>
        <sz val="10"/>
        <rFont val="宋体"/>
        <family val="3"/>
        <charset val="134"/>
      </rPr>
      <t>已发行普通股的加权平均</t>
    </r>
    <phoneticPr fontId="11" type="noConversion"/>
  </si>
  <si>
    <r>
      <t xml:space="preserve">3.2 </t>
    </r>
    <r>
      <rPr>
        <sz val="10"/>
        <rFont val="宋体"/>
        <family val="3"/>
        <charset val="134"/>
      </rPr>
      <t>已发行普通股的稀释加权平均</t>
    </r>
    <phoneticPr fontId="11" type="noConversion"/>
  </si>
  <si>
    <r>
      <t xml:space="preserve">3.3 </t>
    </r>
    <r>
      <rPr>
        <sz val="10"/>
        <rFont val="宋体"/>
        <family val="3"/>
        <charset val="134"/>
      </rPr>
      <t>基本每股收益</t>
    </r>
    <phoneticPr fontId="11" type="noConversion"/>
  </si>
  <si>
    <r>
      <t xml:space="preserve">3.4 </t>
    </r>
    <r>
      <rPr>
        <sz val="10"/>
        <rFont val="宋体"/>
        <family val="3"/>
        <charset val="134"/>
      </rPr>
      <t>如适用，稀释的每股收益</t>
    </r>
    <phoneticPr fontId="11" type="noConversion"/>
  </si>
  <si>
    <t>二、审计程序</t>
    <phoneticPr fontId="11" type="noConversion"/>
  </si>
  <si>
    <r>
      <t>1.</t>
    </r>
    <r>
      <rPr>
        <sz val="10"/>
        <rFont val="宋体"/>
        <family val="3"/>
        <charset val="134"/>
      </rPr>
      <t>获取每股收益的计算方法</t>
    </r>
    <phoneticPr fontId="11" type="noConversion"/>
  </si>
  <si>
    <r>
      <t>3.3.2</t>
    </r>
    <r>
      <rPr>
        <sz val="10"/>
        <rFont val="宋体"/>
        <family val="3"/>
        <charset val="134"/>
      </rPr>
      <t>债转股增加股份的加权平均数</t>
    </r>
    <phoneticPr fontId="11" type="noConversion"/>
  </si>
  <si>
    <r>
      <t>3.4</t>
    </r>
    <r>
      <rPr>
        <sz val="10"/>
        <rFont val="宋体"/>
        <family val="3"/>
        <charset val="134"/>
      </rPr>
      <t>报告期因回购等减少股份的加权平均数</t>
    </r>
    <phoneticPr fontId="11" type="noConversion"/>
  </si>
  <si>
    <r>
      <t>3.3.1.1</t>
    </r>
    <r>
      <rPr>
        <sz val="10"/>
        <rFont val="宋体"/>
        <family val="3"/>
        <charset val="134"/>
      </rPr>
      <t>发行新股增加的股份数</t>
    </r>
    <phoneticPr fontId="11" type="noConversion"/>
  </si>
  <si>
    <r>
      <t>3.3.1.2</t>
    </r>
    <r>
      <rPr>
        <sz val="10"/>
        <rFont val="宋体"/>
        <family val="3"/>
        <charset val="134"/>
      </rPr>
      <t>发行新股下一月份起至报告期期末的月份数</t>
    </r>
    <phoneticPr fontId="11" type="noConversion"/>
  </si>
  <si>
    <r>
      <t>3.4.1</t>
    </r>
    <r>
      <rPr>
        <sz val="10"/>
        <rFont val="宋体"/>
        <family val="3"/>
        <charset val="134"/>
      </rPr>
      <t>回购股份数</t>
    </r>
    <phoneticPr fontId="11" type="noConversion"/>
  </si>
  <si>
    <r>
      <t>3.4.2</t>
    </r>
    <r>
      <rPr>
        <sz val="10"/>
        <rFont val="宋体"/>
        <family val="3"/>
        <charset val="134"/>
      </rPr>
      <t>回购股份下一月份起至报告期期末的月份数</t>
    </r>
    <phoneticPr fontId="11" type="noConversion"/>
  </si>
  <si>
    <r>
      <t>3.5</t>
    </r>
    <r>
      <rPr>
        <sz val="10"/>
        <rFont val="宋体"/>
        <family val="3"/>
        <charset val="134"/>
      </rPr>
      <t>报告期并股数</t>
    </r>
    <phoneticPr fontId="11" type="noConversion"/>
  </si>
  <si>
    <r>
      <t>7.1</t>
    </r>
    <r>
      <rPr>
        <sz val="10"/>
        <rFont val="宋体"/>
        <family val="3"/>
        <charset val="134"/>
      </rPr>
      <t>配股情况下，发行在外普通股的加权平均数</t>
    </r>
    <phoneticPr fontId="11" type="noConversion"/>
  </si>
  <si>
    <r>
      <t xml:space="preserve">计算说明：
</t>
    </r>
    <r>
      <rPr>
        <sz val="10"/>
        <color indexed="62"/>
        <rFont val="Arial Narrow"/>
        <family val="2"/>
      </rPr>
      <t>1</t>
    </r>
    <r>
      <rPr>
        <sz val="10"/>
        <color indexed="62"/>
        <rFont val="宋体"/>
        <family val="3"/>
        <charset val="134"/>
      </rPr>
      <t xml:space="preserve">、报告期内，企业发生派发股票股利、公积金转增资本、拆股或并股等事项，为保持会计指标的前后期可比性，应按调整后的股数重新计算各列报期间的每股收益
</t>
    </r>
    <r>
      <rPr>
        <sz val="10"/>
        <color indexed="62"/>
        <rFont val="Arial Narrow"/>
        <family val="2"/>
      </rPr>
      <t>2</t>
    </r>
    <r>
      <rPr>
        <sz val="10"/>
        <color indexed="62"/>
        <rFont val="宋体"/>
        <family val="3"/>
        <charset val="134"/>
      </rPr>
      <t>、企业当期发生配股的情况下，计算基本每股收益时，应考虑配股中包含的送股因素，据以调整各列报期间发行在外普通股的加权平均数。计算公式如下：
每股理论除权价格＝（行权前发行在外普通股的公允价值＋配股收到的款项）</t>
    </r>
    <r>
      <rPr>
        <sz val="10"/>
        <color indexed="62"/>
        <rFont val="Arial Narrow"/>
        <family val="2"/>
      </rPr>
      <t>÷</t>
    </r>
    <r>
      <rPr>
        <sz val="10"/>
        <color indexed="62"/>
        <rFont val="宋体"/>
        <family val="3"/>
        <charset val="134"/>
      </rPr>
      <t>行权后发行在外的普通股股数
调整系数</t>
    </r>
    <r>
      <rPr>
        <sz val="10"/>
        <color indexed="62"/>
        <rFont val="Arial Narrow"/>
        <family val="2"/>
      </rPr>
      <t>=</t>
    </r>
    <r>
      <rPr>
        <sz val="10"/>
        <color indexed="62"/>
        <rFont val="宋体"/>
        <family val="3"/>
        <charset val="134"/>
      </rPr>
      <t>行权前每股公允价值</t>
    </r>
    <r>
      <rPr>
        <sz val="10"/>
        <color indexed="62"/>
        <rFont val="Arial Narrow"/>
        <family val="2"/>
      </rPr>
      <t>÷</t>
    </r>
    <r>
      <rPr>
        <sz val="10"/>
        <color indexed="62"/>
        <rFont val="宋体"/>
        <family val="3"/>
        <charset val="134"/>
      </rPr>
      <t>每股理论除权价格
因配股重新计算的上年度基本每股收益</t>
    </r>
    <r>
      <rPr>
        <sz val="10"/>
        <color indexed="62"/>
        <rFont val="Arial Narrow"/>
        <family val="2"/>
      </rPr>
      <t>=</t>
    </r>
    <r>
      <rPr>
        <sz val="10"/>
        <color indexed="62"/>
        <rFont val="宋体"/>
        <family val="3"/>
        <charset val="134"/>
      </rPr>
      <t>上年度基本每股收益</t>
    </r>
    <r>
      <rPr>
        <sz val="10"/>
        <color indexed="62"/>
        <rFont val="Arial Narrow"/>
        <family val="2"/>
      </rPr>
      <t>÷</t>
    </r>
    <r>
      <rPr>
        <sz val="10"/>
        <color indexed="62"/>
        <rFont val="宋体"/>
        <family val="3"/>
        <charset val="134"/>
      </rPr>
      <t>调整系数
本年度基本每股收益</t>
    </r>
    <r>
      <rPr>
        <sz val="10"/>
        <color indexed="62"/>
        <rFont val="Arial Narrow"/>
        <family val="2"/>
      </rPr>
      <t>=</t>
    </r>
    <r>
      <rPr>
        <sz val="10"/>
        <color indexed="62"/>
        <rFont val="宋体"/>
        <family val="3"/>
        <charset val="134"/>
      </rPr>
      <t>归属于普通股股东的当期净利润</t>
    </r>
    <r>
      <rPr>
        <sz val="10"/>
        <color indexed="62"/>
        <rFont val="Arial Narrow"/>
        <family val="2"/>
      </rPr>
      <t>÷</t>
    </r>
    <r>
      <rPr>
        <sz val="10"/>
        <color indexed="62"/>
        <rFont val="宋体"/>
        <family val="3"/>
        <charset val="134"/>
      </rPr>
      <t>（行权前发行在外普通股股数</t>
    </r>
    <r>
      <rPr>
        <sz val="10"/>
        <color indexed="62"/>
        <rFont val="Arial Narrow"/>
        <family val="2"/>
      </rPr>
      <t>×</t>
    </r>
    <r>
      <rPr>
        <sz val="10"/>
        <color indexed="62"/>
        <rFont val="宋体"/>
        <family val="3"/>
        <charset val="134"/>
      </rPr>
      <t>调整系数</t>
    </r>
    <r>
      <rPr>
        <sz val="10"/>
        <color indexed="62"/>
        <rFont val="Arial Narrow"/>
        <family val="2"/>
      </rPr>
      <t>×</t>
    </r>
    <r>
      <rPr>
        <sz val="10"/>
        <color indexed="62"/>
        <rFont val="宋体"/>
        <family val="3"/>
        <charset val="134"/>
      </rPr>
      <t>行权前普通股发行在外的时间权数＋行权后发行在外普通股加权平均数）</t>
    </r>
    <phoneticPr fontId="11" type="noConversion"/>
  </si>
  <si>
    <r>
      <t>7.2</t>
    </r>
    <r>
      <rPr>
        <sz val="10"/>
        <rFont val="宋体"/>
        <family val="3"/>
        <charset val="134"/>
      </rPr>
      <t>基本每股收益</t>
    </r>
    <phoneticPr fontId="11" type="noConversion"/>
  </si>
  <si>
    <r>
      <t>7.3</t>
    </r>
    <r>
      <rPr>
        <sz val="10"/>
        <rFont val="宋体"/>
        <family val="3"/>
        <charset val="134"/>
      </rPr>
      <t>基本每股收益（扣除非经常性损益）</t>
    </r>
    <phoneticPr fontId="11" type="noConversion"/>
  </si>
  <si>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</si>
  <si>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</si>
  <si>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11" type="noConversion"/>
  </si>
  <si>
    <r>
      <rPr>
        <sz val="10"/>
        <rFont val="宋体"/>
        <family val="3"/>
        <charset val="134"/>
      </rPr>
      <t>股份期权</t>
    </r>
    <phoneticPr fontId="11" type="noConversion"/>
  </si>
  <si>
    <r>
      <rPr>
        <sz val="10"/>
        <rFont val="宋体"/>
        <family val="3"/>
        <charset val="134"/>
      </rPr>
      <t>认股权证</t>
    </r>
    <phoneticPr fontId="11" type="noConversion"/>
  </si>
  <si>
    <r>
      <rPr>
        <sz val="10"/>
        <rFont val="宋体"/>
        <family val="3"/>
        <charset val="134"/>
      </rPr>
      <t>可转换公司债券</t>
    </r>
    <phoneticPr fontId="11" type="noConversion"/>
  </si>
  <si>
    <r>
      <rPr>
        <sz val="10"/>
        <rFont val="宋体"/>
        <family val="3"/>
        <charset val="134"/>
      </rPr>
      <t>股份回购</t>
    </r>
    <phoneticPr fontId="11" type="noConversion"/>
  </si>
  <si>
    <r>
      <rPr>
        <sz val="10"/>
        <rFont val="宋体"/>
        <family val="3"/>
        <charset val="134"/>
      </rPr>
      <t>①净利润增加</t>
    </r>
    <r>
      <rPr>
        <sz val="10"/>
        <rFont val="Arial Narrow"/>
        <family val="2"/>
      </rPr>
      <t>=</t>
    </r>
    <r>
      <rPr>
        <sz val="10"/>
        <rFont val="宋体"/>
        <family val="3"/>
        <charset val="134"/>
      </rPr>
      <t>（已确认为费用的稀释性潜在普通股利息－转换费用）</t>
    </r>
    <r>
      <rPr>
        <sz val="10"/>
        <rFont val="Arial Narrow"/>
        <family val="2"/>
      </rPr>
      <t>×</t>
    </r>
    <r>
      <rPr>
        <sz val="10"/>
        <rFont val="宋体"/>
        <family val="3"/>
        <charset val="134"/>
      </rPr>
      <t>（</t>
    </r>
    <r>
      <rPr>
        <sz val="10"/>
        <rFont val="Arial Narrow"/>
        <family val="2"/>
      </rPr>
      <t>1-</t>
    </r>
    <r>
      <rPr>
        <sz val="10"/>
        <rFont val="宋体"/>
        <family val="3"/>
        <charset val="134"/>
      </rPr>
      <t>所得税率）</t>
    </r>
    <phoneticPr fontId="11" type="noConversion"/>
  </si>
  <si>
    <r>
      <rPr>
        <sz val="10"/>
        <rFont val="宋体"/>
        <family val="3"/>
        <charset val="134"/>
      </rPr>
      <t>②认股权证和股份期权增加的普通股股数＝拟行权时转换的普通股股数－行权价格</t>
    </r>
    <r>
      <rPr>
        <sz val="10"/>
        <rFont val="Arial Narrow"/>
        <family val="2"/>
      </rPr>
      <t>×</t>
    </r>
    <r>
      <rPr>
        <sz val="10"/>
        <rFont val="宋体"/>
        <family val="3"/>
        <charset val="134"/>
      </rPr>
      <t>拟行权时转换的普通股股数</t>
    </r>
    <r>
      <rPr>
        <sz val="10"/>
        <rFont val="Arial Narrow"/>
        <family val="2"/>
      </rPr>
      <t>÷</t>
    </r>
    <r>
      <rPr>
        <sz val="10"/>
        <rFont val="宋体"/>
        <family val="3"/>
        <charset val="134"/>
      </rPr>
      <t>当期普通股平均市场价格</t>
    </r>
    <phoneticPr fontId="11" type="noConversion"/>
  </si>
  <si>
    <r>
      <rPr>
        <sz val="10"/>
        <rFont val="宋体"/>
        <family val="3"/>
        <charset val="134"/>
      </rPr>
      <t>基本每股收益</t>
    </r>
    <r>
      <rPr>
        <sz val="10"/>
        <rFont val="Arial Narrow"/>
        <family val="2"/>
      </rPr>
      <t>A</t>
    </r>
    <phoneticPr fontId="11" type="noConversion"/>
  </si>
  <si>
    <r>
      <rPr>
        <sz val="10"/>
        <rFont val="宋体"/>
        <family val="3"/>
        <charset val="134"/>
      </rPr>
      <t>小计</t>
    </r>
    <phoneticPr fontId="11" type="noConversion"/>
  </si>
  <si>
    <r>
      <rPr>
        <sz val="10"/>
        <rFont val="宋体"/>
        <family val="3"/>
        <charset val="134"/>
      </rPr>
      <t>表一、假设潜在普通股转换为普通股，计算增量股每股收益并排序</t>
    </r>
    <phoneticPr fontId="11" type="noConversion"/>
  </si>
  <si>
    <r>
      <rPr>
        <sz val="10"/>
        <rFont val="宋体"/>
        <family val="3"/>
        <charset val="134"/>
      </rPr>
      <t>稀释性潜在普通股</t>
    </r>
    <phoneticPr fontId="11" type="noConversion"/>
  </si>
  <si>
    <r>
      <rPr>
        <sz val="10"/>
        <rFont val="宋体"/>
        <family val="3"/>
        <charset val="134"/>
      </rPr>
      <t>净利润增加①</t>
    </r>
    <phoneticPr fontId="11" type="noConversion"/>
  </si>
  <si>
    <r>
      <rPr>
        <sz val="10"/>
        <rFont val="宋体"/>
        <family val="3"/>
        <charset val="134"/>
      </rPr>
      <t>股数增加②</t>
    </r>
    <phoneticPr fontId="11" type="noConversion"/>
  </si>
  <si>
    <r>
      <rPr>
        <sz val="10"/>
        <rFont val="宋体"/>
        <family val="3"/>
        <charset val="134"/>
      </rPr>
      <t>增量股的每股收益③</t>
    </r>
    <r>
      <rPr>
        <sz val="10"/>
        <rFont val="Arial Narrow"/>
        <family val="2"/>
      </rPr>
      <t>=</t>
    </r>
    <r>
      <rPr>
        <sz val="10"/>
        <rFont val="宋体"/>
        <family val="3"/>
        <charset val="134"/>
      </rPr>
      <t>①</t>
    </r>
    <r>
      <rPr>
        <sz val="10"/>
        <rFont val="Arial Narrow"/>
        <family val="2"/>
      </rPr>
      <t>/</t>
    </r>
    <r>
      <rPr>
        <sz val="10"/>
        <rFont val="宋体"/>
        <family val="3"/>
        <charset val="134"/>
      </rPr>
      <t>②</t>
    </r>
    <phoneticPr fontId="11" type="noConversion"/>
  </si>
  <si>
    <r>
      <rPr>
        <sz val="10"/>
        <rFont val="宋体"/>
        <family val="3"/>
        <charset val="134"/>
      </rPr>
      <t>顺序④</t>
    </r>
    <phoneticPr fontId="11" type="noConversion"/>
  </si>
  <si>
    <r>
      <rPr>
        <sz val="10"/>
        <rFont val="宋体"/>
        <family val="3"/>
        <charset val="134"/>
      </rPr>
      <t>表二、分步计算稀释每股收益</t>
    </r>
    <phoneticPr fontId="11" type="noConversion"/>
  </si>
  <si>
    <r>
      <rPr>
        <sz val="10"/>
        <rFont val="宋体"/>
        <family val="3"/>
        <charset val="134"/>
      </rPr>
      <t>项目①</t>
    </r>
    <phoneticPr fontId="11" type="noConversion"/>
  </si>
  <si>
    <r>
      <rPr>
        <sz val="10"/>
        <rFont val="宋体"/>
        <family val="3"/>
        <charset val="134"/>
      </rPr>
      <t>净利润②</t>
    </r>
    <phoneticPr fontId="11" type="noConversion"/>
  </si>
  <si>
    <r>
      <rPr>
        <sz val="10"/>
        <rFont val="宋体"/>
        <family val="3"/>
        <charset val="134"/>
      </rPr>
      <t>股数③</t>
    </r>
    <phoneticPr fontId="11" type="noConversion"/>
  </si>
  <si>
    <r>
      <rPr>
        <sz val="10"/>
        <rFont val="宋体"/>
        <family val="3"/>
        <charset val="134"/>
      </rPr>
      <t>每股收益④</t>
    </r>
    <r>
      <rPr>
        <sz val="10"/>
        <rFont val="Arial Narrow"/>
        <family val="2"/>
      </rPr>
      <t>=</t>
    </r>
    <r>
      <rPr>
        <sz val="10"/>
        <rFont val="宋体"/>
        <family val="3"/>
        <charset val="134"/>
      </rPr>
      <t>②</t>
    </r>
    <r>
      <rPr>
        <sz val="10"/>
        <rFont val="Arial Narrow"/>
        <family val="2"/>
      </rPr>
      <t>/</t>
    </r>
    <r>
      <rPr>
        <sz val="10"/>
        <rFont val="宋体"/>
        <family val="3"/>
        <charset val="134"/>
      </rPr>
      <t>③</t>
    </r>
    <phoneticPr fontId="11" type="noConversion"/>
  </si>
  <si>
    <r>
      <rPr>
        <sz val="10"/>
        <rFont val="宋体"/>
        <family val="3"/>
        <charset val="134"/>
      </rPr>
      <t>稀释性</t>
    </r>
    <phoneticPr fontId="11" type="noConversion"/>
  </si>
  <si>
    <r>
      <rPr>
        <sz val="10"/>
        <rFont val="宋体"/>
        <family val="3"/>
        <charset val="134"/>
      </rPr>
      <t>稀释每股收益</t>
    </r>
    <r>
      <rPr>
        <sz val="10"/>
        <rFont val="Arial Narrow"/>
        <family val="2"/>
      </rPr>
      <t>B</t>
    </r>
    <phoneticPr fontId="11" type="noConversion"/>
  </si>
  <si>
    <r>
      <rPr>
        <sz val="10"/>
        <color indexed="62"/>
        <rFont val="宋体"/>
        <family val="3"/>
        <charset val="134"/>
      </rPr>
      <t xml:space="preserve">计算说明：
</t>
    </r>
    <r>
      <rPr>
        <sz val="10"/>
        <color indexed="62"/>
        <rFont val="Arial Narrow"/>
        <family val="2"/>
      </rPr>
      <t>1</t>
    </r>
    <r>
      <rPr>
        <sz val="10"/>
        <color indexed="62"/>
        <rFont val="宋体"/>
        <family val="3"/>
        <charset val="134"/>
      </rPr>
      <t xml:space="preserve">、项目①按照表一的排序依次填写；
</t>
    </r>
    <r>
      <rPr>
        <sz val="10"/>
        <color indexed="62"/>
        <rFont val="Arial Narrow"/>
        <family val="2"/>
      </rPr>
      <t>2</t>
    </r>
    <r>
      <rPr>
        <sz val="10"/>
        <color indexed="62"/>
        <rFont val="宋体"/>
        <family val="3"/>
        <charset val="134"/>
      </rPr>
      <t>、表二应分别按照归属于母公司普通股股东的净利润</t>
    </r>
    <r>
      <rPr>
        <sz val="10"/>
        <color indexed="62"/>
        <rFont val="Arial Narrow"/>
        <family val="2"/>
      </rPr>
      <t>a1</t>
    </r>
    <r>
      <rPr>
        <sz val="10"/>
        <color indexed="62"/>
        <rFont val="宋体"/>
        <family val="3"/>
        <charset val="134"/>
      </rPr>
      <t>、扣除非经常性损益后归属于母公司普通股股东的净利润</t>
    </r>
    <r>
      <rPr>
        <sz val="10"/>
        <color indexed="62"/>
        <rFont val="Arial Narrow"/>
        <family val="2"/>
      </rPr>
      <t>a2</t>
    </r>
    <r>
      <rPr>
        <sz val="10"/>
        <color indexed="62"/>
        <rFont val="宋体"/>
        <family val="3"/>
        <charset val="134"/>
      </rPr>
      <t xml:space="preserve">，计算两次；
</t>
    </r>
    <r>
      <rPr>
        <sz val="10"/>
        <color indexed="62"/>
        <rFont val="Arial Narrow"/>
        <family val="2"/>
      </rPr>
      <t>3</t>
    </r>
    <r>
      <rPr>
        <sz val="10"/>
        <color indexed="62"/>
        <rFont val="宋体"/>
        <family val="3"/>
        <charset val="134"/>
      </rPr>
      <t>、基本每股收益</t>
    </r>
    <r>
      <rPr>
        <sz val="10"/>
        <color indexed="62"/>
        <rFont val="Arial Narrow"/>
        <family val="2"/>
      </rPr>
      <t>A</t>
    </r>
    <r>
      <rPr>
        <sz val="10"/>
        <color indexed="62"/>
        <rFont val="宋体"/>
        <family val="3"/>
        <charset val="134"/>
      </rPr>
      <t>引自基本每股收益计算表</t>
    </r>
    <r>
      <rPr>
        <sz val="10"/>
        <color indexed="62"/>
        <rFont val="Arial Narrow"/>
        <family val="2"/>
      </rPr>
      <t>G20-2</t>
    </r>
    <r>
      <rPr>
        <sz val="10"/>
        <color indexed="62"/>
        <rFont val="宋体"/>
        <family val="3"/>
        <charset val="134"/>
      </rPr>
      <t xml:space="preserve">；
</t>
    </r>
    <r>
      <rPr>
        <sz val="10"/>
        <color indexed="62"/>
        <rFont val="Arial Narrow"/>
        <family val="2"/>
      </rPr>
      <t>4</t>
    </r>
    <r>
      <rPr>
        <sz val="10"/>
        <color indexed="62"/>
        <rFont val="宋体"/>
        <family val="3"/>
        <charset val="134"/>
      </rPr>
      <t>、稀释每股收益</t>
    </r>
    <r>
      <rPr>
        <sz val="10"/>
        <color indexed="62"/>
        <rFont val="Arial Narrow"/>
        <family val="2"/>
      </rPr>
      <t>B</t>
    </r>
    <r>
      <rPr>
        <sz val="10"/>
        <color indexed="62"/>
        <rFont val="宋体"/>
        <family val="3"/>
        <charset val="134"/>
      </rPr>
      <t>为每股收益④中最小值；</t>
    </r>
    <phoneticPr fontId="11" type="noConversion"/>
  </si>
  <si>
    <t>③按照增量股的每股收益由低至高的顺序排序</t>
    <phoneticPr fontId="11" type="noConversion"/>
  </si>
  <si>
    <t>关于工作底稿索引号的编制方法的说明</t>
    <phoneticPr fontId="11" type="noConversion"/>
  </si>
  <si>
    <t>作为具体审计程序的支持性工作底稿，共有三类，分别为审定表，明细表，检查表。</t>
    <phoneticPr fontId="11"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</si>
  <si>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11"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</si>
  <si>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11" type="noConversion"/>
  </si>
  <si>
    <r>
      <rPr>
        <b/>
        <sz val="12"/>
        <rFont val="宋体"/>
        <family val="3"/>
        <charset val="134"/>
      </rPr>
      <t>稀释每股收益计算表</t>
    </r>
    <phoneticPr fontId="11" type="noConversion"/>
  </si>
  <si>
    <r>
      <rPr>
        <b/>
        <sz val="12"/>
        <rFont val="宋体"/>
        <family val="3"/>
        <charset val="134"/>
      </rPr>
      <t>每股收益</t>
    </r>
    <phoneticPr fontId="11" type="noConversion"/>
  </si>
  <si>
    <t>致同会计师事务所</t>
  </si>
  <si>
    <t>S15-2</t>
    <phoneticPr fontId="11" type="noConversion"/>
  </si>
  <si>
    <r>
      <t>2017</t>
    </r>
    <r>
      <rPr>
        <b/>
        <sz val="10"/>
        <rFont val="宋体"/>
        <family val="3"/>
        <charset val="134"/>
      </rPr>
      <t>年度</t>
    </r>
    <phoneticPr fontId="11" type="noConversion"/>
  </si>
  <si>
    <r>
      <rPr>
        <sz val="10"/>
        <rFont val="宋体"/>
        <family val="3"/>
        <charset val="134"/>
      </rPr>
      <t>索引号：</t>
    </r>
    <r>
      <rPr>
        <sz val="10"/>
        <rFont val="Arial Narrow"/>
        <family val="2"/>
      </rPr>
      <t>S15-3</t>
    </r>
    <phoneticPr fontId="11" type="noConversion"/>
  </si>
  <si>
    <r>
      <t>2018</t>
    </r>
    <r>
      <rPr>
        <b/>
        <sz val="10"/>
        <rFont val="宋体"/>
        <family val="3"/>
        <charset val="134"/>
      </rPr>
      <t>年度</t>
    </r>
    <phoneticPr fontId="11" type="noConversion"/>
  </si>
  <si>
    <t>S15</t>
    <phoneticPr fontId="11" type="noConversion"/>
  </si>
  <si>
    <t>S15-3</t>
    <phoneticPr fontId="11" type="noConversion"/>
  </si>
  <si>
    <t>审计程序S15</t>
  </si>
  <si>
    <t>审定表S15-1</t>
  </si>
  <si>
    <t>基本每股收益计算表S15-2</t>
  </si>
  <si>
    <t>稀释每股收益计算表S15-3</t>
  </si>
  <si>
    <t>2021年</t>
    <phoneticPr fontId="15" type="noConversion"/>
  </si>
  <si>
    <r>
      <t>2021</t>
    </r>
    <r>
      <rPr>
        <b/>
        <sz val="10"/>
        <rFont val="宋体"/>
        <family val="3"/>
        <charset val="134"/>
      </rPr>
      <t>年度</t>
    </r>
    <phoneticPr fontId="11" type="noConversion"/>
  </si>
  <si>
    <r>
      <t>2020</t>
    </r>
    <r>
      <rPr>
        <b/>
        <sz val="10"/>
        <rFont val="宋体"/>
        <family val="3"/>
        <charset val="134"/>
      </rPr>
      <t>年度</t>
    </r>
    <phoneticPr fontId="11" type="noConversion"/>
  </si>
  <si>
    <t>2021年</t>
    <phoneticPr fontId="15" type="noConversion"/>
  </si>
  <si>
    <t>净资产收益率计算S15-4</t>
  </si>
  <si>
    <t>计算表</t>
    <phoneticPr fontId="11" type="noConversion"/>
  </si>
  <si>
    <r>
      <t>会计期间：</t>
    </r>
    <r>
      <rPr>
        <sz val="10"/>
        <rFont val="Arial"/>
        <family val="2"/>
      </rPr>
      <t>2023</t>
    </r>
    <r>
      <rPr>
        <sz val="10"/>
        <rFont val="宋体"/>
        <family val="3"/>
        <charset val="134"/>
      </rPr>
      <t>年度</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</si>
</sst>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176" formatCode="&quot;¥&quot;#,##0.00_);[Red]\(&quot;¥&quot;#,##0.00\)"/>
    <numFmt numFmtId="177" formatCode="_(* #,##0_);_(* \(#,##0\);_(* &quot;-&quot;_);_(@_)"/>
    <numFmt numFmtId="178" formatCode="_(* #,##0.00_);_(* \(#,##0.00\);_(* &quot;-&quot;??_);_(@_)"/>
    <numFmt numFmtId="179" formatCode="&quot;$&quot;#,##0_);\(&quot;$&quot;#,##0\)"/>
    <numFmt numFmtId="180" formatCode="&quot;\&quot;#,##0;&quot;\&quot;&quot;\&quot;\-#,##0"/>
    <numFmt numFmtId="181" formatCode="&quot;\&quot;#,##0;[Red]&quot;\&quot;&quot;\&quot;\-#,##0"/>
    <numFmt numFmtId="182" formatCode="&quot;\&quot;#,##0.00;[Red]&quot;\&quot;&quot;\&quot;\-#,##0.00"/>
    <numFmt numFmtId="183" formatCode="0.0%"/>
    <numFmt numFmtId="184" formatCode="&quot;$&quot;#,##0.00_);\(&quot;$&quot;#,##0.00\)"/>
    <numFmt numFmtId="185" formatCode="_(&quot;$&quot;* #,##0_);_(&quot;$&quot;* \(#,##0\);_(&quot;$&quot;* &quot;-&quot;_);_(@_)"/>
    <numFmt numFmtId="186" formatCode="_(&quot;$&quot;* #,##0.00_);_(&quot;$&quot;* \(#,##0.00\);_(&quot;$&quot;* &quot;-&quot;??_);_(@_)"/>
    <numFmt numFmtId="187" formatCode="0.000000"/>
    <numFmt numFmtId="188" formatCode="mmm/yyyy;_-\ &quot;N/A&quot;_-;_-\ &quot;-&quot;_-"/>
    <numFmt numFmtId="189" formatCode="mmm/dd/yyyy;_-\ &quot;N/A&quot;_-;_-\ &quot;-&quot;_-"/>
    <numFmt numFmtId="190" formatCode="_-#,##0_-;\(#,##0\);_-\ \ &quot;-&quot;_-;_-@_-"/>
    <numFmt numFmtId="191" formatCode="_-#,##0.00_-;\(#,##0.00\);_-\ \ &quot;-&quot;_-;_-@_-"/>
    <numFmt numFmtId="192" formatCode="_-#,##0%_-;\(#,##0%\);_-\ &quot;-&quot;_-"/>
    <numFmt numFmtId="193" formatCode="_-#,###,_-;\(#,###,\);_-\ \ &quot;-&quot;_-;_-@_-"/>
    <numFmt numFmtId="194" formatCode="_-#,###.00,_-;\(#,###.00,\);_-\ \ &quot;-&quot;_-;_-@_-"/>
    <numFmt numFmtId="195" formatCode="_([$€-2]* #,##0.00_);_([$€-2]* \(#,##0.00\);_([$€-2]* &quot;-&quot;??_)"/>
    <numFmt numFmtId="196" formatCode="_-#0&quot;.&quot;0000_-;\(#0&quot;.&quot;0000\);_-\ \ &quot;-&quot;_-;_-@_-"/>
    <numFmt numFmtId="197" formatCode="_-#0&quot;.&quot;0,_-;\(#0&quot;.&quot;0,\);_-\ \ &quot;-&quot;_-;_-@_-"/>
    <numFmt numFmtId="198" formatCode="_ * #,##0_)\ _F_ ;_ * \(#,##0\)\ _F_ ;_ * &quot;-&quot;_)\ _F_ ;_ @_ "/>
    <numFmt numFmtId="199" formatCode="#,##0&quot; F&quot;_);\(#,##0&quot; F&quot;\)"/>
    <numFmt numFmtId="200" formatCode="0.00000000"/>
    <numFmt numFmtId="201" formatCode="0.0000000"/>
    <numFmt numFmtId="202" formatCode="&quot;$&quot;#,##0;[Red]&quot;$&quot;&quot;$&quot;&quot;$&quot;&quot;$&quot;&quot;$&quot;&quot;$&quot;&quot;$&quot;\-#,##0"/>
    <numFmt numFmtId="203" formatCode="_-* #,##0_-;\-* #,##0_-;_-* &quot;-&quot;??_-;_-@_-"/>
    <numFmt numFmtId="204" formatCode="0.00000000000_);[Red]\(0.00000000000\)"/>
    <numFmt numFmtId="205" formatCode="hh:mm\ AM/PM_)"/>
    <numFmt numFmtId="206" formatCode=";;;"/>
    <numFmt numFmtId="207" formatCode="#,##0.0_);\(#,##0.0\)"/>
    <numFmt numFmtId="208" formatCode="0%;\(0%\)"/>
    <numFmt numFmtId="209" formatCode="0%_);\(0%\)"/>
    <numFmt numFmtId="210" formatCode="0.0000_ "/>
    <numFmt numFmtId="211" formatCode="_ * #,##0_ ;_ * \-#,##0_ ;_ * &quot;-&quot;??_ ;_ @_ "/>
  </numFmts>
  <fonts count="70">
    <font>
      <sz val="12"/>
      <name val="宋体"/>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0"/>
      <name val="宋体"/>
      <family val="3"/>
      <charset val="134"/>
    </font>
    <font>
      <b/>
      <sz val="14"/>
      <name val="黑体"/>
      <family val="3"/>
      <charset val="134"/>
    </font>
    <font>
      <b/>
      <sz val="12"/>
      <name val="Times New Roman"/>
      <family val="1"/>
    </font>
    <font>
      <sz val="12"/>
      <name val="Arial"/>
      <family val="2"/>
    </font>
    <font>
      <sz val="10.5"/>
      <name val="Arial"/>
      <family val="2"/>
    </font>
    <font>
      <sz val="10.5"/>
      <name val="Times New Roman"/>
      <family val="1"/>
    </font>
    <font>
      <b/>
      <sz val="10"/>
      <color indexed="10"/>
      <name val="Arial"/>
      <family val="2"/>
    </font>
    <font>
      <b/>
      <sz val="10"/>
      <name val="Arial"/>
      <family val="2"/>
    </font>
    <font>
      <b/>
      <sz val="12"/>
      <name val="Arial"/>
      <family val="2"/>
    </font>
    <font>
      <b/>
      <sz val="7"/>
      <name val="Arial"/>
      <family val="2"/>
    </font>
    <font>
      <b/>
      <sz val="9"/>
      <color indexed="81"/>
      <name val="宋体"/>
      <family val="3"/>
      <charset val="134"/>
    </font>
    <font>
      <sz val="9"/>
      <color indexed="81"/>
      <name val="宋体"/>
      <family val="3"/>
      <charset val="134"/>
    </font>
    <font>
      <sz val="12"/>
      <name val="Arial Narrow"/>
      <family val="2"/>
    </font>
    <font>
      <sz val="10"/>
      <name val="Arial Narrow"/>
      <family val="2"/>
    </font>
    <font>
      <b/>
      <sz val="10"/>
      <name val="Arial Narrow"/>
      <family val="2"/>
    </font>
    <font>
      <u/>
      <sz val="10"/>
      <name val="Arial Narrow"/>
      <family val="2"/>
    </font>
    <font>
      <sz val="10.5"/>
      <color indexed="8"/>
      <name val="Arial Narrow"/>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charset val="134"/>
    </font>
    <font>
      <sz val="12"/>
      <name val="바탕체"/>
      <family val="3"/>
    </font>
    <font>
      <sz val="12"/>
      <name val="Times New Roman"/>
      <family val="1"/>
    </font>
    <font>
      <sz val="11"/>
      <name val="蹈框"/>
      <charset val="134"/>
    </font>
    <font>
      <b/>
      <sz val="10"/>
      <name val="Arial Unicode MS"/>
      <family val="2"/>
    </font>
    <font>
      <b/>
      <sz val="10"/>
      <color indexed="12"/>
      <name val="宋体"/>
      <family val="3"/>
      <charset val="134"/>
    </font>
    <font>
      <sz val="10"/>
      <color indexed="12"/>
      <name val="宋体"/>
      <family val="3"/>
      <charset val="134"/>
    </font>
    <font>
      <sz val="10"/>
      <color indexed="12"/>
      <name val="Arial Narrow"/>
      <family val="2"/>
    </font>
    <font>
      <sz val="10"/>
      <color indexed="10"/>
      <name val="Arial Narrow"/>
      <family val="2"/>
    </font>
    <font>
      <sz val="10"/>
      <color indexed="62"/>
      <name val="宋体"/>
      <family val="3"/>
      <charset val="134"/>
    </font>
    <font>
      <sz val="10"/>
      <color indexed="62"/>
      <name val="Arial Narrow"/>
      <family val="2"/>
    </font>
    <font>
      <b/>
      <sz val="12"/>
      <name val="Arial Narrow"/>
      <family val="2"/>
    </font>
    <font>
      <b/>
      <sz val="12"/>
      <name val="宋体"/>
      <family val="3"/>
      <charset val="134"/>
    </font>
    <font>
      <b/>
      <sz val="10"/>
      <name val="宋体"/>
      <family val="3"/>
      <charset val="134"/>
    </font>
    <font>
      <sz val="10"/>
      <color theme="3" tint="0.39997558519241921"/>
      <name val="宋体"/>
      <family val="3"/>
      <charset val="134"/>
    </font>
    <font>
      <sz val="10"/>
      <color theme="3" tint="0.39997558519241921"/>
      <name val="Arial Narrow"/>
      <family val="2"/>
    </font>
  </fonts>
  <fills count="1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indexed="14"/>
        <bgColor indexed="64"/>
      </patternFill>
    </fill>
    <fill>
      <patternFill patternType="solid">
        <fgColor indexed="49"/>
        <bgColor indexed="64"/>
      </patternFill>
    </fill>
    <fill>
      <patternFill patternType="solid">
        <fgColor indexed="41"/>
        <bgColor indexed="64"/>
      </patternFill>
    </fill>
    <fill>
      <patternFill patternType="solid">
        <fgColor indexed="43"/>
        <bgColor indexed="64"/>
      </patternFill>
    </fill>
  </fills>
  <borders count="42">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hair">
        <color indexed="8"/>
      </left>
      <right style="hair">
        <color indexed="8"/>
      </right>
      <top style="thick">
        <color indexed="63"/>
      </top>
      <bottom style="hair">
        <color indexed="8"/>
      </bottom>
      <diagonal/>
    </border>
    <border>
      <left style="hair">
        <color indexed="8"/>
      </left>
      <right style="hair">
        <color indexed="8"/>
      </right>
      <top style="hair">
        <color indexed="8"/>
      </top>
      <bottom style="thin">
        <color indexed="8"/>
      </bottom>
      <diagonal/>
    </border>
    <border>
      <left style="hair">
        <color indexed="8"/>
      </left>
      <right style="thick">
        <color indexed="41"/>
      </right>
      <top style="hair">
        <color indexed="8"/>
      </top>
      <bottom style="thin">
        <color indexed="8"/>
      </bottom>
      <diagonal/>
    </border>
    <border>
      <left style="thick">
        <color indexed="63"/>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ck">
        <color indexed="41"/>
      </right>
      <top style="thin">
        <color indexed="8"/>
      </top>
      <bottom style="hair">
        <color indexed="8"/>
      </bottom>
      <diagonal/>
    </border>
    <border>
      <left style="thick">
        <color indexed="63"/>
      </left>
      <right style="hair">
        <color indexed="8"/>
      </right>
      <top style="hair">
        <color indexed="8"/>
      </top>
      <bottom style="thick">
        <color indexed="41"/>
      </bottom>
      <diagonal/>
    </border>
    <border>
      <left style="hair">
        <color indexed="8"/>
      </left>
      <right style="hair">
        <color indexed="8"/>
      </right>
      <top style="hair">
        <color indexed="8"/>
      </top>
      <bottom style="thick">
        <color indexed="41"/>
      </bottom>
      <diagonal/>
    </border>
    <border>
      <left style="hair">
        <color indexed="8"/>
      </left>
      <right style="thick">
        <color indexed="41"/>
      </right>
      <top style="hair">
        <color indexed="8"/>
      </top>
      <bottom style="thick">
        <color indexed="41"/>
      </bottom>
      <diagonal/>
    </border>
    <border>
      <left/>
      <right/>
      <top/>
      <bottom style="thick">
        <color indexed="40"/>
      </bottom>
      <diagonal/>
    </border>
    <border>
      <left/>
      <right/>
      <top/>
      <bottom style="dashed">
        <color indexed="64"/>
      </bottom>
      <diagonal/>
    </border>
    <border>
      <left style="thin">
        <color indexed="64"/>
      </left>
      <right/>
      <top/>
      <bottom style="thin">
        <color indexed="64"/>
      </bottom>
      <diagonal/>
    </border>
    <border>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thick">
        <color indexed="63"/>
      </left>
      <right style="hair">
        <color indexed="8"/>
      </right>
      <top style="thick">
        <color indexed="63"/>
      </top>
      <bottom style="hair">
        <color indexed="8"/>
      </bottom>
      <diagonal/>
    </border>
    <border>
      <left style="thick">
        <color indexed="63"/>
      </left>
      <right style="hair">
        <color indexed="8"/>
      </right>
      <top style="hair">
        <color indexed="8"/>
      </top>
      <bottom style="thin">
        <color indexed="8"/>
      </bottom>
      <diagonal/>
    </border>
    <border>
      <left style="hair">
        <color indexed="8"/>
      </left>
      <right style="thick">
        <color indexed="41"/>
      </right>
      <top style="thick">
        <color indexed="63"/>
      </top>
      <bottom style="hair">
        <color indexed="8"/>
      </bottom>
      <diagonal/>
    </border>
  </borders>
  <cellStyleXfs count="140">
    <xf numFmtId="0" fontId="0" fillId="0" borderId="0">
      <protection locked="0"/>
    </xf>
    <xf numFmtId="0" fontId="3" fillId="0" borderId="0"/>
    <xf numFmtId="0" fontId="3" fillId="0" borderId="0"/>
    <xf numFmtId="0" fontId="3" fillId="0" borderId="0"/>
    <xf numFmtId="0" fontId="3" fillId="0" borderId="0"/>
    <xf numFmtId="49" fontId="15" fillId="0" borderId="0" applyProtection="0">
      <alignment horizontal="left"/>
    </xf>
    <xf numFmtId="0" fontId="34" fillId="0" borderId="0">
      <alignment vertical="top"/>
      <protection locked="0"/>
    </xf>
    <xf numFmtId="0" fontId="34" fillId="0" borderId="0">
      <alignment vertical="top"/>
      <protection locked="0"/>
    </xf>
    <xf numFmtId="0" fontId="34" fillId="0" borderId="0">
      <alignment vertical="top"/>
      <protection locked="0"/>
    </xf>
    <xf numFmtId="0" fontId="34" fillId="0" borderId="0">
      <alignment vertical="top"/>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protection locked="0"/>
    </xf>
    <xf numFmtId="0" fontId="34" fillId="0" borderId="0">
      <alignment vertical="top"/>
      <protection locked="0"/>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xf>
    <xf numFmtId="0" fontId="34" fillId="0" borderId="0">
      <alignment vertical="top"/>
      <protection locked="0"/>
    </xf>
    <xf numFmtId="0" fontId="34" fillId="0" borderId="0">
      <alignment vertical="top"/>
    </xf>
    <xf numFmtId="0" fontId="34" fillId="0" borderId="0">
      <alignment vertical="top"/>
      <protection locked="0"/>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190" fontId="15" fillId="0" borderId="0" applyFill="0" applyBorder="0" applyProtection="0">
      <alignment horizontal="right"/>
    </xf>
    <xf numFmtId="191" fontId="15" fillId="0" borderId="0" applyFill="0" applyBorder="0" applyProtection="0">
      <alignment horizontal="right"/>
    </xf>
    <xf numFmtId="189" fontId="35" fillId="0" borderId="0" applyFill="0" applyBorder="0" applyProtection="0">
      <alignment horizontal="center"/>
    </xf>
    <xf numFmtId="188" fontId="35" fillId="0" borderId="0" applyFill="0" applyBorder="0" applyProtection="0">
      <alignment horizontal="center"/>
    </xf>
    <xf numFmtId="192" fontId="36" fillId="0" borderId="0" applyFill="0" applyBorder="0" applyProtection="0">
      <alignment horizontal="right"/>
    </xf>
    <xf numFmtId="193" fontId="15" fillId="0" borderId="0" applyFill="0" applyBorder="0" applyProtection="0">
      <alignment horizontal="right"/>
    </xf>
    <xf numFmtId="194" fontId="15" fillId="0" borderId="0" applyFill="0" applyBorder="0" applyProtection="0">
      <alignment horizontal="right"/>
    </xf>
    <xf numFmtId="197" fontId="15" fillId="0" borderId="0" applyFill="0" applyBorder="0" applyProtection="0">
      <alignment horizontal="right"/>
    </xf>
    <xf numFmtId="196" fontId="15" fillId="0" borderId="0" applyFill="0" applyBorder="0" applyProtection="0">
      <alignment horizontal="right"/>
    </xf>
    <xf numFmtId="208" fontId="37" fillId="0" borderId="0" applyFont="0" applyFill="0" applyBorder="0" applyAlignment="0" applyProtection="0"/>
    <xf numFmtId="183" fontId="37" fillId="0" borderId="0" applyFont="0" applyFill="0" applyBorder="0" applyAlignment="0" applyProtection="0"/>
    <xf numFmtId="10" fontId="37" fillId="0" borderId="0" applyFont="0" applyFill="0" applyBorder="0" applyAlignment="0" applyProtection="0"/>
    <xf numFmtId="3" fontId="1" fillId="0" borderId="0"/>
    <xf numFmtId="179" fontId="2" fillId="0" borderId="1" applyAlignment="0" applyProtection="0"/>
    <xf numFmtId="199" fontId="7" fillId="0" borderId="0" applyFill="0" applyBorder="0" applyAlignment="0"/>
    <xf numFmtId="0" fontId="38" fillId="0" borderId="2" applyNumberFormat="0" applyFill="0" applyProtection="0">
      <alignment horizontal="center"/>
    </xf>
    <xf numFmtId="0" fontId="39" fillId="0" borderId="3">
      <alignment horizontal="center"/>
    </xf>
    <xf numFmtId="202" fontId="3" fillId="0" borderId="0"/>
    <xf numFmtId="202" fontId="3" fillId="0" borderId="0"/>
    <xf numFmtId="202" fontId="3" fillId="0" borderId="0"/>
    <xf numFmtId="202" fontId="3" fillId="0" borderId="0"/>
    <xf numFmtId="202" fontId="3" fillId="0" borderId="0"/>
    <xf numFmtId="202" fontId="3" fillId="0" borderId="0"/>
    <xf numFmtId="202" fontId="3" fillId="0" borderId="0"/>
    <xf numFmtId="202" fontId="3" fillId="0" borderId="0"/>
    <xf numFmtId="38" fontId="40" fillId="0" borderId="0" applyFont="0" applyFill="0" applyBorder="0" applyAlignment="0" applyProtection="0"/>
    <xf numFmtId="37" fontId="37" fillId="0" borderId="0" applyFont="0" applyFill="0" applyBorder="0" applyAlignment="0" applyProtection="0"/>
    <xf numFmtId="207" fontId="37" fillId="0" borderId="0" applyFont="0" applyFill="0" applyBorder="0" applyAlignment="0" applyProtection="0"/>
    <xf numFmtId="39" fontId="37" fillId="0" borderId="0" applyFont="0" applyFill="0" applyBorder="0" applyAlignment="0" applyProtection="0"/>
    <xf numFmtId="40" fontId="40" fillId="0" borderId="0" applyFont="0" applyFill="0" applyBorder="0" applyAlignment="0" applyProtection="0"/>
    <xf numFmtId="205" fontId="7" fillId="0" borderId="0" applyFont="0" applyFill="0" applyBorder="0" applyAlignment="0" applyProtection="0"/>
    <xf numFmtId="179" fontId="37" fillId="0" borderId="0" applyFont="0" applyFill="0" applyBorder="0" applyAlignment="0" applyProtection="0"/>
    <xf numFmtId="184" fontId="37" fillId="0" borderId="0" applyFont="0" applyFill="0" applyBorder="0" applyAlignment="0" applyProtection="0"/>
    <xf numFmtId="206" fontId="7"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0" fontId="41" fillId="0" borderId="0">
      <alignment horizontal="left"/>
    </xf>
    <xf numFmtId="0" fontId="5" fillId="2" borderId="4"/>
    <xf numFmtId="195" fontId="15" fillId="0" borderId="0" applyFont="0" applyFill="0" applyBorder="0" applyAlignment="0" applyProtection="0"/>
    <xf numFmtId="0" fontId="4" fillId="0" borderId="0" applyNumberFormat="0" applyFill="0" applyBorder="0" applyAlignment="0" applyProtection="0">
      <alignment vertical="top"/>
      <protection locked="0"/>
    </xf>
    <xf numFmtId="38" fontId="5" fillId="3" borderId="0" applyNumberFormat="0" applyBorder="0" applyAlignment="0" applyProtection="0"/>
    <xf numFmtId="0" fontId="25" fillId="0" borderId="5" applyNumberFormat="0" applyAlignment="0" applyProtection="0">
      <alignment horizontal="left" vertical="center"/>
    </xf>
    <xf numFmtId="0" fontId="25" fillId="0" borderId="6">
      <alignment horizontal="left" vertical="center"/>
    </xf>
    <xf numFmtId="14" fontId="24" fillId="4" borderId="7">
      <alignment horizontal="center" vertical="center" wrapText="1"/>
    </xf>
    <xf numFmtId="0" fontId="6" fillId="0" borderId="0" applyNumberFormat="0" applyFill="0" applyBorder="0" applyAlignment="0" applyProtection="0">
      <alignment vertical="top"/>
      <protection locked="0"/>
    </xf>
    <xf numFmtId="10" fontId="5" fillId="5" borderId="4" applyNumberFormat="0" applyBorder="0" applyAlignment="0" applyProtection="0"/>
    <xf numFmtId="0" fontId="15" fillId="0" borderId="0" applyNumberFormat="0" applyFont="0" applyFill="0" applyBorder="0" applyProtection="0">
      <alignment horizontal="left" vertical="center"/>
    </xf>
    <xf numFmtId="177" fontId="3" fillId="0" borderId="0" applyFont="0" applyFill="0" applyBorder="0" applyAlignment="0" applyProtection="0"/>
    <xf numFmtId="178"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85" fontId="3" fillId="0" borderId="0" applyFont="0" applyFill="0" applyBorder="0" applyAlignment="0" applyProtection="0"/>
    <xf numFmtId="186" fontId="3" fillId="0" borderId="0" applyFont="0" applyFill="0" applyBorder="0" applyAlignment="0" applyProtection="0"/>
    <xf numFmtId="203" fontId="3" fillId="0" borderId="0" applyFont="0" applyFill="0" applyBorder="0" applyAlignment="0" applyProtection="0"/>
    <xf numFmtId="204" fontId="7" fillId="0" borderId="0" applyFont="0" applyFill="0" applyBorder="0" applyAlignment="0" applyProtection="0"/>
    <xf numFmtId="37" fontId="42" fillId="0" borderId="0"/>
    <xf numFmtId="0" fontId="8" fillId="0" borderId="0"/>
    <xf numFmtId="180" fontId="7" fillId="0" borderId="0"/>
    <xf numFmtId="0" fontId="40" fillId="0" borderId="0"/>
    <xf numFmtId="0" fontId="43" fillId="0" borderId="0"/>
    <xf numFmtId="209" fontId="3" fillId="0" borderId="0" applyFont="0" applyFill="0" applyBorder="0" applyAlignment="0" applyProtection="0"/>
    <xf numFmtId="10" fontId="3" fillId="0" borderId="0" applyFont="0" applyFill="0" applyBorder="0" applyAlignment="0" applyProtection="0"/>
    <xf numFmtId="0" fontId="5" fillId="3" borderId="4"/>
    <xf numFmtId="4" fontId="41" fillId="0" borderId="0">
      <alignment horizontal="right"/>
    </xf>
    <xf numFmtId="3" fontId="9" fillId="0" borderId="0"/>
    <xf numFmtId="4" fontId="44" fillId="0" borderId="0">
      <alignment horizontal="right"/>
    </xf>
    <xf numFmtId="0" fontId="45" fillId="6" borderId="0">
      <alignment horizontal="left" vertical="center"/>
    </xf>
    <xf numFmtId="0" fontId="45" fillId="6" borderId="0">
      <alignment horizontal="right" vertical="center"/>
    </xf>
    <xf numFmtId="0" fontId="46" fillId="0" borderId="0">
      <alignment horizontal="left"/>
    </xf>
    <xf numFmtId="0" fontId="47" fillId="0" borderId="4">
      <alignment horizontal="center"/>
    </xf>
    <xf numFmtId="0" fontId="47" fillId="0" borderId="0">
      <alignment horizontal="center" vertical="center"/>
    </xf>
    <xf numFmtId="0" fontId="48" fillId="7" borderId="0" applyNumberFormat="0" applyFill="0">
      <alignment horizontal="left" vertical="center"/>
    </xf>
    <xf numFmtId="0" fontId="23" fillId="0" borderId="0" applyFill="0" applyBorder="0" applyProtection="0">
      <alignment horizontal="left" vertical="top"/>
    </xf>
    <xf numFmtId="0" fontId="49" fillId="0" borderId="0">
      <alignment horizontal="center"/>
    </xf>
    <xf numFmtId="0" fontId="50" fillId="0" borderId="0" applyNumberFormat="0" applyFont="0" applyFill="0" applyBorder="0" applyProtection="0">
      <alignment horizontal="center" vertical="center" wrapText="1"/>
    </xf>
    <xf numFmtId="9" fontId="51" fillId="0" borderId="0" applyFont="0" applyFill="0" applyBorder="0" applyAlignment="0" applyProtection="0"/>
    <xf numFmtId="9" fontId="7" fillId="0" borderId="0" applyFont="0" applyFill="0" applyBorder="0" applyAlignment="0" applyProtection="0"/>
    <xf numFmtId="4" fontId="52" fillId="0" borderId="0">
      <alignment horizontal="right"/>
    </xf>
    <xf numFmtId="0" fontId="7" fillId="0" borderId="0">
      <alignment vertical="center"/>
    </xf>
    <xf numFmtId="0" fontId="7" fillId="0" borderId="0">
      <alignment vertical="center"/>
    </xf>
    <xf numFmtId="0" fontId="7" fillId="0" borderId="0">
      <protection locked="0"/>
    </xf>
    <xf numFmtId="0" fontId="15" fillId="0" borderId="0">
      <protection locked="0"/>
    </xf>
    <xf numFmtId="0" fontId="7" fillId="0" borderId="0">
      <protection locked="0"/>
    </xf>
    <xf numFmtId="0" fontId="7" fillId="0" borderId="0">
      <alignment vertical="center"/>
    </xf>
    <xf numFmtId="0" fontId="53"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2" fillId="0" borderId="0" applyNumberFormat="0" applyFill="0" applyBorder="0" applyAlignment="0" applyProtection="0"/>
    <xf numFmtId="4" fontId="50" fillId="0" borderId="0" applyFont="0" applyFill="0" applyBorder="0" applyAlignment="0" applyProtection="0"/>
    <xf numFmtId="177" fontId="3" fillId="0" borderId="0" applyFont="0" applyFill="0" applyBorder="0" applyAlignment="0" applyProtection="0"/>
    <xf numFmtId="201" fontId="56" fillId="0" borderId="0" applyFont="0" applyFill="0" applyBorder="0" applyAlignment="0" applyProtection="0"/>
    <xf numFmtId="176" fontId="7" fillId="0" borderId="0" applyFont="0" applyFill="0" applyBorder="0" applyAlignment="0" applyProtection="0"/>
    <xf numFmtId="187" fontId="56" fillId="0" borderId="0" applyFont="0" applyFill="0" applyBorder="0" applyAlignment="0" applyProtection="0"/>
    <xf numFmtId="200" fontId="56" fillId="0" borderId="0" applyFont="0" applyFill="0" applyBorder="0" applyAlignment="0" applyProtection="0"/>
    <xf numFmtId="0" fontId="15" fillId="0" borderId="0"/>
    <xf numFmtId="0" fontId="15" fillId="0" borderId="0" applyFont="0" applyFill="0" applyBorder="0" applyAlignment="0" applyProtection="0"/>
    <xf numFmtId="0" fontId="15" fillId="0" borderId="0" applyFont="0" applyFill="0" applyBorder="0" applyAlignment="0" applyProtection="0"/>
    <xf numFmtId="177" fontId="12" fillId="0" borderId="0" applyFont="0" applyFill="0" applyBorder="0" applyAlignment="0" applyProtection="0"/>
    <xf numFmtId="178" fontId="12"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alignment vertical="center"/>
    </xf>
    <xf numFmtId="0" fontId="57" fillId="0" borderId="0"/>
    <xf numFmtId="186" fontId="3" fillId="0" borderId="0" applyFont="0" applyFill="0" applyBorder="0" applyAlignment="0" applyProtection="0"/>
    <xf numFmtId="198" fontId="7" fillId="0" borderId="0" applyFont="0" applyFill="0" applyBorder="0" applyAlignment="0" applyProtection="0"/>
    <xf numFmtId="0" fontId="34" fillId="0" borderId="0">
      <alignment vertical="top"/>
      <protection locked="0"/>
    </xf>
    <xf numFmtId="38" fontId="54" fillId="0" borderId="0" applyFont="0" applyFill="0" applyBorder="0" applyAlignment="0" applyProtection="0"/>
    <xf numFmtId="4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5" fillId="0" borderId="0"/>
  </cellStyleXfs>
  <cellXfs count="165">
    <xf numFmtId="0" fontId="0" fillId="0" borderId="0" xfId="0">
      <protection locked="0"/>
    </xf>
    <xf numFmtId="0" fontId="16" fillId="0" borderId="8" xfId="0" applyFont="1" applyBorder="1" applyAlignment="1">
      <alignment horizontal="center" vertical="center" wrapText="1"/>
      <protection locked="0"/>
    </xf>
    <xf numFmtId="0" fontId="13" fillId="0" borderId="0" xfId="113" applyFont="1" applyAlignment="1">
      <alignment vertical="center"/>
      <protection locked="0"/>
    </xf>
    <xf numFmtId="0" fontId="20" fillId="0" borderId="0" xfId="113" applyFont="1" applyAlignment="1">
      <alignment vertical="center"/>
      <protection locked="0"/>
    </xf>
    <xf numFmtId="0" fontId="7" fillId="0" borderId="0" xfId="113" applyFont="1" applyAlignment="1">
      <alignment vertical="center"/>
      <protection locked="0"/>
    </xf>
    <xf numFmtId="0" fontId="7" fillId="0" borderId="0" xfId="113" applyAlignment="1">
      <alignment vertical="center"/>
      <protection locked="0"/>
    </xf>
    <xf numFmtId="0" fontId="12" fillId="8" borderId="0" xfId="113" applyFont="1" applyFill="1" applyBorder="1" applyAlignment="1">
      <alignment horizontal="justify" vertical="center" wrapText="1"/>
      <protection locked="0"/>
    </xf>
    <xf numFmtId="0" fontId="21" fillId="0" borderId="0" xfId="113" applyFont="1" applyBorder="1" applyAlignment="1">
      <alignment horizontal="justify" wrapText="1"/>
      <protection locked="0"/>
    </xf>
    <xf numFmtId="0" fontId="7" fillId="0" borderId="0" xfId="113" applyFont="1" applyAlignment="1">
      <alignment horizontal="center" vertical="center"/>
      <protection locked="0"/>
    </xf>
    <xf numFmtId="0" fontId="14" fillId="0" borderId="0" xfId="113" applyFont="1" applyBorder="1" applyAlignment="1">
      <alignment horizontal="justify" wrapText="1"/>
      <protection locked="0"/>
    </xf>
    <xf numFmtId="0" fontId="7" fillId="0" borderId="0" xfId="113">
      <protection locked="0"/>
    </xf>
    <xf numFmtId="0" fontId="20" fillId="0" borderId="9" xfId="113" applyFont="1" applyBorder="1" applyAlignment="1">
      <alignment horizontal="center" wrapText="1"/>
      <protection locked="0"/>
    </xf>
    <xf numFmtId="0" fontId="10" fillId="0" borderId="10" xfId="116" applyBorder="1" applyAlignment="1">
      <protection locked="0"/>
    </xf>
    <xf numFmtId="0" fontId="20" fillId="0" borderId="0" xfId="113" applyFont="1">
      <protection locked="0"/>
    </xf>
    <xf numFmtId="0" fontId="14" fillId="0" borderId="0" xfId="113" applyFont="1" applyBorder="1" applyAlignment="1">
      <alignment horizontal="justify" vertical="top" wrapText="1"/>
      <protection locked="0"/>
    </xf>
    <xf numFmtId="0" fontId="20" fillId="0" borderId="0" xfId="113" applyFont="1" applyBorder="1">
      <protection locked="0"/>
    </xf>
    <xf numFmtId="0" fontId="20" fillId="0" borderId="11" xfId="113" applyFont="1" applyBorder="1" applyAlignment="1">
      <alignment horizontal="center"/>
      <protection locked="0"/>
    </xf>
    <xf numFmtId="0" fontId="10" fillId="0" borderId="12" xfId="116" applyBorder="1" applyAlignment="1">
      <protection locked="0"/>
    </xf>
    <xf numFmtId="0" fontId="7" fillId="0" borderId="0" xfId="113" applyFont="1" applyBorder="1" applyAlignment="1">
      <alignment horizontal="justify" wrapText="1"/>
      <protection locked="0"/>
    </xf>
    <xf numFmtId="0" fontId="22" fillId="0" borderId="0" xfId="113" applyFont="1" applyBorder="1" applyAlignment="1">
      <alignment horizontal="justify" wrapText="1"/>
      <protection locked="0"/>
    </xf>
    <xf numFmtId="0" fontId="20" fillId="0" borderId="11" xfId="113" applyFont="1" applyBorder="1" applyAlignment="1">
      <alignment horizontal="center" wrapText="1"/>
      <protection locked="0"/>
    </xf>
    <xf numFmtId="0" fontId="7" fillId="0" borderId="0" xfId="113" applyBorder="1">
      <protection locked="0"/>
    </xf>
    <xf numFmtId="0" fontId="23" fillId="0" borderId="0" xfId="0" applyFont="1" applyAlignment="1">
      <alignment horizontal="justify"/>
      <protection locked="0"/>
    </xf>
    <xf numFmtId="0" fontId="7" fillId="0" borderId="0" xfId="113" applyFont="1">
      <protection locked="0"/>
    </xf>
    <xf numFmtId="0" fontId="10" fillId="0" borderId="13" xfId="116" applyBorder="1" applyAlignment="1">
      <protection locked="0"/>
    </xf>
    <xf numFmtId="0" fontId="12" fillId="0" borderId="0" xfId="0" applyFont="1" applyBorder="1" applyAlignment="1">
      <alignment vertical="center"/>
      <protection locked="0"/>
    </xf>
    <xf numFmtId="0" fontId="12" fillId="0" borderId="0" xfId="0" applyFont="1" applyBorder="1" applyAlignment="1">
      <alignment horizontal="right" vertical="center"/>
      <protection locked="0"/>
    </xf>
    <xf numFmtId="0" fontId="29" fillId="0" borderId="0" xfId="110" applyFont="1" applyAlignment="1">
      <alignment vertical="center"/>
    </xf>
    <xf numFmtId="0" fontId="30" fillId="0" borderId="0" xfId="0" applyFont="1" applyBorder="1" applyAlignment="1">
      <alignment horizontal="justify" vertical="center" wrapText="1"/>
      <protection locked="0"/>
    </xf>
    <xf numFmtId="0" fontId="30" fillId="0" borderId="0" xfId="114" applyFont="1" applyAlignment="1">
      <alignment vertical="center"/>
    </xf>
    <xf numFmtId="0" fontId="30" fillId="0" borderId="0" xfId="0" applyFont="1" applyAlignment="1">
      <alignment vertical="center"/>
      <protection locked="0"/>
    </xf>
    <xf numFmtId="0" fontId="31" fillId="0" borderId="8" xfId="0" applyFont="1" applyBorder="1" applyAlignment="1">
      <alignment horizontal="center" vertical="center" wrapText="1"/>
      <protection locked="0"/>
    </xf>
    <xf numFmtId="0" fontId="31" fillId="0" borderId="0" xfId="0" applyFont="1" applyAlignment="1">
      <alignment vertical="center"/>
      <protection locked="0"/>
    </xf>
    <xf numFmtId="178" fontId="30" fillId="0" borderId="8" xfId="129" applyFont="1" applyBorder="1" applyAlignment="1">
      <alignment horizontal="right" vertical="center" wrapText="1"/>
    </xf>
    <xf numFmtId="0" fontId="29" fillId="0" borderId="0" xfId="0" applyFont="1" applyAlignment="1">
      <alignment vertical="center"/>
      <protection locked="0"/>
    </xf>
    <xf numFmtId="0" fontId="30" fillId="0" borderId="0" xfId="0" applyFont="1" applyBorder="1" applyAlignment="1">
      <alignment vertical="center"/>
      <protection locked="0"/>
    </xf>
    <xf numFmtId="0" fontId="32" fillId="0" borderId="8" xfId="0" applyFont="1" applyBorder="1" applyAlignment="1">
      <alignment horizontal="center" vertical="center" wrapText="1"/>
      <protection locked="0"/>
    </xf>
    <xf numFmtId="0" fontId="33" fillId="0" borderId="0" xfId="0" applyFont="1" applyAlignment="1">
      <alignment vertical="center"/>
      <protection locked="0"/>
    </xf>
    <xf numFmtId="0" fontId="30" fillId="0" borderId="8" xfId="0" applyFont="1" applyBorder="1" applyAlignment="1">
      <alignment vertical="center"/>
      <protection locked="0"/>
    </xf>
    <xf numFmtId="178" fontId="30" fillId="0" borderId="8" xfId="129" applyFont="1" applyBorder="1" applyAlignment="1">
      <alignment vertical="center"/>
    </xf>
    <xf numFmtId="0" fontId="30" fillId="9" borderId="0" xfId="112" applyFont="1" applyFill="1">
      <protection locked="0"/>
    </xf>
    <xf numFmtId="0" fontId="30" fillId="0" borderId="0" xfId="112" applyFont="1">
      <protection locked="0"/>
    </xf>
    <xf numFmtId="0" fontId="31" fillId="0" borderId="14" xfId="111" applyFont="1" applyFill="1" applyBorder="1" applyAlignment="1">
      <alignment horizontal="center" wrapText="1"/>
      <protection locked="0"/>
    </xf>
    <xf numFmtId="0" fontId="16" fillId="0" borderId="15" xfId="111" applyFont="1" applyFill="1" applyBorder="1" applyAlignment="1">
      <alignment horizontal="center" wrapText="1"/>
      <protection locked="0"/>
    </xf>
    <xf numFmtId="0" fontId="31" fillId="0" borderId="15" xfId="111" applyFont="1" applyFill="1" applyBorder="1" applyAlignment="1">
      <alignment horizontal="center" wrapText="1"/>
      <protection locked="0"/>
    </xf>
    <xf numFmtId="0" fontId="16" fillId="0" borderId="16" xfId="111" applyFont="1" applyFill="1" applyBorder="1" applyAlignment="1">
      <alignment horizontal="center" wrapText="1"/>
      <protection locked="0"/>
    </xf>
    <xf numFmtId="0" fontId="12" fillId="0" borderId="17" xfId="111" applyFont="1" applyFill="1" applyBorder="1" applyAlignment="1">
      <alignment horizontal="center" wrapText="1"/>
      <protection locked="0"/>
    </xf>
    <xf numFmtId="10" fontId="30" fillId="0" borderId="18" xfId="107" applyNumberFormat="1" applyFont="1" applyFill="1" applyBorder="1" applyAlignment="1" applyProtection="1">
      <alignment horizontal="center" wrapText="1"/>
      <protection locked="0"/>
    </xf>
    <xf numFmtId="210" fontId="30" fillId="0" borderId="18" xfId="107" applyNumberFormat="1" applyFont="1" applyFill="1" applyBorder="1" applyAlignment="1" applyProtection="1">
      <alignment horizontal="center" wrapText="1"/>
      <protection locked="0"/>
    </xf>
    <xf numFmtId="210" fontId="30" fillId="0" borderId="19" xfId="107" applyNumberFormat="1" applyFont="1" applyFill="1" applyBorder="1" applyAlignment="1" applyProtection="1">
      <alignment horizontal="center" wrapText="1"/>
      <protection locked="0"/>
    </xf>
    <xf numFmtId="0" fontId="12" fillId="0" borderId="20" xfId="111" applyFont="1" applyFill="1" applyBorder="1" applyAlignment="1">
      <alignment horizontal="center" wrapText="1"/>
      <protection locked="0"/>
    </xf>
    <xf numFmtId="10" fontId="30" fillId="0" borderId="21" xfId="107" applyNumberFormat="1" applyFont="1" applyFill="1" applyBorder="1" applyAlignment="1" applyProtection="1">
      <alignment horizontal="center" wrapText="1"/>
      <protection locked="0"/>
    </xf>
    <xf numFmtId="210" fontId="30" fillId="0" borderId="21" xfId="107" applyNumberFormat="1" applyFont="1" applyFill="1" applyBorder="1" applyAlignment="1" applyProtection="1">
      <alignment horizontal="center" wrapText="1"/>
      <protection locked="0"/>
    </xf>
    <xf numFmtId="210" fontId="30" fillId="0" borderId="22" xfId="107" applyNumberFormat="1" applyFont="1" applyFill="1" applyBorder="1" applyAlignment="1" applyProtection="1">
      <alignment horizontal="center" wrapText="1"/>
      <protection locked="0"/>
    </xf>
    <xf numFmtId="0" fontId="16" fillId="0" borderId="23" xfId="112" applyFont="1" applyBorder="1" applyAlignment="1">
      <alignment horizontal="center"/>
      <protection locked="0"/>
    </xf>
    <xf numFmtId="0" fontId="31" fillId="0" borderId="23" xfId="112" applyFont="1" applyBorder="1" applyAlignment="1">
      <alignment horizontal="center"/>
      <protection locked="0"/>
    </xf>
    <xf numFmtId="0" fontId="30" fillId="0" borderId="23" xfId="112" applyFont="1" applyBorder="1">
      <protection locked="0"/>
    </xf>
    <xf numFmtId="0" fontId="12" fillId="0" borderId="0" xfId="112" applyFont="1" applyBorder="1" applyAlignment="1">
      <alignment horizontal="left"/>
      <protection locked="0"/>
    </xf>
    <xf numFmtId="178" fontId="30" fillId="0" borderId="0" xfId="129" applyFont="1" applyBorder="1" applyAlignment="1" applyProtection="1">
      <alignment horizontal="center"/>
      <protection locked="0"/>
    </xf>
    <xf numFmtId="0" fontId="31" fillId="0" borderId="0" xfId="112" applyFont="1" applyBorder="1" applyAlignment="1">
      <alignment horizontal="center"/>
      <protection locked="0"/>
    </xf>
    <xf numFmtId="0" fontId="12" fillId="0" borderId="0" xfId="112" applyFont="1" applyBorder="1" applyAlignment="1">
      <alignment horizontal="centerContinuous"/>
      <protection locked="0"/>
    </xf>
    <xf numFmtId="0" fontId="30" fillId="0" borderId="0" xfId="112" applyFont="1" applyBorder="1" applyAlignment="1">
      <alignment horizontal="centerContinuous"/>
      <protection locked="0"/>
    </xf>
    <xf numFmtId="0" fontId="30" fillId="0" borderId="0" xfId="112" applyFont="1" applyBorder="1">
      <protection locked="0"/>
    </xf>
    <xf numFmtId="0" fontId="12" fillId="0" borderId="2" xfId="112" applyFont="1" applyBorder="1" applyAlignment="1">
      <alignment horizontal="centerContinuous"/>
      <protection locked="0"/>
    </xf>
    <xf numFmtId="0" fontId="30" fillId="0" borderId="2" xfId="112" applyFont="1" applyBorder="1" applyAlignment="1">
      <alignment horizontal="centerContinuous"/>
      <protection locked="0"/>
    </xf>
    <xf numFmtId="0" fontId="12" fillId="0" borderId="0" xfId="112" applyFont="1">
      <protection locked="0"/>
    </xf>
    <xf numFmtId="178" fontId="30" fillId="0" borderId="0" xfId="129" applyFont="1" applyBorder="1" applyProtection="1">
      <protection locked="0"/>
    </xf>
    <xf numFmtId="178" fontId="30" fillId="10" borderId="24" xfId="129" applyFont="1" applyFill="1" applyBorder="1" applyProtection="1">
      <protection locked="0"/>
    </xf>
    <xf numFmtId="0" fontId="12" fillId="0" borderId="2" xfId="112" applyFont="1" applyBorder="1">
      <protection locked="0"/>
    </xf>
    <xf numFmtId="178" fontId="30" fillId="0" borderId="2" xfId="129" applyFont="1" applyBorder="1" applyProtection="1">
      <protection locked="0"/>
    </xf>
    <xf numFmtId="0" fontId="12" fillId="10" borderId="24" xfId="112" applyFont="1" applyFill="1" applyBorder="1" applyAlignment="1">
      <alignment horizontal="center"/>
      <protection locked="0"/>
    </xf>
    <xf numFmtId="4" fontId="30" fillId="0" borderId="0" xfId="112" applyNumberFormat="1" applyFont="1">
      <protection locked="0"/>
    </xf>
    <xf numFmtId="178" fontId="30" fillId="0" borderId="0" xfId="129" applyFont="1" applyProtection="1">
      <protection locked="0"/>
    </xf>
    <xf numFmtId="178" fontId="30" fillId="0" borderId="0" xfId="112" applyNumberFormat="1" applyFont="1">
      <protection locked="0"/>
    </xf>
    <xf numFmtId="0" fontId="12" fillId="10" borderId="0" xfId="112" applyFont="1" applyFill="1">
      <protection locked="0"/>
    </xf>
    <xf numFmtId="178" fontId="30" fillId="10" borderId="0" xfId="129" applyFont="1" applyFill="1" applyBorder="1" applyProtection="1">
      <protection locked="0"/>
    </xf>
    <xf numFmtId="9" fontId="30" fillId="10" borderId="24" xfId="129" applyNumberFormat="1" applyFont="1" applyFill="1" applyBorder="1" applyAlignment="1" applyProtection="1">
      <alignment horizontal="center"/>
      <protection locked="0"/>
    </xf>
    <xf numFmtId="0" fontId="12" fillId="0" borderId="0" xfId="112" applyFont="1" applyFill="1">
      <protection locked="0"/>
    </xf>
    <xf numFmtId="178" fontId="30" fillId="0" borderId="0" xfId="129" applyFont="1" applyFill="1" applyBorder="1" applyProtection="1">
      <protection locked="0"/>
    </xf>
    <xf numFmtId="178" fontId="30" fillId="10" borderId="0" xfId="112" applyNumberFormat="1" applyFont="1" applyFill="1">
      <protection locked="0"/>
    </xf>
    <xf numFmtId="0" fontId="30" fillId="10" borderId="0" xfId="112" applyFont="1" applyFill="1">
      <protection locked="0"/>
    </xf>
    <xf numFmtId="4" fontId="30" fillId="10" borderId="0" xfId="112" applyNumberFormat="1" applyFont="1" applyFill="1">
      <protection locked="0"/>
    </xf>
    <xf numFmtId="0" fontId="30" fillId="0" borderId="0" xfId="112" applyFont="1" applyAlignment="1">
      <alignment horizontal="right"/>
      <protection locked="0"/>
    </xf>
    <xf numFmtId="0" fontId="30" fillId="0" borderId="0" xfId="112" applyFont="1" applyAlignment="1">
      <alignment horizontal="centerContinuous"/>
      <protection locked="0"/>
    </xf>
    <xf numFmtId="0" fontId="15" fillId="0" borderId="2" xfId="112" applyFont="1" applyBorder="1">
      <protection locked="0"/>
    </xf>
    <xf numFmtId="178" fontId="30" fillId="10" borderId="0" xfId="129" applyFont="1" applyFill="1" applyProtection="1">
      <protection locked="0"/>
    </xf>
    <xf numFmtId="0" fontId="12" fillId="10" borderId="24" xfId="112" applyFont="1" applyFill="1" applyBorder="1">
      <protection locked="0"/>
    </xf>
    <xf numFmtId="178" fontId="30" fillId="0" borderId="24" xfId="129" applyFont="1" applyBorder="1" applyProtection="1">
      <protection locked="0"/>
    </xf>
    <xf numFmtId="178" fontId="12" fillId="10" borderId="24" xfId="129" applyFont="1" applyFill="1" applyBorder="1" applyProtection="1">
      <protection locked="0"/>
    </xf>
    <xf numFmtId="178" fontId="31" fillId="10" borderId="24" xfId="129" applyFont="1" applyFill="1" applyBorder="1" applyAlignment="1" applyProtection="1">
      <alignment horizontal="centerContinuous"/>
      <protection locked="0"/>
    </xf>
    <xf numFmtId="211" fontId="30" fillId="10" borderId="24" xfId="129" applyNumberFormat="1" applyFont="1" applyFill="1" applyBorder="1" applyProtection="1">
      <protection locked="0"/>
    </xf>
    <xf numFmtId="0" fontId="30" fillId="10" borderId="24" xfId="112" applyFont="1" applyFill="1" applyBorder="1">
      <protection locked="0"/>
    </xf>
    <xf numFmtId="211" fontId="30" fillId="10" borderId="0" xfId="129" applyNumberFormat="1" applyFont="1" applyFill="1" applyProtection="1">
      <protection locked="0"/>
    </xf>
    <xf numFmtId="0" fontId="15" fillId="0" borderId="0" xfId="112" applyFont="1" applyAlignment="1">
      <alignment horizontal="left"/>
      <protection locked="0"/>
    </xf>
    <xf numFmtId="0" fontId="15" fillId="0" borderId="0" xfId="111" applyFont="1">
      <protection locked="0"/>
    </xf>
    <xf numFmtId="10" fontId="30" fillId="0" borderId="0" xfId="107" applyNumberFormat="1" applyFont="1" applyAlignment="1" applyProtection="1">
      <alignment horizontal="center"/>
      <protection locked="0"/>
    </xf>
    <xf numFmtId="210" fontId="30" fillId="0" borderId="0" xfId="112" applyNumberFormat="1" applyFont="1" applyAlignment="1">
      <alignment horizontal="center"/>
      <protection locked="0"/>
    </xf>
    <xf numFmtId="0" fontId="20" fillId="0" borderId="25" xfId="113" applyFont="1" applyBorder="1" applyAlignment="1">
      <alignment horizontal="center" wrapText="1"/>
      <protection locked="0"/>
    </xf>
    <xf numFmtId="178" fontId="30" fillId="11" borderId="0" xfId="129" applyFont="1" applyFill="1" applyProtection="1">
      <protection locked="0"/>
    </xf>
    <xf numFmtId="0" fontId="59" fillId="0" borderId="0" xfId="112" applyFont="1">
      <protection locked="0"/>
    </xf>
    <xf numFmtId="0" fontId="60" fillId="0" borderId="0" xfId="112" applyFont="1">
      <protection locked="0"/>
    </xf>
    <xf numFmtId="0" fontId="61" fillId="0" borderId="0" xfId="112" applyFont="1">
      <protection locked="0"/>
    </xf>
    <xf numFmtId="0" fontId="30" fillId="0" borderId="0" xfId="0" applyFont="1" applyBorder="1" applyAlignment="1">
      <alignment horizontal="center" vertical="center"/>
      <protection locked="0"/>
    </xf>
    <xf numFmtId="0" fontId="30" fillId="0" borderId="0" xfId="0" applyFont="1" applyBorder="1" applyAlignment="1">
      <alignment horizontal="left" vertical="center"/>
      <protection locked="0"/>
    </xf>
    <xf numFmtId="0" fontId="30" fillId="0" borderId="0" xfId="0" applyFont="1" applyBorder="1" applyAlignment="1">
      <alignment horizontal="right" vertical="center"/>
      <protection locked="0"/>
    </xf>
    <xf numFmtId="0" fontId="30" fillId="0" borderId="0" xfId="0" applyFont="1" applyAlignment="1">
      <alignment horizontal="center" vertical="center"/>
      <protection locked="0"/>
    </xf>
    <xf numFmtId="0" fontId="31" fillId="0" borderId="26" xfId="0" applyFont="1" applyBorder="1" applyAlignment="1">
      <alignment horizontal="left" vertical="center"/>
      <protection locked="0"/>
    </xf>
    <xf numFmtId="0" fontId="30" fillId="0" borderId="8" xfId="0" applyFont="1" applyBorder="1" applyAlignment="1">
      <alignment horizontal="left" vertical="center"/>
      <protection locked="0"/>
    </xf>
    <xf numFmtId="0" fontId="30" fillId="0" borderId="8" xfId="0" applyFont="1" applyBorder="1" applyAlignment="1">
      <alignment horizontal="center" vertical="center" wrapText="1"/>
      <protection locked="0"/>
    </xf>
    <xf numFmtId="0" fontId="30" fillId="0" borderId="8" xfId="0" applyFont="1" applyBorder="1" applyAlignment="1">
      <alignment horizontal="center" vertical="center"/>
      <protection locked="0"/>
    </xf>
    <xf numFmtId="0" fontId="62" fillId="0" borderId="8" xfId="0" applyFont="1" applyBorder="1" applyAlignment="1">
      <alignment horizontal="left" vertical="center"/>
      <protection locked="0"/>
    </xf>
    <xf numFmtId="0" fontId="30" fillId="0" borderId="0" xfId="114" applyFont="1" applyAlignment="1">
      <alignment horizontal="center" vertical="center"/>
    </xf>
    <xf numFmtId="0" fontId="30" fillId="0" borderId="0" xfId="0" applyFont="1" applyAlignment="1">
      <alignment horizontal="center" vertical="center" wrapText="1"/>
      <protection locked="0"/>
    </xf>
    <xf numFmtId="0" fontId="25" fillId="0" borderId="0" xfId="0" applyFont="1" applyAlignment="1">
      <alignment horizontal="justify"/>
      <protection locked="0"/>
    </xf>
    <xf numFmtId="0" fontId="20" fillId="0" borderId="0" xfId="0" applyFont="1">
      <protection locked="0"/>
    </xf>
    <xf numFmtId="0" fontId="18" fillId="0" borderId="0" xfId="0" applyFont="1" applyAlignment="1">
      <alignment horizontal="center"/>
      <protection locked="0"/>
    </xf>
    <xf numFmtId="0" fontId="7" fillId="0" borderId="0" xfId="0" applyFont="1" applyAlignment="1">
      <alignment horizontal="justify"/>
      <protection locked="0"/>
    </xf>
    <xf numFmtId="0" fontId="7" fillId="0" borderId="0" xfId="0" applyFont="1">
      <protection locked="0"/>
    </xf>
    <xf numFmtId="0" fontId="7" fillId="0" borderId="0" xfId="0" applyFont="1" applyAlignment="1">
      <alignment horizontal="justify" wrapText="1"/>
      <protection locked="0"/>
    </xf>
    <xf numFmtId="0" fontId="7" fillId="0" borderId="0" xfId="0" applyFont="1" applyAlignment="1">
      <alignment horizontal="left"/>
      <protection locked="0"/>
    </xf>
    <xf numFmtId="0" fontId="30" fillId="0" borderId="0" xfId="110" applyFont="1" applyAlignment="1">
      <alignment vertical="center"/>
    </xf>
    <xf numFmtId="0" fontId="30" fillId="0" borderId="8" xfId="0" applyFont="1" applyBorder="1" applyAlignment="1">
      <alignment horizontal="left" vertical="center" wrapText="1" indent="1"/>
      <protection locked="0"/>
    </xf>
    <xf numFmtId="0" fontId="30" fillId="0" borderId="27" xfId="0" applyFont="1" applyBorder="1" applyAlignment="1">
      <alignment horizontal="left" vertical="center" wrapText="1"/>
      <protection locked="0"/>
    </xf>
    <xf numFmtId="0" fontId="31" fillId="0" borderId="0" xfId="110" applyFont="1" applyAlignment="1">
      <alignment horizontal="center" vertical="center"/>
    </xf>
    <xf numFmtId="0" fontId="65" fillId="0" borderId="0" xfId="110" applyFont="1" applyAlignment="1">
      <alignment horizontal="center" vertical="center"/>
    </xf>
    <xf numFmtId="0" fontId="16" fillId="0" borderId="28" xfId="0" applyFont="1" applyBorder="1" applyAlignment="1">
      <alignment horizontal="left" vertical="center" wrapText="1"/>
      <protection locked="0"/>
    </xf>
    <xf numFmtId="0" fontId="31" fillId="0" borderId="29" xfId="0" applyFont="1" applyBorder="1" applyAlignment="1">
      <alignment horizontal="left" vertical="center" wrapText="1"/>
      <protection locked="0"/>
    </xf>
    <xf numFmtId="0" fontId="31" fillId="0" borderId="30" xfId="0" applyFont="1" applyBorder="1" applyAlignment="1">
      <alignment horizontal="left" vertical="center" wrapText="1"/>
      <protection locked="0"/>
    </xf>
    <xf numFmtId="0" fontId="30" fillId="0" borderId="31" xfId="0" applyFont="1" applyBorder="1" applyAlignment="1">
      <alignment horizontal="left" vertical="center" wrapText="1"/>
      <protection locked="0"/>
    </xf>
    <xf numFmtId="0" fontId="30" fillId="0" borderId="8" xfId="0" applyFont="1" applyBorder="1" applyAlignment="1">
      <alignment horizontal="left" vertical="center" wrapText="1"/>
      <protection locked="0"/>
    </xf>
    <xf numFmtId="0" fontId="30" fillId="0" borderId="28" xfId="0" applyFont="1" applyBorder="1" applyAlignment="1">
      <alignment horizontal="left" vertical="center" wrapText="1" indent="1"/>
      <protection locked="0"/>
    </xf>
    <xf numFmtId="0" fontId="30" fillId="0" borderId="29" xfId="0" applyFont="1" applyBorder="1" applyAlignment="1">
      <alignment horizontal="left" vertical="center" wrapText="1" indent="1"/>
      <protection locked="0"/>
    </xf>
    <xf numFmtId="0" fontId="30" fillId="0" borderId="30" xfId="0" applyFont="1" applyBorder="1" applyAlignment="1">
      <alignment horizontal="left" vertical="center" wrapText="1" indent="1"/>
      <protection locked="0"/>
    </xf>
    <xf numFmtId="0" fontId="30" fillId="0" borderId="28" xfId="0" applyFont="1" applyBorder="1" applyAlignment="1">
      <alignment horizontal="left" vertical="center" wrapText="1"/>
      <protection locked="0"/>
    </xf>
    <xf numFmtId="0" fontId="30" fillId="0" borderId="29" xfId="0" applyFont="1" applyBorder="1" applyAlignment="1">
      <alignment horizontal="left" vertical="center" wrapText="1"/>
      <protection locked="0"/>
    </xf>
    <xf numFmtId="0" fontId="30" fillId="0" borderId="30" xfId="0" applyFont="1" applyBorder="1" applyAlignment="1">
      <alignment horizontal="left" vertical="center" wrapText="1"/>
      <protection locked="0"/>
    </xf>
    <xf numFmtId="0" fontId="12" fillId="0" borderId="8" xfId="0" applyFont="1" applyBorder="1" applyAlignment="1">
      <alignment horizontal="left" vertical="center" wrapText="1"/>
      <protection locked="0"/>
    </xf>
    <xf numFmtId="0" fontId="67" fillId="0" borderId="0" xfId="110" applyFont="1" applyAlignment="1">
      <alignment horizontal="center" vertical="center"/>
    </xf>
    <xf numFmtId="0" fontId="66" fillId="0" borderId="0" xfId="110" applyFont="1" applyAlignment="1">
      <alignment horizontal="center" vertical="center"/>
    </xf>
    <xf numFmtId="0" fontId="16" fillId="0" borderId="8" xfId="0" applyFont="1" applyBorder="1" applyAlignment="1">
      <alignment horizontal="center" vertical="center" wrapText="1"/>
      <protection locked="0"/>
    </xf>
    <xf numFmtId="0" fontId="31" fillId="0" borderId="8" xfId="0" applyFont="1" applyBorder="1" applyAlignment="1">
      <alignment horizontal="center" vertical="center" wrapText="1"/>
      <protection locked="0"/>
    </xf>
    <xf numFmtId="178" fontId="30" fillId="0" borderId="8" xfId="129" applyFont="1" applyBorder="1" applyAlignment="1">
      <alignment horizontal="center" vertical="center" wrapText="1"/>
    </xf>
    <xf numFmtId="0" fontId="68" fillId="0" borderId="0" xfId="0" applyFont="1" applyBorder="1" applyAlignment="1">
      <alignment horizontal="left" vertical="center" wrapText="1"/>
      <protection locked="0"/>
    </xf>
    <xf numFmtId="0" fontId="69" fillId="0" borderId="0" xfId="0" applyFont="1" applyBorder="1" applyAlignment="1">
      <alignment horizontal="left" vertical="center" wrapText="1"/>
      <protection locked="0"/>
    </xf>
    <xf numFmtId="0" fontId="30" fillId="0" borderId="28" xfId="0" applyFont="1" applyBorder="1" applyAlignment="1">
      <alignment horizontal="left" vertical="center" wrapText="1" indent="2"/>
      <protection locked="0"/>
    </xf>
    <xf numFmtId="0" fontId="30" fillId="0" borderId="30" xfId="0" applyFont="1" applyBorder="1" applyAlignment="1">
      <alignment horizontal="left" vertical="center" wrapText="1" indent="2"/>
      <protection locked="0"/>
    </xf>
    <xf numFmtId="0" fontId="30" fillId="0" borderId="8" xfId="0" applyFont="1" applyBorder="1" applyAlignment="1">
      <alignment horizontal="left" vertical="center" wrapText="1" indent="3"/>
      <protection locked="0"/>
    </xf>
    <xf numFmtId="0" fontId="30" fillId="0" borderId="32" xfId="0" applyFont="1" applyBorder="1" applyAlignment="1">
      <alignment horizontal="left" vertical="center"/>
      <protection locked="0"/>
    </xf>
    <xf numFmtId="0" fontId="30" fillId="0" borderId="33" xfId="0" applyFont="1" applyBorder="1" applyAlignment="1">
      <alignment horizontal="left" vertical="center"/>
      <protection locked="0"/>
    </xf>
    <xf numFmtId="0" fontId="30" fillId="0" borderId="34" xfId="0" applyFont="1" applyBorder="1" applyAlignment="1">
      <alignment horizontal="left" vertical="center"/>
      <protection locked="0"/>
    </xf>
    <xf numFmtId="0" fontId="69" fillId="0" borderId="0" xfId="0" applyFont="1" applyAlignment="1">
      <alignment horizontal="left" vertical="center" wrapText="1"/>
      <protection locked="0"/>
    </xf>
    <xf numFmtId="0" fontId="30" fillId="0" borderId="35" xfId="0" applyFont="1" applyBorder="1" applyAlignment="1">
      <alignment horizontal="left" vertical="center" wrapText="1"/>
      <protection locked="0"/>
    </xf>
    <xf numFmtId="0" fontId="30" fillId="0" borderId="0" xfId="0" applyFont="1" applyBorder="1" applyAlignment="1">
      <alignment horizontal="left" vertical="center" wrapText="1"/>
      <protection locked="0"/>
    </xf>
    <xf numFmtId="0" fontId="30" fillId="0" borderId="36" xfId="0" applyFont="1" applyBorder="1" applyAlignment="1">
      <alignment horizontal="left" vertical="center" wrapText="1"/>
      <protection locked="0"/>
    </xf>
    <xf numFmtId="0" fontId="30" fillId="0" borderId="35" xfId="0" applyFont="1" applyBorder="1" applyAlignment="1">
      <alignment horizontal="left" vertical="center"/>
      <protection locked="0"/>
    </xf>
    <xf numFmtId="0" fontId="30" fillId="0" borderId="0" xfId="0" applyFont="1" applyBorder="1" applyAlignment="1">
      <alignment horizontal="left" vertical="center"/>
      <protection locked="0"/>
    </xf>
    <xf numFmtId="0" fontId="30" fillId="0" borderId="36" xfId="0" applyFont="1" applyBorder="1" applyAlignment="1">
      <alignment horizontal="left" vertical="center"/>
      <protection locked="0"/>
    </xf>
    <xf numFmtId="0" fontId="12" fillId="0" borderId="37" xfId="0" applyFont="1" applyBorder="1" applyAlignment="1">
      <alignment horizontal="left" vertical="center"/>
      <protection locked="0"/>
    </xf>
    <xf numFmtId="0" fontId="30" fillId="0" borderId="26" xfId="0" applyFont="1" applyBorder="1" applyAlignment="1">
      <alignment horizontal="left" vertical="center"/>
      <protection locked="0"/>
    </xf>
    <xf numFmtId="0" fontId="30" fillId="0" borderId="38" xfId="0" applyFont="1" applyBorder="1" applyAlignment="1">
      <alignment horizontal="left" vertical="center"/>
      <protection locked="0"/>
    </xf>
    <xf numFmtId="0" fontId="58" fillId="0" borderId="39" xfId="111" applyFont="1" applyFill="1" applyBorder="1" applyAlignment="1">
      <alignment horizontal="center" vertical="center" wrapText="1"/>
      <protection locked="0"/>
    </xf>
    <xf numFmtId="0" fontId="31" fillId="0" borderId="40" xfId="111" applyFont="1" applyFill="1" applyBorder="1" applyAlignment="1">
      <alignment horizontal="center" vertical="center" wrapText="1"/>
      <protection locked="0"/>
    </xf>
    <xf numFmtId="0" fontId="16" fillId="0" borderId="14" xfId="111" applyFont="1" applyFill="1" applyBorder="1" applyAlignment="1">
      <alignment horizontal="center" wrapText="1"/>
      <protection locked="0"/>
    </xf>
    <xf numFmtId="0" fontId="31" fillId="0" borderId="14" xfId="111" applyFont="1" applyFill="1" applyBorder="1" applyAlignment="1">
      <alignment horizontal="center" wrapText="1"/>
      <protection locked="0"/>
    </xf>
    <xf numFmtId="0" fontId="31" fillId="0" borderId="41" xfId="111" applyFont="1" applyFill="1" applyBorder="1" applyAlignment="1">
      <alignment horizontal="center" wrapText="1"/>
      <protection locked="0"/>
    </xf>
  </cellXfs>
  <cellStyles count="140">
    <cellStyle name="?" xfId="1" xr:uid="{00000000-0005-0000-0000-000000000000}"/>
    <cellStyle name="?餡_x000c_k" xfId="2" xr:uid="{00000000-0005-0000-0000-000001000000}"/>
    <cellStyle name="?餡_x000c_k?_x000d_^" xfId="3" xr:uid="{00000000-0005-0000-0000-000002000000}"/>
    <cellStyle name="?餡_x000c_k?_x000d_^黇_x0001_??_x0007__x0001__x0001_" xfId="4" xr:uid="{00000000-0005-0000-0000-000003000000}"/>
    <cellStyle name="@_text" xfId="5" xr:uid="{00000000-0005-0000-0000-000004000000}"/>
    <cellStyle name="_2005审计报表及附注-中国建材股份模板（房屋）" xfId="6" xr:uid="{00000000-0005-0000-0000-000005000000}"/>
    <cellStyle name="_2006年年报审计PBC表-XXX" xfId="7" xr:uid="{00000000-0005-0000-0000-000006000000}"/>
    <cellStyle name="_2006年年报审计填报资料" xfId="8" xr:uid="{00000000-0005-0000-0000-000007000000}"/>
    <cellStyle name="_PBC审核提示" xfId="9" xr:uid="{00000000-0005-0000-0000-000008000000}"/>
    <cellStyle name="_宝丽华房地产20051231" xfId="10" xr:uid="{00000000-0005-0000-0000-000009000000}"/>
    <cellStyle name="_保证金-企业填写部分" xfId="11" xr:uid="{00000000-0005-0000-0000-00000A000000}"/>
    <cellStyle name="_北新房屋2004年审-刘" xfId="12" xr:uid="{00000000-0005-0000-0000-00000B000000}"/>
    <cellStyle name="_北新股份2005年审工作底稿" xfId="13" xr:uid="{00000000-0005-0000-0000-00000C000000}"/>
    <cellStyle name="_北新建材关连交易基础表051230（10－12月版）更新稿" xfId="14" xr:uid="{00000000-0005-0000-0000-00000D000000}"/>
    <cellStyle name="_北新建材-会计报表附注模版" xfId="15" xr:uid="{00000000-0005-0000-0000-00000E000000}"/>
    <cellStyle name="_北新龙之星2004年审工作底稿" xfId="16" xr:uid="{00000000-0005-0000-0000-00000F000000}"/>
    <cellStyle name="_北新物流2005底稿-刘" xfId="17" xr:uid="{00000000-0005-0000-0000-000010000000}"/>
    <cellStyle name="_北新置换memo" xfId="18" xr:uid="{00000000-0005-0000-0000-000011000000}"/>
    <cellStyle name="_存货结转测试" xfId="19" xr:uid="{00000000-0005-0000-0000-000012000000}"/>
    <cellStyle name="_存货数量与明细05.12" xfId="20" xr:uid="{00000000-0005-0000-0000-000013000000}"/>
    <cellStyle name="_动力厂2004年审工作底稿-刘" xfId="21" xr:uid="{00000000-0005-0000-0000-000014000000}"/>
    <cellStyle name="_分工" xfId="22" xr:uid="{00000000-0005-0000-0000-000015000000}"/>
    <cellStyle name="_工程施工项目现场审计提示" xfId="23" xr:uid="{00000000-0005-0000-0000-000016000000}"/>
    <cellStyle name="_关联交易" xfId="24" xr:uid="{00000000-0005-0000-0000-000017000000}"/>
    <cellStyle name="_关联交易、往来统计表" xfId="25" xr:uid="{00000000-0005-0000-0000-000018000000}"/>
    <cellStyle name="_科目核对表" xfId="26" xr:uid="{00000000-0005-0000-0000-000019000000}"/>
    <cellStyle name="_母PL" xfId="27" xr:uid="{00000000-0005-0000-0000-00001A000000}"/>
    <cellStyle name="_人员分工备忘录" xfId="28" xr:uid="{00000000-0005-0000-0000-00001B000000}"/>
    <cellStyle name="_审计所需资料清单－子公司" xfId="29" xr:uid="{00000000-0005-0000-0000-00001C000000}"/>
    <cellStyle name="_长期借款－江阴" xfId="30" xr:uid="{00000000-0005-0000-0000-00001D000000}"/>
    <cellStyle name="{Comma [0]}" xfId="31" xr:uid="{00000000-0005-0000-0000-00001E000000}"/>
    <cellStyle name="{Comma}" xfId="32" xr:uid="{00000000-0005-0000-0000-00001F000000}"/>
    <cellStyle name="{Date}" xfId="33" xr:uid="{00000000-0005-0000-0000-000020000000}"/>
    <cellStyle name="{Month}" xfId="34" xr:uid="{00000000-0005-0000-0000-000021000000}"/>
    <cellStyle name="{Percent}" xfId="35" xr:uid="{00000000-0005-0000-0000-000022000000}"/>
    <cellStyle name="{Thousand [0]}" xfId="36" xr:uid="{00000000-0005-0000-0000-000023000000}"/>
    <cellStyle name="{Thousand}" xfId="37" xr:uid="{00000000-0005-0000-0000-000024000000}"/>
    <cellStyle name="{Z'0000(1 dec)}" xfId="38" xr:uid="{00000000-0005-0000-0000-000025000000}"/>
    <cellStyle name="{Z'0000(4 dec)}" xfId="39" xr:uid="{00000000-0005-0000-0000-000026000000}"/>
    <cellStyle name="0%" xfId="40" xr:uid="{00000000-0005-0000-0000-000027000000}"/>
    <cellStyle name="0.0%" xfId="41" xr:uid="{00000000-0005-0000-0000-000028000000}"/>
    <cellStyle name="0.00%" xfId="42" xr:uid="{00000000-0005-0000-0000-000029000000}"/>
    <cellStyle name="Black" xfId="43" xr:uid="{00000000-0005-0000-0000-00002A000000}"/>
    <cellStyle name="Border" xfId="44" xr:uid="{00000000-0005-0000-0000-00002B000000}"/>
    <cellStyle name="Calc Currency (0)" xfId="45" xr:uid="{00000000-0005-0000-0000-00002C000000}"/>
    <cellStyle name="Col Heads" xfId="46" xr:uid="{00000000-0005-0000-0000-00002D000000}"/>
    <cellStyle name="Column_Title" xfId="47" xr:uid="{00000000-0005-0000-0000-00002E000000}"/>
    <cellStyle name="Comma  - Style1" xfId="48" xr:uid="{00000000-0005-0000-0000-00002F000000}"/>
    <cellStyle name="Comma  - Style2" xfId="49" xr:uid="{00000000-0005-0000-0000-000030000000}"/>
    <cellStyle name="Comma  - Style3" xfId="50" xr:uid="{00000000-0005-0000-0000-000031000000}"/>
    <cellStyle name="Comma  - Style4" xfId="51" xr:uid="{00000000-0005-0000-0000-000032000000}"/>
    <cellStyle name="Comma  - Style5" xfId="52" xr:uid="{00000000-0005-0000-0000-000033000000}"/>
    <cellStyle name="Comma  - Style6" xfId="53" xr:uid="{00000000-0005-0000-0000-000034000000}"/>
    <cellStyle name="Comma  - Style7" xfId="54" xr:uid="{00000000-0005-0000-0000-000035000000}"/>
    <cellStyle name="Comma  - Style8" xfId="55" xr:uid="{00000000-0005-0000-0000-000036000000}"/>
    <cellStyle name="Comma [0]_ rislugp" xfId="56" xr:uid="{00000000-0005-0000-0000-000037000000}"/>
    <cellStyle name="Comma,0" xfId="57" xr:uid="{00000000-0005-0000-0000-000038000000}"/>
    <cellStyle name="Comma,1" xfId="58" xr:uid="{00000000-0005-0000-0000-000039000000}"/>
    <cellStyle name="Comma,2" xfId="59" xr:uid="{00000000-0005-0000-0000-00003A000000}"/>
    <cellStyle name="Comma_ rislugp" xfId="60" xr:uid="{00000000-0005-0000-0000-00003B000000}"/>
    <cellStyle name="Currency [0]_ rislugp" xfId="61" xr:uid="{00000000-0005-0000-0000-00003C000000}"/>
    <cellStyle name="Currency,0" xfId="62" xr:uid="{00000000-0005-0000-0000-00003D000000}"/>
    <cellStyle name="Currency,2" xfId="63" xr:uid="{00000000-0005-0000-0000-00003E000000}"/>
    <cellStyle name="Currency_ rislugp" xfId="64" xr:uid="{00000000-0005-0000-0000-00003F000000}"/>
    <cellStyle name="Dezimal [0]_laroux" xfId="65" xr:uid="{00000000-0005-0000-0000-000040000000}"/>
    <cellStyle name="Dezimal_laroux" xfId="66" xr:uid="{00000000-0005-0000-0000-000041000000}"/>
    <cellStyle name="entry" xfId="67" xr:uid="{00000000-0005-0000-0000-000042000000}"/>
    <cellStyle name="entry box" xfId="68" xr:uid="{00000000-0005-0000-0000-000043000000}"/>
    <cellStyle name="Euro" xfId="69" xr:uid="{00000000-0005-0000-0000-000044000000}"/>
    <cellStyle name="Followed Hyperlink_AheadBehind.xls Chart 23" xfId="70" xr:uid="{00000000-0005-0000-0000-000045000000}"/>
    <cellStyle name="Grey" xfId="71" xr:uid="{00000000-0005-0000-0000-000046000000}"/>
    <cellStyle name="Header1" xfId="72" xr:uid="{00000000-0005-0000-0000-000047000000}"/>
    <cellStyle name="Header2" xfId="73" xr:uid="{00000000-0005-0000-0000-000048000000}"/>
    <cellStyle name="Heading" xfId="74" xr:uid="{00000000-0005-0000-0000-000049000000}"/>
    <cellStyle name="Hyperlink_AheadBehind.xls Chart 23" xfId="75" xr:uid="{00000000-0005-0000-0000-00004A000000}"/>
    <cellStyle name="Input [yellow]" xfId="76" xr:uid="{00000000-0005-0000-0000-00004B000000}"/>
    <cellStyle name="left" xfId="77" xr:uid="{00000000-0005-0000-0000-00004C000000}"/>
    <cellStyle name="Millares [0]_laroux" xfId="78" xr:uid="{00000000-0005-0000-0000-00004D000000}"/>
    <cellStyle name="Millares_laroux" xfId="79" xr:uid="{00000000-0005-0000-0000-00004E000000}"/>
    <cellStyle name="Milliers [0]_laroux" xfId="80" xr:uid="{00000000-0005-0000-0000-00004F000000}"/>
    <cellStyle name="Milliers_laroux" xfId="81" xr:uid="{00000000-0005-0000-0000-000050000000}"/>
    <cellStyle name="Moneda [0]_laroux" xfId="82" xr:uid="{00000000-0005-0000-0000-000051000000}"/>
    <cellStyle name="Moneda_laroux" xfId="83" xr:uid="{00000000-0005-0000-0000-000052000000}"/>
    <cellStyle name="Mon閠aire [0]_laroux" xfId="84" xr:uid="{00000000-0005-0000-0000-000053000000}"/>
    <cellStyle name="Mon閠aire_laroux" xfId="85" xr:uid="{00000000-0005-0000-0000-000054000000}"/>
    <cellStyle name="no dec" xfId="86" xr:uid="{00000000-0005-0000-0000-000055000000}"/>
    <cellStyle name="Non défini" xfId="87" xr:uid="{00000000-0005-0000-0000-000056000000}"/>
    <cellStyle name="Normal - Style1" xfId="88" xr:uid="{00000000-0005-0000-0000-000057000000}"/>
    <cellStyle name="Normal_ rislugp" xfId="89" xr:uid="{00000000-0005-0000-0000-000058000000}"/>
    <cellStyle name="Normalny_Arkusz1" xfId="90" xr:uid="{00000000-0005-0000-0000-000059000000}"/>
    <cellStyle name="Percent (0)" xfId="91" xr:uid="{00000000-0005-0000-0000-00005A000000}"/>
    <cellStyle name="Percent [2]" xfId="92" xr:uid="{00000000-0005-0000-0000-00005B000000}"/>
    <cellStyle name="Prefilled" xfId="93" xr:uid="{00000000-0005-0000-0000-00005C000000}"/>
    <cellStyle name="price" xfId="94" xr:uid="{00000000-0005-0000-0000-00005D000000}"/>
    <cellStyle name="Red" xfId="95" xr:uid="{00000000-0005-0000-0000-00005E000000}"/>
    <cellStyle name="revised" xfId="96" xr:uid="{00000000-0005-0000-0000-00005F000000}"/>
    <cellStyle name="S4" xfId="97" xr:uid="{00000000-0005-0000-0000-000060000000}"/>
    <cellStyle name="S5" xfId="98" xr:uid="{00000000-0005-0000-0000-000061000000}"/>
    <cellStyle name="section" xfId="99" xr:uid="{00000000-0005-0000-0000-000062000000}"/>
    <cellStyle name="style" xfId="100" xr:uid="{00000000-0005-0000-0000-000063000000}"/>
    <cellStyle name="style1" xfId="101" xr:uid="{00000000-0005-0000-0000-000064000000}"/>
    <cellStyle name="style2" xfId="102" xr:uid="{00000000-0005-0000-0000-000065000000}"/>
    <cellStyle name="Tickmark" xfId="103" xr:uid="{00000000-0005-0000-0000-000066000000}"/>
    <cellStyle name="title" xfId="104" xr:uid="{00000000-0005-0000-0000-000067000000}"/>
    <cellStyle name="wrap" xfId="105" xr:uid="{00000000-0005-0000-0000-000068000000}"/>
    <cellStyle name="パーセント_laroux" xfId="106" xr:uid="{00000000-0005-0000-0000-000069000000}"/>
    <cellStyle name="百分比" xfId="107" builtinId="5"/>
    <cellStyle name="標準_１１月価格表" xfId="108" xr:uid="{00000000-0005-0000-0000-00006B000000}"/>
    <cellStyle name="常规" xfId="0" builtinId="0"/>
    <cellStyle name="常规 2" xfId="109" xr:uid="{00000000-0005-0000-0000-00006D000000}"/>
    <cellStyle name="常规_Book1" xfId="110" xr:uid="{00000000-0005-0000-0000-00006E000000}"/>
    <cellStyle name="常规_EPS-ROE计算（新）" xfId="111" xr:uid="{00000000-0005-0000-0000-00006F000000}"/>
    <cellStyle name="常规_sheet" xfId="112" xr:uid="{00000000-0005-0000-0000-000070000000}"/>
    <cellStyle name="常规_通用表" xfId="113" xr:uid="{00000000-0005-0000-0000-000071000000}"/>
    <cellStyle name="常规_制造费用" xfId="114" xr:uid="{00000000-0005-0000-0000-000072000000}"/>
    <cellStyle name="超级链接_B4-1审计项目工时预算与控制表(集团)" xfId="115" xr:uid="{00000000-0005-0000-0000-000073000000}"/>
    <cellStyle name="超链接" xfId="116" builtinId="8"/>
    <cellStyle name="分级显示行_1_4附件二凯旋评估表" xfId="117" xr:uid="{00000000-0005-0000-0000-000075000000}"/>
    <cellStyle name="桁区切り [0.00]_１１月価格表" xfId="118" xr:uid="{00000000-0005-0000-0000-000076000000}"/>
    <cellStyle name="桁区切り_１１月価格表" xfId="119" xr:uid="{00000000-0005-0000-0000-000077000000}"/>
    <cellStyle name="霓付 [0]_97MBO" xfId="120" xr:uid="{00000000-0005-0000-0000-000078000000}"/>
    <cellStyle name="霓付_97MBO" xfId="121" xr:uid="{00000000-0005-0000-0000-000079000000}"/>
    <cellStyle name="烹拳 [0]_97MBO" xfId="122" xr:uid="{00000000-0005-0000-0000-00007A000000}"/>
    <cellStyle name="烹拳_97MBO" xfId="123" xr:uid="{00000000-0005-0000-0000-00007B000000}"/>
    <cellStyle name="普通_ 白土" xfId="124" xr:uid="{00000000-0005-0000-0000-00007C000000}"/>
    <cellStyle name="千分位[0]_ 白土" xfId="125" xr:uid="{00000000-0005-0000-0000-00007D000000}"/>
    <cellStyle name="千分位_ 白土" xfId="126" xr:uid="{00000000-0005-0000-0000-00007E000000}"/>
    <cellStyle name="千位[0]_97汇总" xfId="127" xr:uid="{00000000-0005-0000-0000-00007F000000}"/>
    <cellStyle name="千位_97汇总" xfId="128" xr:uid="{00000000-0005-0000-0000-000080000000}"/>
    <cellStyle name="千位分隔" xfId="129" builtinId="3"/>
    <cellStyle name="千位分隔 2" xfId="130" xr:uid="{00000000-0005-0000-0000-000082000000}"/>
    <cellStyle name="钎霖_laroux" xfId="131" xr:uid="{00000000-0005-0000-0000-000083000000}"/>
    <cellStyle name="通貨 [0.00]_１１月価格表" xfId="132" xr:uid="{00000000-0005-0000-0000-000084000000}"/>
    <cellStyle name="通貨_１１月価格表" xfId="133" xr:uid="{00000000-0005-0000-0000-000085000000}"/>
    <cellStyle name="样式 1" xfId="134" xr:uid="{00000000-0005-0000-0000-000086000000}"/>
    <cellStyle name="콤마 [0]_BOILER-CO1" xfId="135" xr:uid="{00000000-0005-0000-0000-000087000000}"/>
    <cellStyle name="콤마_BOILER-CO1" xfId="136" xr:uid="{00000000-0005-0000-0000-000088000000}"/>
    <cellStyle name="통화 [0]_BOILER-CO1" xfId="137" xr:uid="{00000000-0005-0000-0000-000089000000}"/>
    <cellStyle name="통화_BOILER-CO1" xfId="138" xr:uid="{00000000-0005-0000-0000-00008A000000}"/>
    <cellStyle name="표준_0N-HANDLING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0</xdr:rowOff>
    </xdr:from>
    <xdr:to>
      <xdr:col>2</xdr:col>
      <xdr:colOff>19050</xdr:colOff>
      <xdr:row>9</xdr:row>
      <xdr:rowOff>0</xdr:rowOff>
    </xdr:to>
    <xdr:sp macro="" textlink="">
      <xdr:nvSpPr>
        <xdr:cNvPr id="1113" name="Line 1">
          <a:extLst>
            <a:ext uri="{FF2B5EF4-FFF2-40B4-BE49-F238E27FC236}">
              <a16:creationId xmlns:a16="http://schemas.microsoft.com/office/drawing/2014/main" id="{649FAC6F-2F92-856F-1228-6A65DA28BF05}"/>
            </a:ext>
          </a:extLst>
        </xdr:cNvPr>
        <xdr:cNvSpPr>
          <a:spLocks noChangeShapeType="1"/>
        </xdr:cNvSpPr>
      </xdr:nvSpPr>
      <xdr:spPr bwMode="auto">
        <a:xfrm flipV="1">
          <a:off x="2466975" y="1914525"/>
          <a:ext cx="923925" cy="4953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7</xdr:row>
      <xdr:rowOff>0</xdr:rowOff>
    </xdr:from>
    <xdr:to>
      <xdr:col>4</xdr:col>
      <xdr:colOff>9525</xdr:colOff>
      <xdr:row>9</xdr:row>
      <xdr:rowOff>0</xdr:rowOff>
    </xdr:to>
    <xdr:sp macro="" textlink="">
      <xdr:nvSpPr>
        <xdr:cNvPr id="1114" name="Line 2">
          <a:extLst>
            <a:ext uri="{FF2B5EF4-FFF2-40B4-BE49-F238E27FC236}">
              <a16:creationId xmlns:a16="http://schemas.microsoft.com/office/drawing/2014/main" id="{F87A396D-DE5C-1C2A-250F-BAB38E1942DA}"/>
            </a:ext>
          </a:extLst>
        </xdr:cNvPr>
        <xdr:cNvSpPr>
          <a:spLocks noChangeShapeType="1"/>
        </xdr:cNvSpPr>
      </xdr:nvSpPr>
      <xdr:spPr bwMode="auto">
        <a:xfrm flipV="1">
          <a:off x="4229100" y="1914525"/>
          <a:ext cx="1162050" cy="4953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xdr:col>
      <xdr:colOff>28575</xdr:colOff>
      <xdr:row>29</xdr:row>
      <xdr:rowOff>0</xdr:rowOff>
    </xdr:from>
    <xdr:to>
      <xdr:col>3</xdr:col>
      <xdr:colOff>9525</xdr:colOff>
      <xdr:row>30</xdr:row>
      <xdr:rowOff>0</xdr:rowOff>
    </xdr:to>
    <xdr:sp macro="" textlink="">
      <xdr:nvSpPr>
        <xdr:cNvPr id="1115" name="Line 3">
          <a:extLst>
            <a:ext uri="{FF2B5EF4-FFF2-40B4-BE49-F238E27FC236}">
              <a16:creationId xmlns:a16="http://schemas.microsoft.com/office/drawing/2014/main" id="{B3FFADDA-4EB0-D483-4E82-648D71558612}"/>
            </a:ext>
          </a:extLst>
        </xdr:cNvPr>
        <xdr:cNvSpPr>
          <a:spLocks noChangeShapeType="1"/>
        </xdr:cNvSpPr>
      </xdr:nvSpPr>
      <xdr:spPr bwMode="auto">
        <a:xfrm flipV="1">
          <a:off x="2476500" y="7515225"/>
          <a:ext cx="1752600" cy="2476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29</xdr:row>
      <xdr:rowOff>9525</xdr:rowOff>
    </xdr:from>
    <xdr:to>
      <xdr:col>4</xdr:col>
      <xdr:colOff>942975</xdr:colOff>
      <xdr:row>29</xdr:row>
      <xdr:rowOff>371475</xdr:rowOff>
    </xdr:to>
    <xdr:sp macro="" textlink="">
      <xdr:nvSpPr>
        <xdr:cNvPr id="1116" name="Line 4">
          <a:extLst>
            <a:ext uri="{FF2B5EF4-FFF2-40B4-BE49-F238E27FC236}">
              <a16:creationId xmlns:a16="http://schemas.microsoft.com/office/drawing/2014/main" id="{3125A10A-E7DC-AE83-589F-876DFC85A379}"/>
            </a:ext>
          </a:extLst>
        </xdr:cNvPr>
        <xdr:cNvSpPr>
          <a:spLocks noChangeShapeType="1"/>
        </xdr:cNvSpPr>
      </xdr:nvSpPr>
      <xdr:spPr bwMode="auto">
        <a:xfrm flipV="1">
          <a:off x="5391150" y="7524750"/>
          <a:ext cx="933450" cy="2381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3457;&#35745;\4&#26376;\2270%20For%20MORGAN-Consolidation%202002-200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25105;&#30340;&#24037;&#20316;\&#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0"/>
  <sheetViews>
    <sheetView tabSelected="1" workbookViewId="0">
      <selection activeCell="E15" sqref="E15"/>
    </sheetView>
  </sheetViews>
  <sheetFormatPr defaultColWidth="9" defaultRowHeight="20.100000000000001" customHeight="1"/>
  <cols>
    <col min="1" max="1" width="77.59765625" style="13" customWidth="1"/>
    <col min="2" max="2" width="2" style="13" customWidth="1"/>
    <col min="3" max="3" width="2.09765625" style="13" customWidth="1"/>
    <col min="4" max="4" width="6.09765625" style="13" customWidth="1"/>
    <col min="5" max="5" width="26.09765625" style="13" bestFit="1" customWidth="1"/>
    <col min="6" max="6" width="20.5" style="13" bestFit="1" customWidth="1"/>
    <col min="7" max="16384" width="9" style="10"/>
  </cols>
  <sheetData>
    <row r="1" spans="1:8" s="5" customFormat="1" ht="20.100000000000001" customHeight="1">
      <c r="A1" s="2" t="s">
        <v>14</v>
      </c>
      <c r="B1" s="3"/>
      <c r="C1" s="3"/>
      <c r="D1" s="4"/>
      <c r="E1" s="4"/>
      <c r="F1" s="4"/>
    </row>
    <row r="2" spans="1:8" ht="20.100000000000001" customHeight="1">
      <c r="A2" s="6" t="s">
        <v>15</v>
      </c>
      <c r="B2" s="7"/>
      <c r="C2" s="7"/>
      <c r="D2" s="8" t="s">
        <v>16</v>
      </c>
      <c r="E2" s="8" t="s">
        <v>17</v>
      </c>
      <c r="F2" s="8" t="s">
        <v>18</v>
      </c>
      <c r="G2" s="9"/>
      <c r="H2" s="9"/>
    </row>
    <row r="3" spans="1:8" ht="20.100000000000001" customHeight="1">
      <c r="A3" s="6" t="s">
        <v>206</v>
      </c>
      <c r="B3" s="7"/>
      <c r="C3" s="7"/>
      <c r="D3" s="11">
        <v>1</v>
      </c>
      <c r="E3" s="12" t="s">
        <v>196</v>
      </c>
      <c r="F3" s="13" t="s">
        <v>19</v>
      </c>
      <c r="G3" s="9"/>
      <c r="H3" s="14"/>
    </row>
    <row r="4" spans="1:8" ht="20.100000000000001" customHeight="1">
      <c r="A4" s="6" t="s">
        <v>20</v>
      </c>
      <c r="B4" s="15"/>
      <c r="C4" s="15"/>
      <c r="D4" s="16">
        <v>2</v>
      </c>
      <c r="E4" s="17" t="s">
        <v>197</v>
      </c>
      <c r="F4" s="18" t="s">
        <v>21</v>
      </c>
      <c r="G4" s="9"/>
      <c r="H4" s="19"/>
    </row>
    <row r="5" spans="1:8" ht="20.100000000000001" customHeight="1">
      <c r="A5" s="6" t="s">
        <v>22</v>
      </c>
      <c r="D5" s="20">
        <v>3</v>
      </c>
      <c r="E5" s="17" t="s">
        <v>198</v>
      </c>
      <c r="F5" s="13" t="s">
        <v>71</v>
      </c>
      <c r="G5" s="21"/>
      <c r="H5" s="21"/>
    </row>
    <row r="6" spans="1:8" ht="20.100000000000001" customHeight="1">
      <c r="A6" s="22"/>
      <c r="D6" s="16">
        <v>4</v>
      </c>
      <c r="E6" s="17" t="s">
        <v>199</v>
      </c>
      <c r="F6" s="13" t="s">
        <v>71</v>
      </c>
    </row>
    <row r="7" spans="1:8" ht="20.100000000000001" customHeight="1">
      <c r="A7" s="113"/>
      <c r="D7" s="97">
        <v>5</v>
      </c>
      <c r="E7" s="24" t="s">
        <v>204</v>
      </c>
      <c r="F7" s="23" t="s">
        <v>205</v>
      </c>
    </row>
    <row r="8" spans="1:8" ht="20.100000000000001" customHeight="1">
      <c r="A8" s="114"/>
      <c r="F8" s="23"/>
    </row>
    <row r="9" spans="1:8" ht="20.100000000000001" customHeight="1">
      <c r="A9" s="115" t="s">
        <v>183</v>
      </c>
      <c r="F9" s="23"/>
    </row>
    <row r="10" spans="1:8" ht="20.100000000000001" customHeight="1">
      <c r="A10" s="113" t="s">
        <v>23</v>
      </c>
      <c r="F10" s="23"/>
    </row>
    <row r="11" spans="1:8" ht="20.100000000000001" customHeight="1">
      <c r="A11" s="113"/>
    </row>
    <row r="12" spans="1:8" ht="20.100000000000001" customHeight="1">
      <c r="A12" s="116" t="s">
        <v>184</v>
      </c>
      <c r="F12" s="23"/>
    </row>
    <row r="13" spans="1:8" ht="20.100000000000001" customHeight="1">
      <c r="A13" s="113" t="s">
        <v>24</v>
      </c>
      <c r="F13" s="23"/>
    </row>
    <row r="14" spans="1:8" ht="20.100000000000001" customHeight="1">
      <c r="A14" s="116" t="s">
        <v>25</v>
      </c>
    </row>
    <row r="15" spans="1:8" ht="20.100000000000001" customHeight="1">
      <c r="A15" s="117" t="s">
        <v>26</v>
      </c>
    </row>
    <row r="16" spans="1:8" ht="20.100000000000001" customHeight="1">
      <c r="A16" s="117" t="s">
        <v>27</v>
      </c>
    </row>
    <row r="17" spans="1:1" ht="35.25" customHeight="1">
      <c r="A17" s="113" t="s">
        <v>185</v>
      </c>
    </row>
    <row r="18" spans="1:1" ht="46.8">
      <c r="A18" s="118" t="s">
        <v>186</v>
      </c>
    </row>
    <row r="19" spans="1:1" ht="20.100000000000001" customHeight="1">
      <c r="A19" s="119"/>
    </row>
    <row r="20" spans="1:1" ht="20.100000000000001" customHeight="1">
      <c r="A20" s="114"/>
    </row>
  </sheetData>
  <phoneticPr fontId="11" type="noConversion"/>
  <hyperlinks>
    <hyperlink ref="E3" location="审计程序S15!A1" display="审计程序S15" xr:uid="{00000000-0004-0000-0000-000000000000}"/>
    <hyperlink ref="E4" location="'审定表S15-1'!A1" display="审定表S15-1" xr:uid="{00000000-0004-0000-0000-000001000000}"/>
    <hyperlink ref="E5" location="'基本每股收益计算表S15-2'!A1" display="基本每股收益计算表S15-2" xr:uid="{00000000-0004-0000-0000-000002000000}"/>
    <hyperlink ref="E6" location="'稀释每股收益计算表S15-3'!A1" display="稀释每股收益计算表S15-3" xr:uid="{00000000-0004-0000-0000-000003000000}"/>
    <hyperlink ref="E7" location="'净资产收益率计算S15-4'!A1" display="净资产收益率计算S15-4" xr:uid="{00000000-0004-0000-0000-000004000000}"/>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30"/>
  <sheetViews>
    <sheetView zoomScaleNormal="100" zoomScaleSheetLayoutView="100" workbookViewId="0">
      <selection activeCell="A5" sqref="A5"/>
    </sheetView>
  </sheetViews>
  <sheetFormatPr defaultColWidth="9" defaultRowHeight="20.100000000000001" customHeight="1"/>
  <cols>
    <col min="1" max="1" width="22.19921875" style="29" customWidth="1"/>
    <col min="2" max="7" width="10.59765625" style="29" customWidth="1"/>
    <col min="8" max="8" width="10.59765625" style="111" customWidth="1"/>
    <col min="9" max="16384" width="9" style="29"/>
  </cols>
  <sheetData>
    <row r="1" spans="1:8" s="27" customFormat="1" ht="18" customHeight="1">
      <c r="A1" s="123" t="s">
        <v>189</v>
      </c>
      <c r="B1" s="123"/>
      <c r="C1" s="123"/>
      <c r="D1" s="123"/>
      <c r="E1" s="123"/>
      <c r="F1" s="123"/>
      <c r="G1" s="123"/>
      <c r="H1" s="123"/>
    </row>
    <row r="2" spans="1:8" s="27" customFormat="1" ht="22.5" customHeight="1">
      <c r="A2" s="124" t="s">
        <v>188</v>
      </c>
      <c r="B2" s="124"/>
      <c r="C2" s="124"/>
      <c r="D2" s="124"/>
      <c r="E2" s="124"/>
      <c r="F2" s="124"/>
      <c r="G2" s="124"/>
      <c r="H2" s="124"/>
    </row>
    <row r="3" spans="1:8" s="30" customFormat="1" ht="20.100000000000001" customHeight="1">
      <c r="A3" s="35" t="str">
        <f>'表头（请先填写）'!A2</f>
        <v>客户名称：</v>
      </c>
      <c r="B3" s="35"/>
      <c r="C3" s="35" t="str">
        <f>'表头（请先填写）'!A4</f>
        <v>编制人：</v>
      </c>
      <c r="E3" s="35" t="str">
        <f>'表头（请先填写）'!A5</f>
        <v>日期：</v>
      </c>
      <c r="G3" s="104" t="s">
        <v>127</v>
      </c>
      <c r="H3" s="105" t="s">
        <v>194</v>
      </c>
    </row>
    <row r="4" spans="1:8" s="30" customFormat="1" ht="20.100000000000001" customHeight="1">
      <c r="A4" s="35" t="str">
        <f>'表头（请先填写）'!A3</f>
        <v>会计期间：2023年度</v>
      </c>
      <c r="B4" s="35"/>
      <c r="C4" s="35" t="s">
        <v>128</v>
      </c>
      <c r="E4" s="35" t="s">
        <v>129</v>
      </c>
      <c r="G4" s="104" t="s">
        <v>131</v>
      </c>
    </row>
    <row r="5" spans="1:8" s="30" customFormat="1" ht="20.100000000000001" customHeight="1">
      <c r="A5" s="35"/>
      <c r="B5" s="35"/>
      <c r="C5" s="35"/>
      <c r="E5" s="35"/>
      <c r="G5" s="104"/>
    </row>
    <row r="6" spans="1:8" ht="20.100000000000001" customHeight="1">
      <c r="A6" s="106" t="s">
        <v>132</v>
      </c>
      <c r="B6" s="106"/>
      <c r="C6" s="106"/>
      <c r="D6" s="106"/>
      <c r="E6" s="106"/>
      <c r="F6" s="106"/>
      <c r="G6" s="106"/>
      <c r="H6" s="106"/>
    </row>
    <row r="7" spans="1:8" ht="36.75" customHeight="1">
      <c r="A7" s="128" t="s">
        <v>133</v>
      </c>
      <c r="B7" s="128"/>
      <c r="C7" s="128"/>
      <c r="D7" s="128"/>
      <c r="E7" s="128"/>
      <c r="F7" s="128"/>
      <c r="G7" s="128"/>
      <c r="H7" s="128"/>
    </row>
    <row r="8" spans="1:8" ht="20.100000000000001" customHeight="1">
      <c r="A8" s="122" t="s">
        <v>134</v>
      </c>
      <c r="B8" s="122"/>
      <c r="C8" s="122"/>
      <c r="D8" s="122"/>
      <c r="E8" s="122"/>
      <c r="F8" s="122"/>
      <c r="G8" s="122"/>
      <c r="H8" s="122"/>
    </row>
    <row r="9" spans="1:8" ht="12.75" customHeight="1">
      <c r="A9" s="122"/>
      <c r="B9" s="122"/>
      <c r="C9" s="122"/>
      <c r="D9" s="122"/>
      <c r="E9" s="122"/>
      <c r="F9" s="122"/>
      <c r="G9" s="122"/>
      <c r="H9" s="122"/>
    </row>
    <row r="10" spans="1:8" ht="20.100000000000001" customHeight="1">
      <c r="A10" s="125" t="s">
        <v>144</v>
      </c>
      <c r="B10" s="126"/>
      <c r="C10" s="126"/>
      <c r="D10" s="126"/>
      <c r="E10" s="126"/>
      <c r="F10" s="127"/>
      <c r="G10" s="31" t="s">
        <v>130</v>
      </c>
      <c r="H10" s="31" t="s">
        <v>135</v>
      </c>
    </row>
    <row r="11" spans="1:8" ht="20.100000000000001" customHeight="1">
      <c r="A11" s="129" t="s">
        <v>145</v>
      </c>
      <c r="B11" s="129"/>
      <c r="C11" s="129"/>
      <c r="D11" s="129"/>
      <c r="E11" s="129"/>
      <c r="F11" s="129"/>
      <c r="G11" s="107"/>
      <c r="H11" s="108" t="s">
        <v>190</v>
      </c>
    </row>
    <row r="12" spans="1:8" ht="20.100000000000001" customHeight="1">
      <c r="A12" s="121" t="s">
        <v>136</v>
      </c>
      <c r="B12" s="121"/>
      <c r="C12" s="121"/>
      <c r="D12" s="121"/>
      <c r="E12" s="121"/>
      <c r="F12" s="121"/>
      <c r="G12" s="107"/>
      <c r="H12" s="109"/>
    </row>
    <row r="13" spans="1:8" ht="20.100000000000001" customHeight="1">
      <c r="A13" s="121" t="s">
        <v>137</v>
      </c>
      <c r="B13" s="121"/>
      <c r="C13" s="121"/>
      <c r="D13" s="121"/>
      <c r="E13" s="121"/>
      <c r="F13" s="121"/>
      <c r="G13" s="110"/>
      <c r="H13" s="109"/>
    </row>
    <row r="14" spans="1:8" ht="20.100000000000001" customHeight="1">
      <c r="A14" s="129" t="s">
        <v>138</v>
      </c>
      <c r="B14" s="129"/>
      <c r="C14" s="129"/>
      <c r="D14" s="129"/>
      <c r="E14" s="129"/>
      <c r="F14" s="129"/>
      <c r="G14" s="110"/>
      <c r="H14" s="109" t="s">
        <v>195</v>
      </c>
    </row>
    <row r="15" spans="1:8" ht="20.100000000000001" customHeight="1">
      <c r="A15" s="129" t="s">
        <v>139</v>
      </c>
      <c r="B15" s="129"/>
      <c r="C15" s="129"/>
      <c r="D15" s="129"/>
      <c r="E15" s="129"/>
      <c r="F15" s="129"/>
      <c r="G15" s="107"/>
      <c r="H15" s="109"/>
    </row>
    <row r="16" spans="1:8" ht="20.100000000000001" customHeight="1">
      <c r="A16" s="121" t="s">
        <v>140</v>
      </c>
      <c r="B16" s="121"/>
      <c r="C16" s="121"/>
      <c r="D16" s="121"/>
      <c r="E16" s="121"/>
      <c r="F16" s="121"/>
      <c r="G16" s="107"/>
      <c r="H16" s="109"/>
    </row>
    <row r="17" spans="1:8" ht="20.100000000000001" customHeight="1">
      <c r="A17" s="121" t="s">
        <v>141</v>
      </c>
      <c r="B17" s="121"/>
      <c r="C17" s="121"/>
      <c r="D17" s="121"/>
      <c r="E17" s="121"/>
      <c r="F17" s="121"/>
      <c r="G17" s="107"/>
      <c r="H17" s="109"/>
    </row>
    <row r="18" spans="1:8" ht="20.100000000000001" customHeight="1">
      <c r="A18" s="121" t="s">
        <v>142</v>
      </c>
      <c r="B18" s="121"/>
      <c r="C18" s="121"/>
      <c r="D18" s="121"/>
      <c r="E18" s="121"/>
      <c r="F18" s="121"/>
      <c r="G18" s="107"/>
      <c r="H18" s="109" t="s">
        <v>190</v>
      </c>
    </row>
    <row r="19" spans="1:8" ht="20.100000000000001" customHeight="1">
      <c r="A19" s="121" t="s">
        <v>143</v>
      </c>
      <c r="B19" s="121"/>
      <c r="C19" s="121"/>
      <c r="D19" s="121"/>
      <c r="E19" s="121"/>
      <c r="F19" s="121"/>
      <c r="G19" s="107"/>
      <c r="H19" s="109" t="s">
        <v>195</v>
      </c>
    </row>
    <row r="20" spans="1:8" ht="20.100000000000001" customHeight="1">
      <c r="A20" s="121"/>
      <c r="B20" s="121"/>
      <c r="C20" s="121"/>
      <c r="D20" s="121"/>
      <c r="E20" s="121"/>
      <c r="F20" s="121"/>
      <c r="G20" s="107"/>
      <c r="H20" s="109"/>
    </row>
    <row r="21" spans="1:8" ht="20.100000000000001" customHeight="1">
      <c r="A21" s="121"/>
      <c r="B21" s="121"/>
      <c r="C21" s="121"/>
      <c r="D21" s="121"/>
      <c r="E21" s="121"/>
      <c r="F21" s="121"/>
      <c r="G21" s="110"/>
      <c r="H21" s="109"/>
    </row>
    <row r="22" spans="1:8" ht="20.100000000000001" customHeight="1">
      <c r="A22" s="130"/>
      <c r="B22" s="131"/>
      <c r="C22" s="131"/>
      <c r="D22" s="131"/>
      <c r="E22" s="131"/>
      <c r="F22" s="132"/>
      <c r="G22" s="110"/>
      <c r="H22" s="109"/>
    </row>
    <row r="23" spans="1:8" ht="20.100000000000001" customHeight="1">
      <c r="A23" s="133"/>
      <c r="B23" s="134"/>
      <c r="C23" s="134"/>
      <c r="D23" s="134"/>
      <c r="E23" s="134"/>
      <c r="F23" s="135"/>
      <c r="G23" s="110"/>
      <c r="H23" s="108"/>
    </row>
    <row r="24" spans="1:8" ht="20.100000000000001" customHeight="1">
      <c r="A24" s="130"/>
      <c r="B24" s="131"/>
      <c r="C24" s="131"/>
      <c r="D24" s="131"/>
      <c r="E24" s="131"/>
      <c r="F24" s="132"/>
      <c r="G24" s="110"/>
      <c r="H24" s="109"/>
    </row>
    <row r="25" spans="1:8" ht="20.100000000000001" customHeight="1">
      <c r="A25" s="130"/>
      <c r="B25" s="131"/>
      <c r="C25" s="131"/>
      <c r="D25" s="131"/>
      <c r="E25" s="131"/>
      <c r="F25" s="132"/>
      <c r="G25" s="110"/>
      <c r="H25" s="109"/>
    </row>
    <row r="26" spans="1:8" ht="20.100000000000001" customHeight="1">
      <c r="A26" s="133"/>
      <c r="B26" s="134"/>
      <c r="C26" s="134"/>
      <c r="D26" s="134"/>
      <c r="E26" s="134"/>
      <c r="F26" s="135"/>
      <c r="G26" s="107"/>
      <c r="H26" s="109"/>
    </row>
    <row r="27" spans="1:8" ht="20.100000000000001" customHeight="1">
      <c r="A27" s="130"/>
      <c r="B27" s="131"/>
      <c r="C27" s="131"/>
      <c r="D27" s="131"/>
      <c r="E27" s="131"/>
      <c r="F27" s="132"/>
      <c r="G27" s="107"/>
      <c r="H27" s="109"/>
    </row>
    <row r="28" spans="1:8" ht="20.100000000000001" customHeight="1">
      <c r="A28" s="130"/>
      <c r="B28" s="131"/>
      <c r="C28" s="131"/>
      <c r="D28" s="131"/>
      <c r="E28" s="131"/>
      <c r="F28" s="132"/>
      <c r="G28" s="107"/>
      <c r="H28" s="109"/>
    </row>
    <row r="29" spans="1:8" ht="20.100000000000001" customHeight="1">
      <c r="A29" s="130"/>
      <c r="B29" s="131"/>
      <c r="C29" s="131"/>
      <c r="D29" s="131"/>
      <c r="E29" s="131"/>
      <c r="F29" s="132"/>
      <c r="G29" s="107"/>
      <c r="H29" s="109"/>
    </row>
    <row r="30" spans="1:8" ht="20.100000000000001" customHeight="1">
      <c r="A30" s="130"/>
      <c r="B30" s="131"/>
      <c r="C30" s="131"/>
      <c r="D30" s="131"/>
      <c r="E30" s="131"/>
      <c r="F30" s="132"/>
      <c r="G30" s="110"/>
      <c r="H30" s="109"/>
    </row>
  </sheetData>
  <mergeCells count="26">
    <mergeCell ref="A30:F30"/>
    <mergeCell ref="A24:F24"/>
    <mergeCell ref="A25:F25"/>
    <mergeCell ref="A27:F27"/>
    <mergeCell ref="A28:F28"/>
    <mergeCell ref="A26:F26"/>
    <mergeCell ref="A18:F18"/>
    <mergeCell ref="A14:F14"/>
    <mergeCell ref="A17:F17"/>
    <mergeCell ref="A15:F15"/>
    <mergeCell ref="A29:F29"/>
    <mergeCell ref="A20:F20"/>
    <mergeCell ref="A22:F22"/>
    <mergeCell ref="A23:F23"/>
    <mergeCell ref="A21:F21"/>
    <mergeCell ref="A19:F19"/>
    <mergeCell ref="A16:F16"/>
    <mergeCell ref="A9:H9"/>
    <mergeCell ref="A1:H1"/>
    <mergeCell ref="A2:H2"/>
    <mergeCell ref="A12:F12"/>
    <mergeCell ref="A13:F13"/>
    <mergeCell ref="A10:F10"/>
    <mergeCell ref="A7:H7"/>
    <mergeCell ref="A8:H8"/>
    <mergeCell ref="A11:F11"/>
  </mergeCells>
  <phoneticPr fontId="11" type="noConversion"/>
  <printOptions horizontalCentered="1"/>
  <pageMargins left="0.98425196850393704" right="0.74803149606299202" top="0.98425196850393704" bottom="0.98425196850393704" header="0.511811023622047" footer="0.511811023622047"/>
  <pageSetup paperSize="9" scale="80"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13"/>
  <sheetViews>
    <sheetView zoomScaleNormal="100" zoomScaleSheetLayoutView="100" workbookViewId="0">
      <selection activeCell="A3" sqref="A3:A4"/>
    </sheetView>
  </sheetViews>
  <sheetFormatPr defaultColWidth="9" defaultRowHeight="20.100000000000001" customHeight="1"/>
  <cols>
    <col min="1" max="1" width="27" style="34" customWidth="1"/>
    <col min="2" max="2" width="12.3984375" style="34" customWidth="1"/>
    <col min="3" max="6" width="10.59765625" style="34" customWidth="1"/>
    <col min="7" max="16384" width="9" style="34"/>
  </cols>
  <sheetData>
    <row r="1" spans="1:8" s="27" customFormat="1" ht="18" customHeight="1">
      <c r="A1" s="137" t="s">
        <v>189</v>
      </c>
      <c r="B1" s="123"/>
      <c r="C1" s="123"/>
      <c r="D1" s="123"/>
      <c r="E1" s="123"/>
      <c r="F1" s="123"/>
      <c r="G1" s="120"/>
      <c r="H1" s="120"/>
    </row>
    <row r="2" spans="1:8" s="27" customFormat="1" ht="22.5" customHeight="1">
      <c r="A2" s="138" t="s">
        <v>28</v>
      </c>
      <c r="B2" s="124"/>
      <c r="C2" s="124"/>
      <c r="D2" s="124"/>
      <c r="E2" s="124"/>
      <c r="F2" s="124"/>
    </row>
    <row r="3" spans="1:8" s="30" customFormat="1" ht="20.100000000000001" customHeight="1">
      <c r="A3" s="35" t="str">
        <f>'表头（请先填写）'!A2</f>
        <v>客户名称：</v>
      </c>
      <c r="B3" s="25" t="str">
        <f>'表头（请先填写）'!A4</f>
        <v>编制人：</v>
      </c>
      <c r="C3" s="25" t="str">
        <f>'表头（请先填写）'!A5</f>
        <v>日期：</v>
      </c>
      <c r="E3" s="26" t="s">
        <v>1</v>
      </c>
      <c r="F3" s="102" t="s">
        <v>126</v>
      </c>
    </row>
    <row r="4" spans="1:8" s="30" customFormat="1" ht="20.100000000000001" customHeight="1">
      <c r="A4" s="35" t="str">
        <f>'表头（请先填写）'!A3</f>
        <v>会计期间：2023年度</v>
      </c>
      <c r="B4" s="25" t="s">
        <v>0</v>
      </c>
      <c r="C4" s="25" t="s">
        <v>2</v>
      </c>
      <c r="E4" s="26" t="s">
        <v>29</v>
      </c>
      <c r="F4" s="35"/>
    </row>
    <row r="5" spans="1:8" s="32" customFormat="1" ht="20.100000000000001" customHeight="1">
      <c r="A5" s="139" t="s">
        <v>6</v>
      </c>
      <c r="B5" s="140"/>
      <c r="C5" s="139" t="s">
        <v>7</v>
      </c>
      <c r="D5" s="140"/>
      <c r="E5" s="140"/>
      <c r="F5" s="140"/>
    </row>
    <row r="6" spans="1:8" s="32" customFormat="1" ht="20.100000000000001" customHeight="1">
      <c r="A6" s="140"/>
      <c r="B6" s="140"/>
      <c r="C6" s="139" t="s">
        <v>8</v>
      </c>
      <c r="D6" s="140"/>
      <c r="E6" s="139" t="s">
        <v>9</v>
      </c>
      <c r="F6" s="140"/>
    </row>
    <row r="7" spans="1:8" s="32" customFormat="1" ht="20.100000000000001" customHeight="1">
      <c r="A7" s="140"/>
      <c r="B7" s="140"/>
      <c r="C7" s="31" t="s">
        <v>193</v>
      </c>
      <c r="D7" s="31" t="s">
        <v>191</v>
      </c>
      <c r="E7" s="31" t="s">
        <v>193</v>
      </c>
      <c r="F7" s="31" t="s">
        <v>191</v>
      </c>
    </row>
    <row r="8" spans="1:8" s="30" customFormat="1" ht="20.100000000000001" customHeight="1">
      <c r="A8" s="136" t="s">
        <v>10</v>
      </c>
      <c r="B8" s="129"/>
      <c r="C8" s="33"/>
      <c r="D8" s="33"/>
      <c r="E8" s="33"/>
      <c r="F8" s="33"/>
    </row>
    <row r="9" spans="1:8" s="30" customFormat="1" ht="33.6" customHeight="1">
      <c r="A9" s="136" t="s">
        <v>30</v>
      </c>
      <c r="B9" s="129"/>
      <c r="C9" s="33"/>
      <c r="D9" s="33"/>
      <c r="E9" s="33"/>
      <c r="F9" s="33"/>
    </row>
    <row r="10" spans="1:8" s="30" customFormat="1" ht="20.100000000000001" customHeight="1"/>
    <row r="11" spans="1:8" s="30" customFormat="1" ht="20.100000000000001" customHeight="1"/>
    <row r="12" spans="1:8" s="30" customFormat="1" ht="20.100000000000001" customHeight="1"/>
    <row r="13" spans="1:8" s="30" customFormat="1" ht="20.100000000000001" customHeight="1"/>
  </sheetData>
  <mergeCells count="8">
    <mergeCell ref="A8:B8"/>
    <mergeCell ref="A9:B9"/>
    <mergeCell ref="A1:F1"/>
    <mergeCell ref="A2:F2"/>
    <mergeCell ref="C5:F5"/>
    <mergeCell ref="C6:D6"/>
    <mergeCell ref="E6:F6"/>
    <mergeCell ref="A5:B7"/>
  </mergeCells>
  <phoneticPr fontId="11" type="noConversion"/>
  <printOptions horizontalCentered="1"/>
  <pageMargins left="0.98425196850393704" right="0.74803149606299202" top="0.98425196850393704" bottom="0.98425196850393704" header="0.511811023622047" footer="0.511811023622047"/>
  <pageSetup paperSize="9" scale="94" fitToHeight="100" orientation="portrait"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32"/>
  <sheetViews>
    <sheetView zoomScaleNormal="100" zoomScaleSheetLayoutView="100" workbookViewId="0">
      <selection activeCell="F8" sqref="F8:G8"/>
    </sheetView>
  </sheetViews>
  <sheetFormatPr defaultColWidth="9" defaultRowHeight="20.100000000000001" customHeight="1"/>
  <cols>
    <col min="1" max="1" width="36.5" style="34" customWidth="1"/>
    <col min="2" max="2" width="10.19921875" style="34" customWidth="1"/>
    <col min="3" max="3" width="15" style="34" customWidth="1"/>
    <col min="4" max="4" width="7.19921875" style="34" customWidth="1"/>
    <col min="5" max="5" width="6.8984375" style="34" customWidth="1"/>
    <col min="6" max="6" width="7.3984375" style="34" customWidth="1"/>
    <col min="7" max="7" width="6.8984375" style="34" customWidth="1"/>
    <col min="8" max="16384" width="9" style="34"/>
  </cols>
  <sheetData>
    <row r="1" spans="1:8" s="27" customFormat="1" ht="18" customHeight="1">
      <c r="A1" s="137" t="s">
        <v>189</v>
      </c>
      <c r="B1" s="123"/>
      <c r="C1" s="123"/>
      <c r="D1" s="123"/>
      <c r="E1" s="123"/>
      <c r="F1" s="123"/>
      <c r="G1" s="123"/>
      <c r="H1" s="120"/>
    </row>
    <row r="2" spans="1:8" s="27" customFormat="1" ht="22.5" customHeight="1">
      <c r="A2" s="138" t="s">
        <v>31</v>
      </c>
      <c r="B2" s="124"/>
      <c r="C2" s="124"/>
      <c r="D2" s="124"/>
      <c r="E2" s="124"/>
      <c r="F2" s="124"/>
      <c r="G2" s="124"/>
    </row>
    <row r="3" spans="1:8" s="30" customFormat="1" ht="20.100000000000001" customHeight="1">
      <c r="A3" s="35" t="str">
        <f>'表头（请先填写）'!A2</f>
        <v>客户名称：</v>
      </c>
      <c r="B3" s="25" t="str">
        <f>'表头（请先填写）'!A4</f>
        <v>编制人：</v>
      </c>
      <c r="C3" s="29"/>
      <c r="D3" s="25" t="str">
        <f>'表头（请先填写）'!A5</f>
        <v>日期：</v>
      </c>
      <c r="F3" s="25" t="s">
        <v>1</v>
      </c>
      <c r="G3" s="102" t="s">
        <v>190</v>
      </c>
    </row>
    <row r="4" spans="1:8" s="30" customFormat="1" ht="20.100000000000001" customHeight="1">
      <c r="A4" s="35" t="str">
        <f>'表头（请先填写）'!A3</f>
        <v>会计期间：2023年度</v>
      </c>
      <c r="B4" s="25" t="s">
        <v>0</v>
      </c>
      <c r="C4" s="29"/>
      <c r="D4" s="25" t="s">
        <v>2</v>
      </c>
      <c r="F4" s="25" t="s">
        <v>32</v>
      </c>
      <c r="G4" s="35"/>
    </row>
    <row r="5" spans="1:8" s="32" customFormat="1" ht="20.100000000000001" customHeight="1">
      <c r="A5" s="139" t="s">
        <v>3</v>
      </c>
      <c r="B5" s="140"/>
      <c r="C5" s="1" t="s">
        <v>4</v>
      </c>
      <c r="D5" s="140" t="s">
        <v>201</v>
      </c>
      <c r="E5" s="140"/>
      <c r="F5" s="140" t="s">
        <v>202</v>
      </c>
      <c r="G5" s="140"/>
    </row>
    <row r="6" spans="1:8" s="30" customFormat="1" ht="20.100000000000001" customHeight="1">
      <c r="A6" s="129" t="s">
        <v>33</v>
      </c>
      <c r="B6" s="129"/>
      <c r="C6" s="36" t="s">
        <v>34</v>
      </c>
      <c r="D6" s="141"/>
      <c r="E6" s="141"/>
      <c r="F6" s="141"/>
      <c r="G6" s="141"/>
    </row>
    <row r="7" spans="1:8" s="30" customFormat="1" ht="20.100000000000001" customHeight="1">
      <c r="A7" s="129" t="s">
        <v>35</v>
      </c>
      <c r="B7" s="129"/>
      <c r="C7" s="36" t="s">
        <v>11</v>
      </c>
      <c r="D7" s="141"/>
      <c r="E7" s="141"/>
      <c r="F7" s="141"/>
      <c r="G7" s="141"/>
    </row>
    <row r="8" spans="1:8" s="30" customFormat="1" ht="20.100000000000001" customHeight="1">
      <c r="A8" s="129" t="s">
        <v>36</v>
      </c>
      <c r="B8" s="129"/>
      <c r="C8" s="36" t="s">
        <v>37</v>
      </c>
      <c r="D8" s="141">
        <f>D9+D10+D11-D18-D21</f>
        <v>0</v>
      </c>
      <c r="E8" s="141"/>
      <c r="F8" s="141">
        <f>F9+F10+F11-F18-F21</f>
        <v>0</v>
      </c>
      <c r="G8" s="141"/>
    </row>
    <row r="9" spans="1:8" s="30" customFormat="1" ht="20.100000000000001" customHeight="1">
      <c r="A9" s="121" t="s">
        <v>38</v>
      </c>
      <c r="B9" s="121"/>
      <c r="C9" s="36" t="s">
        <v>39</v>
      </c>
      <c r="D9" s="141"/>
      <c r="E9" s="141"/>
      <c r="F9" s="141"/>
      <c r="G9" s="141"/>
    </row>
    <row r="10" spans="1:8" s="30" customFormat="1" ht="20.100000000000001" customHeight="1">
      <c r="A10" s="121" t="s">
        <v>40</v>
      </c>
      <c r="B10" s="121"/>
      <c r="C10" s="36" t="s">
        <v>41</v>
      </c>
      <c r="D10" s="141"/>
      <c r="E10" s="141"/>
      <c r="F10" s="141"/>
      <c r="G10" s="141"/>
    </row>
    <row r="11" spans="1:8" s="30" customFormat="1" ht="20.100000000000001" customHeight="1">
      <c r="A11" s="121" t="s">
        <v>42</v>
      </c>
      <c r="B11" s="121"/>
      <c r="C11" s="36" t="s">
        <v>43</v>
      </c>
      <c r="D11" s="141"/>
      <c r="E11" s="141"/>
      <c r="F11" s="141"/>
      <c r="G11" s="141"/>
    </row>
    <row r="12" spans="1:8" s="30" customFormat="1" ht="20.100000000000001" customHeight="1">
      <c r="A12" s="144" t="s">
        <v>44</v>
      </c>
      <c r="B12" s="145"/>
      <c r="C12" s="36" t="s">
        <v>45</v>
      </c>
      <c r="D12" s="141"/>
      <c r="E12" s="141"/>
      <c r="F12" s="141"/>
      <c r="G12" s="141"/>
    </row>
    <row r="13" spans="1:8" s="30" customFormat="1" ht="20.100000000000001" customHeight="1">
      <c r="A13" s="146" t="s">
        <v>148</v>
      </c>
      <c r="B13" s="146"/>
      <c r="C13" s="36" t="s">
        <v>46</v>
      </c>
      <c r="D13" s="141"/>
      <c r="E13" s="141"/>
      <c r="F13" s="141"/>
      <c r="G13" s="141"/>
    </row>
    <row r="14" spans="1:8" s="30" customFormat="1" ht="20.100000000000001" customHeight="1">
      <c r="A14" s="146" t="s">
        <v>149</v>
      </c>
      <c r="B14" s="146"/>
      <c r="C14" s="36" t="s">
        <v>47</v>
      </c>
      <c r="D14" s="141"/>
      <c r="E14" s="141"/>
      <c r="F14" s="141"/>
      <c r="G14" s="141"/>
    </row>
    <row r="15" spans="1:8" s="30" customFormat="1" ht="20.100000000000001" customHeight="1">
      <c r="A15" s="144" t="s">
        <v>146</v>
      </c>
      <c r="B15" s="145"/>
      <c r="C15" s="36" t="s">
        <v>48</v>
      </c>
      <c r="D15" s="141"/>
      <c r="E15" s="141"/>
      <c r="F15" s="141"/>
      <c r="G15" s="141"/>
    </row>
    <row r="16" spans="1:8" s="30" customFormat="1" ht="20.100000000000001" customHeight="1">
      <c r="A16" s="146" t="s">
        <v>49</v>
      </c>
      <c r="B16" s="146"/>
      <c r="C16" s="36" t="s">
        <v>50</v>
      </c>
      <c r="D16" s="141"/>
      <c r="E16" s="141"/>
      <c r="F16" s="141"/>
      <c r="G16" s="141"/>
    </row>
    <row r="17" spans="1:7" s="30" customFormat="1" ht="20.100000000000001" customHeight="1">
      <c r="A17" s="146" t="s">
        <v>51</v>
      </c>
      <c r="B17" s="146"/>
      <c r="C17" s="36" t="s">
        <v>52</v>
      </c>
      <c r="D17" s="141"/>
      <c r="E17" s="141"/>
      <c r="F17" s="141"/>
      <c r="G17" s="141"/>
    </row>
    <row r="18" spans="1:7" s="30" customFormat="1" ht="20.100000000000001" customHeight="1">
      <c r="A18" s="121" t="s">
        <v>147</v>
      </c>
      <c r="B18" s="121"/>
      <c r="C18" s="36" t="s">
        <v>53</v>
      </c>
      <c r="D18" s="141"/>
      <c r="E18" s="141"/>
      <c r="F18" s="141"/>
      <c r="G18" s="141"/>
    </row>
    <row r="19" spans="1:7" s="30" customFormat="1" ht="20.100000000000001" customHeight="1">
      <c r="A19" s="144" t="s">
        <v>150</v>
      </c>
      <c r="B19" s="145"/>
      <c r="C19" s="36" t="s">
        <v>54</v>
      </c>
      <c r="D19" s="141"/>
      <c r="E19" s="141"/>
      <c r="F19" s="141"/>
      <c r="G19" s="141"/>
    </row>
    <row r="20" spans="1:7" s="30" customFormat="1" ht="20.100000000000001" customHeight="1">
      <c r="A20" s="144" t="s">
        <v>151</v>
      </c>
      <c r="B20" s="145"/>
      <c r="C20" s="36" t="s">
        <v>55</v>
      </c>
      <c r="D20" s="141"/>
      <c r="E20" s="141"/>
      <c r="F20" s="141"/>
      <c r="G20" s="141"/>
    </row>
    <row r="21" spans="1:7" s="30" customFormat="1" ht="20.100000000000001" customHeight="1">
      <c r="A21" s="121" t="s">
        <v>152</v>
      </c>
      <c r="B21" s="121"/>
      <c r="C21" s="36" t="s">
        <v>5</v>
      </c>
      <c r="D21" s="141"/>
      <c r="E21" s="141"/>
      <c r="F21" s="141"/>
      <c r="G21" s="141"/>
    </row>
    <row r="22" spans="1:7" s="30" customFormat="1" ht="20.100000000000001" customHeight="1">
      <c r="A22" s="129" t="s">
        <v>56</v>
      </c>
      <c r="B22" s="129"/>
      <c r="C22" s="36" t="s">
        <v>57</v>
      </c>
      <c r="D22" s="141"/>
      <c r="E22" s="141"/>
      <c r="F22" s="141"/>
      <c r="G22" s="141"/>
    </row>
    <row r="23" spans="1:7" s="30" customFormat="1" ht="20.100000000000001" customHeight="1">
      <c r="A23" s="129" t="s">
        <v>58</v>
      </c>
      <c r="B23" s="129"/>
      <c r="C23" s="36" t="s">
        <v>59</v>
      </c>
      <c r="D23" s="141"/>
      <c r="E23" s="141"/>
      <c r="F23" s="141"/>
      <c r="G23" s="141"/>
    </row>
    <row r="24" spans="1:7" s="30" customFormat="1" ht="20.100000000000001" customHeight="1">
      <c r="A24" s="129" t="s">
        <v>60</v>
      </c>
      <c r="B24" s="129"/>
      <c r="C24" s="36" t="s">
        <v>12</v>
      </c>
      <c r="D24" s="141"/>
      <c r="E24" s="141"/>
      <c r="F24" s="141"/>
      <c r="G24" s="141"/>
    </row>
    <row r="25" spans="1:7" s="30" customFormat="1" ht="20.100000000000001" customHeight="1">
      <c r="A25" s="129" t="s">
        <v>61</v>
      </c>
      <c r="B25" s="129"/>
      <c r="C25" s="36"/>
      <c r="D25" s="141"/>
      <c r="E25" s="141"/>
      <c r="F25" s="141"/>
      <c r="G25" s="141"/>
    </row>
    <row r="26" spans="1:7" s="30" customFormat="1" ht="20.100000000000001" customHeight="1">
      <c r="A26" s="121" t="s">
        <v>153</v>
      </c>
      <c r="B26" s="121"/>
      <c r="C26" s="36" t="s">
        <v>62</v>
      </c>
      <c r="D26" s="141"/>
      <c r="E26" s="141"/>
      <c r="F26" s="141"/>
      <c r="G26" s="141"/>
    </row>
    <row r="27" spans="1:7" s="30" customFormat="1" ht="20.100000000000001" customHeight="1">
      <c r="A27" s="121" t="s">
        <v>155</v>
      </c>
      <c r="B27" s="121"/>
      <c r="C27" s="36" t="s">
        <v>63</v>
      </c>
      <c r="D27" s="141"/>
      <c r="E27" s="141"/>
      <c r="F27" s="141"/>
      <c r="G27" s="141"/>
    </row>
    <row r="28" spans="1:7" s="30" customFormat="1" ht="20.100000000000001" customHeight="1">
      <c r="A28" s="121" t="s">
        <v>156</v>
      </c>
      <c r="B28" s="121"/>
      <c r="C28" s="36" t="s">
        <v>13</v>
      </c>
      <c r="D28" s="141"/>
      <c r="E28" s="141"/>
      <c r="F28" s="141"/>
      <c r="G28" s="141"/>
    </row>
    <row r="29" spans="1:7" ht="138.75" customHeight="1">
      <c r="A29" s="142" t="s">
        <v>154</v>
      </c>
      <c r="B29" s="143"/>
      <c r="C29" s="143"/>
      <c r="D29" s="143"/>
      <c r="E29" s="143"/>
      <c r="F29" s="143"/>
      <c r="G29" s="143"/>
    </row>
    <row r="32" spans="1:7" ht="20.100000000000001" customHeight="1">
      <c r="A32" s="37"/>
    </row>
  </sheetData>
  <mergeCells count="75">
    <mergeCell ref="A18:B18"/>
    <mergeCell ref="A16:B16"/>
    <mergeCell ref="A17:B17"/>
    <mergeCell ref="A12:B12"/>
    <mergeCell ref="A13:B13"/>
    <mergeCell ref="A14:B14"/>
    <mergeCell ref="A15:B15"/>
    <mergeCell ref="A1:G1"/>
    <mergeCell ref="A2:G2"/>
    <mergeCell ref="A5:B5"/>
    <mergeCell ref="F5:G5"/>
    <mergeCell ref="A6:B6"/>
    <mergeCell ref="A8:B8"/>
    <mergeCell ref="D5:E5"/>
    <mergeCell ref="D6:E6"/>
    <mergeCell ref="A7:B7"/>
    <mergeCell ref="A11:B11"/>
    <mergeCell ref="A9:B9"/>
    <mergeCell ref="A10:B10"/>
    <mergeCell ref="D7:E7"/>
    <mergeCell ref="D8:E8"/>
    <mergeCell ref="D9:E9"/>
    <mergeCell ref="D15:E15"/>
    <mergeCell ref="D16:E16"/>
    <mergeCell ref="D10:E10"/>
    <mergeCell ref="D11:E11"/>
    <mergeCell ref="D12:E12"/>
    <mergeCell ref="D13:E13"/>
    <mergeCell ref="D14:E14"/>
    <mergeCell ref="F20:G20"/>
    <mergeCell ref="F21:G21"/>
    <mergeCell ref="F6:G6"/>
    <mergeCell ref="F8:G8"/>
    <mergeCell ref="F9:G9"/>
    <mergeCell ref="F10:G10"/>
    <mergeCell ref="F7:G7"/>
    <mergeCell ref="D17:E17"/>
    <mergeCell ref="D18:E18"/>
    <mergeCell ref="F11:G11"/>
    <mergeCell ref="F12:G12"/>
    <mergeCell ref="F13:G13"/>
    <mergeCell ref="F14:G14"/>
    <mergeCell ref="F15:G15"/>
    <mergeCell ref="F16:G16"/>
    <mergeCell ref="F17:G17"/>
    <mergeCell ref="F18:G18"/>
    <mergeCell ref="F19:G19"/>
    <mergeCell ref="F25:G25"/>
    <mergeCell ref="A24:B24"/>
    <mergeCell ref="D24:E24"/>
    <mergeCell ref="F24:G24"/>
    <mergeCell ref="D22:E22"/>
    <mergeCell ref="D23:E23"/>
    <mergeCell ref="F23:G23"/>
    <mergeCell ref="F22:G22"/>
    <mergeCell ref="A22:B22"/>
    <mergeCell ref="A23:B23"/>
    <mergeCell ref="D19:E19"/>
    <mergeCell ref="D20:E20"/>
    <mergeCell ref="D21:E21"/>
    <mergeCell ref="A25:B25"/>
    <mergeCell ref="D25:E25"/>
    <mergeCell ref="A21:B21"/>
    <mergeCell ref="A19:B19"/>
    <mergeCell ref="A20:B20"/>
    <mergeCell ref="A27:B27"/>
    <mergeCell ref="D27:E27"/>
    <mergeCell ref="F27:G27"/>
    <mergeCell ref="A29:G29"/>
    <mergeCell ref="A26:B26"/>
    <mergeCell ref="D26:E26"/>
    <mergeCell ref="F26:G26"/>
    <mergeCell ref="A28:B28"/>
    <mergeCell ref="D28:E28"/>
    <mergeCell ref="F28:G28"/>
  </mergeCells>
  <phoneticPr fontId="11" type="noConversion"/>
  <printOptions horizontalCentered="1"/>
  <pageMargins left="0.98425196850393704" right="0.74803149606299202" top="0.98425196850393704" bottom="0.98425196850393704" header="0.511811023622047" footer="0.511811023622047"/>
  <pageSetup paperSize="9" scale="86" fitToHeight="100" orientation="portrait"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32"/>
  <sheetViews>
    <sheetView zoomScaleNormal="100" zoomScaleSheetLayoutView="100" workbookViewId="0">
      <selection activeCell="E4" sqref="E4"/>
    </sheetView>
  </sheetViews>
  <sheetFormatPr defaultColWidth="9" defaultRowHeight="20.100000000000001" customHeight="1"/>
  <cols>
    <col min="1" max="1" width="32.09765625" style="34" customWidth="1"/>
    <col min="2" max="2" width="12.09765625" style="34" customWidth="1"/>
    <col min="3" max="3" width="11.09765625" style="34" customWidth="1"/>
    <col min="4" max="4" width="15.19921875" style="34" customWidth="1"/>
    <col min="5" max="5" width="12.5" style="34" customWidth="1"/>
    <col min="6" max="16384" width="9" style="34"/>
  </cols>
  <sheetData>
    <row r="1" spans="1:8" s="27" customFormat="1" ht="18" customHeight="1">
      <c r="A1" s="123" t="s">
        <v>189</v>
      </c>
      <c r="B1" s="123"/>
      <c r="C1" s="123"/>
      <c r="D1" s="123"/>
      <c r="E1" s="123"/>
      <c r="F1" s="120"/>
      <c r="G1" s="120"/>
      <c r="H1" s="120"/>
    </row>
    <row r="2" spans="1:8" s="27" customFormat="1" ht="22.5" customHeight="1">
      <c r="A2" s="124" t="s">
        <v>187</v>
      </c>
      <c r="B2" s="124"/>
      <c r="C2" s="124"/>
      <c r="D2" s="124"/>
      <c r="E2" s="124"/>
    </row>
    <row r="3" spans="1:8" s="30" customFormat="1" ht="20.100000000000001" customHeight="1">
      <c r="A3" s="28" t="str">
        <f>'表头（请先填写）'!A2</f>
        <v>客户名称：</v>
      </c>
      <c r="B3" s="28" t="str">
        <f>'表头（请先填写）'!A4</f>
        <v>编制人：</v>
      </c>
      <c r="C3" s="29"/>
      <c r="D3" s="28" t="str">
        <f>'表头（请先填写）'!A5</f>
        <v>日期：</v>
      </c>
      <c r="E3" s="28" t="s">
        <v>192</v>
      </c>
    </row>
    <row r="4" spans="1:8" s="30" customFormat="1" ht="20.100000000000001" customHeight="1">
      <c r="A4" s="28" t="str">
        <f>'表头（请先填写）'!A3</f>
        <v>会计期间：2023年度</v>
      </c>
      <c r="B4" s="28" t="s">
        <v>157</v>
      </c>
      <c r="C4" s="29"/>
      <c r="D4" s="28" t="s">
        <v>158</v>
      </c>
      <c r="E4" s="28" t="s">
        <v>159</v>
      </c>
    </row>
    <row r="5" spans="1:8" s="30" customFormat="1" ht="20.100000000000001" customHeight="1">
      <c r="A5" s="28"/>
      <c r="B5" s="28"/>
      <c r="C5" s="29"/>
      <c r="D5" s="28"/>
      <c r="E5" s="28"/>
    </row>
    <row r="6" spans="1:8" s="30" customFormat="1" ht="20.100000000000001" customHeight="1">
      <c r="A6" s="30" t="s">
        <v>168</v>
      </c>
    </row>
    <row r="7" spans="1:8" s="112" customFormat="1" ht="32.25" customHeight="1">
      <c r="A7" s="108" t="s">
        <v>169</v>
      </c>
      <c r="B7" s="108" t="s">
        <v>170</v>
      </c>
      <c r="C7" s="108" t="s">
        <v>171</v>
      </c>
      <c r="D7" s="108" t="s">
        <v>172</v>
      </c>
      <c r="E7" s="108" t="s">
        <v>173</v>
      </c>
    </row>
    <row r="8" spans="1:8" s="30" customFormat="1" ht="20.100000000000001" customHeight="1">
      <c r="A8" s="38" t="s">
        <v>160</v>
      </c>
      <c r="B8" s="38"/>
      <c r="C8" s="38"/>
      <c r="D8" s="38"/>
      <c r="E8" s="38"/>
    </row>
    <row r="9" spans="1:8" s="30" customFormat="1" ht="20.100000000000001" customHeight="1">
      <c r="A9" s="38" t="s">
        <v>161</v>
      </c>
      <c r="B9" s="38"/>
      <c r="C9" s="38"/>
      <c r="D9" s="38"/>
      <c r="E9" s="38"/>
    </row>
    <row r="10" spans="1:8" s="30" customFormat="1" ht="20.100000000000001" customHeight="1">
      <c r="A10" s="38" t="s">
        <v>162</v>
      </c>
      <c r="B10" s="39"/>
      <c r="C10" s="39"/>
      <c r="D10" s="39"/>
      <c r="E10" s="38"/>
    </row>
    <row r="11" spans="1:8" s="30" customFormat="1" ht="20.100000000000001" customHeight="1">
      <c r="A11" s="38" t="s">
        <v>163</v>
      </c>
      <c r="B11" s="39"/>
      <c r="C11" s="39"/>
      <c r="D11" s="39"/>
      <c r="E11" s="38"/>
    </row>
    <row r="12" spans="1:8" s="30" customFormat="1" ht="20.100000000000001" customHeight="1"/>
    <row r="13" spans="1:8" s="30" customFormat="1" ht="20.100000000000001" customHeight="1">
      <c r="A13" s="147" t="s">
        <v>164</v>
      </c>
      <c r="B13" s="148"/>
      <c r="C13" s="148"/>
      <c r="D13" s="148"/>
      <c r="E13" s="149"/>
    </row>
    <row r="14" spans="1:8" s="30" customFormat="1" ht="31.5" customHeight="1">
      <c r="A14" s="151" t="s">
        <v>165</v>
      </c>
      <c r="B14" s="152"/>
      <c r="C14" s="152"/>
      <c r="D14" s="152"/>
      <c r="E14" s="153"/>
    </row>
    <row r="15" spans="1:8" s="30" customFormat="1" ht="20.100000000000001" customHeight="1">
      <c r="A15" s="154" t="s">
        <v>64</v>
      </c>
      <c r="B15" s="155"/>
      <c r="C15" s="155"/>
      <c r="D15" s="155"/>
      <c r="E15" s="156"/>
    </row>
    <row r="16" spans="1:8" s="30" customFormat="1" ht="20.100000000000001" customHeight="1">
      <c r="A16" s="151" t="s">
        <v>65</v>
      </c>
      <c r="B16" s="152"/>
      <c r="C16" s="152"/>
      <c r="D16" s="152"/>
      <c r="E16" s="153"/>
    </row>
    <row r="17" spans="1:5" s="30" customFormat="1" ht="20.100000000000001" customHeight="1">
      <c r="A17" s="157" t="s">
        <v>182</v>
      </c>
      <c r="B17" s="158"/>
      <c r="C17" s="158"/>
      <c r="D17" s="158"/>
      <c r="E17" s="159"/>
    </row>
    <row r="18" spans="1:5" s="30" customFormat="1" ht="20.100000000000001" customHeight="1">
      <c r="A18" s="103"/>
      <c r="B18" s="103"/>
      <c r="C18" s="103"/>
      <c r="D18" s="103"/>
      <c r="E18" s="103"/>
    </row>
    <row r="19" spans="1:5" s="30" customFormat="1" ht="20.100000000000001" customHeight="1">
      <c r="A19" s="30" t="s">
        <v>174</v>
      </c>
    </row>
    <row r="20" spans="1:5" s="105" customFormat="1" ht="20.100000000000001" customHeight="1">
      <c r="A20" s="109" t="s">
        <v>175</v>
      </c>
      <c r="B20" s="109" t="s">
        <v>176</v>
      </c>
      <c r="C20" s="109" t="s">
        <v>177</v>
      </c>
      <c r="D20" s="109" t="s">
        <v>178</v>
      </c>
      <c r="E20" s="109" t="s">
        <v>179</v>
      </c>
    </row>
    <row r="21" spans="1:5" s="30" customFormat="1" ht="20.100000000000001" customHeight="1">
      <c r="A21" s="38" t="s">
        <v>166</v>
      </c>
      <c r="B21" s="39"/>
      <c r="C21" s="39"/>
      <c r="D21" s="39"/>
      <c r="E21" s="38"/>
    </row>
    <row r="22" spans="1:5" s="30" customFormat="1" ht="20.100000000000001" customHeight="1">
      <c r="A22" s="38" t="s">
        <v>160</v>
      </c>
      <c r="B22" s="39"/>
      <c r="C22" s="39"/>
      <c r="D22" s="39"/>
      <c r="E22" s="38"/>
    </row>
    <row r="23" spans="1:5" s="30" customFormat="1" ht="20.100000000000001" customHeight="1">
      <c r="A23" s="109" t="s">
        <v>167</v>
      </c>
      <c r="B23" s="39"/>
      <c r="C23" s="39"/>
      <c r="D23" s="39"/>
      <c r="E23" s="38"/>
    </row>
    <row r="24" spans="1:5" s="30" customFormat="1" ht="20.100000000000001" customHeight="1">
      <c r="A24" s="38" t="s">
        <v>161</v>
      </c>
      <c r="B24" s="39"/>
      <c r="C24" s="39"/>
      <c r="D24" s="39"/>
      <c r="E24" s="38"/>
    </row>
    <row r="25" spans="1:5" s="30" customFormat="1" ht="20.100000000000001" customHeight="1">
      <c r="A25" s="109" t="s">
        <v>167</v>
      </c>
      <c r="B25" s="39"/>
      <c r="C25" s="39"/>
      <c r="D25" s="39"/>
      <c r="E25" s="38"/>
    </row>
    <row r="26" spans="1:5" s="30" customFormat="1" ht="20.100000000000001" customHeight="1">
      <c r="A26" s="38" t="s">
        <v>162</v>
      </c>
      <c r="B26" s="39"/>
      <c r="C26" s="39"/>
      <c r="D26" s="39"/>
      <c r="E26" s="38"/>
    </row>
    <row r="27" spans="1:5" s="30" customFormat="1" ht="20.100000000000001" customHeight="1">
      <c r="A27" s="109" t="s">
        <v>167</v>
      </c>
      <c r="B27" s="39"/>
      <c r="C27" s="39"/>
      <c r="D27" s="39"/>
      <c r="E27" s="38"/>
    </row>
    <row r="28" spans="1:5" s="30" customFormat="1" ht="20.100000000000001" customHeight="1">
      <c r="A28" s="38" t="s">
        <v>163</v>
      </c>
      <c r="B28" s="39"/>
      <c r="C28" s="39"/>
      <c r="D28" s="39"/>
      <c r="E28" s="38"/>
    </row>
    <row r="29" spans="1:5" s="30" customFormat="1" ht="20.100000000000001" customHeight="1">
      <c r="A29" s="109" t="s">
        <v>167</v>
      </c>
      <c r="B29" s="39"/>
      <c r="C29" s="39"/>
      <c r="D29" s="39"/>
      <c r="E29" s="38"/>
    </row>
    <row r="30" spans="1:5" s="30" customFormat="1" ht="20.100000000000001" customHeight="1">
      <c r="A30" s="109" t="s">
        <v>180</v>
      </c>
      <c r="B30" s="38"/>
      <c r="C30" s="38"/>
      <c r="D30" s="39"/>
      <c r="E30" s="38"/>
    </row>
    <row r="32" spans="1:5" s="30" customFormat="1" ht="96.75" customHeight="1">
      <c r="A32" s="150" t="s">
        <v>181</v>
      </c>
      <c r="B32" s="150"/>
      <c r="C32" s="150"/>
      <c r="D32" s="150"/>
      <c r="E32" s="150"/>
    </row>
  </sheetData>
  <mergeCells count="8">
    <mergeCell ref="A1:E1"/>
    <mergeCell ref="A2:E2"/>
    <mergeCell ref="A13:E13"/>
    <mergeCell ref="A32:E32"/>
    <mergeCell ref="A14:E14"/>
    <mergeCell ref="A15:E15"/>
    <mergeCell ref="A16:E16"/>
    <mergeCell ref="A17:E17"/>
  </mergeCells>
  <phoneticPr fontId="11" type="noConversion"/>
  <printOptions horizontalCentered="1"/>
  <pageMargins left="0.98425196850393704" right="0.74803149606299202" top="0.98425196850393704" bottom="0.98425196850393704" header="0.511811023622047" footer="0.511811023622047"/>
  <pageSetup paperSize="9" scale="92" fitToHeight="100" orientation="portrait" cellComments="atEnd"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4">
    <pageSetUpPr fitToPage="1"/>
  </sheetPr>
  <dimension ref="A1:K60"/>
  <sheetViews>
    <sheetView workbookViewId="0">
      <pane xSplit="2" ySplit="8" topLeftCell="C9" activePane="bottomRight" state="frozen"/>
      <selection sqref="A1:I1"/>
      <selection pane="topRight" sqref="A1:I1"/>
      <selection pane="bottomLeft" sqref="A1:I1"/>
      <selection pane="bottomRight" activeCell="L4" sqref="L4"/>
    </sheetView>
  </sheetViews>
  <sheetFormatPr defaultColWidth="7" defaultRowHeight="13.8"/>
  <cols>
    <col min="1" max="1" width="0.8984375" style="41" customWidth="1"/>
    <col min="2" max="2" width="47.3984375" style="41" customWidth="1"/>
    <col min="3" max="4" width="17.59765625" style="41" customWidth="1"/>
    <col min="5" max="5" width="0.8984375" style="41" customWidth="1"/>
    <col min="6" max="7" width="17.59765625" style="41" customWidth="1"/>
    <col min="8" max="8" width="1" style="41" customWidth="1"/>
    <col min="9" max="9" width="2.5" style="41" customWidth="1"/>
    <col min="10" max="10" width="7" style="41" customWidth="1"/>
    <col min="11" max="11" width="10.19921875" style="41" bestFit="1" customWidth="1"/>
    <col min="12" max="16384" width="7" style="41"/>
  </cols>
  <sheetData>
    <row r="1" spans="1:11" ht="5.25" customHeight="1" thickBot="1">
      <c r="A1" s="40"/>
      <c r="B1" s="40"/>
      <c r="C1" s="40"/>
      <c r="D1" s="40"/>
      <c r="E1" s="40"/>
      <c r="F1" s="40"/>
      <c r="G1" s="40"/>
      <c r="H1" s="40"/>
    </row>
    <row r="2" spans="1:11" ht="14.4" thickTop="1">
      <c r="A2" s="40"/>
      <c r="B2" s="160" t="s">
        <v>200</v>
      </c>
      <c r="C2" s="162" t="s">
        <v>66</v>
      </c>
      <c r="D2" s="163"/>
      <c r="E2" s="42"/>
      <c r="F2" s="162" t="s">
        <v>7</v>
      </c>
      <c r="G2" s="164"/>
      <c r="H2" s="40"/>
    </row>
    <row r="3" spans="1:11">
      <c r="A3" s="40"/>
      <c r="B3" s="161"/>
      <c r="C3" s="43" t="s">
        <v>67</v>
      </c>
      <c r="D3" s="43" t="s">
        <v>68</v>
      </c>
      <c r="E3" s="44"/>
      <c r="F3" s="43" t="s">
        <v>72</v>
      </c>
      <c r="G3" s="45" t="s">
        <v>73</v>
      </c>
      <c r="H3" s="40"/>
    </row>
    <row r="4" spans="1:11" ht="15.75" customHeight="1">
      <c r="A4" s="40"/>
      <c r="B4" s="46" t="s">
        <v>74</v>
      </c>
      <c r="C4" s="47" t="e">
        <f>C11/$C$18</f>
        <v>#DIV/0!</v>
      </c>
      <c r="D4" s="47" t="e">
        <f>C11/$C$26</f>
        <v>#DIV/0!</v>
      </c>
      <c r="E4" s="47"/>
      <c r="F4" s="48" t="e">
        <f>C11/$C$36</f>
        <v>#DIV/0!</v>
      </c>
      <c r="G4" s="49" t="e">
        <f>(C11+(F11-F13)*(1-F15))/($C$36+F31*F32/C19)</f>
        <v>#DIV/0!</v>
      </c>
      <c r="H4" s="40"/>
    </row>
    <row r="5" spans="1:11" ht="15.75" customHeight="1" thickBot="1">
      <c r="A5" s="40"/>
      <c r="B5" s="50" t="s">
        <v>75</v>
      </c>
      <c r="C5" s="51" t="e">
        <f>C12/$C$18</f>
        <v>#DIV/0!</v>
      </c>
      <c r="D5" s="51" t="e">
        <f>C12/$C$26</f>
        <v>#DIV/0!</v>
      </c>
      <c r="E5" s="51"/>
      <c r="F5" s="52" t="e">
        <f>C12/$C$36</f>
        <v>#DIV/0!</v>
      </c>
      <c r="G5" s="53" t="e">
        <f>(C12+(F11-F13)*(1-F15))/($C$36+F31*F32/C19)</f>
        <v>#DIV/0!</v>
      </c>
      <c r="H5" s="40"/>
    </row>
    <row r="6" spans="1:11" ht="5.25" customHeight="1" thickTop="1">
      <c r="A6" s="40"/>
      <c r="B6" s="40"/>
      <c r="C6" s="40"/>
      <c r="D6" s="40"/>
      <c r="E6" s="40"/>
      <c r="F6" s="40"/>
      <c r="G6" s="40"/>
      <c r="H6" s="40"/>
    </row>
    <row r="8" spans="1:11" ht="14.4" thickBot="1">
      <c r="B8" s="54" t="s">
        <v>76</v>
      </c>
      <c r="C8" s="54" t="s">
        <v>77</v>
      </c>
      <c r="D8" s="54" t="s">
        <v>78</v>
      </c>
      <c r="E8" s="55"/>
      <c r="F8" s="54" t="s">
        <v>77</v>
      </c>
      <c r="G8" s="54" t="s">
        <v>78</v>
      </c>
      <c r="H8" s="56"/>
    </row>
    <row r="9" spans="1:11" ht="14.4" thickTop="1">
      <c r="B9" s="57" t="s">
        <v>79</v>
      </c>
      <c r="C9" s="58"/>
      <c r="D9" s="58"/>
      <c r="E9" s="59"/>
      <c r="F9" s="60"/>
      <c r="G9" s="61"/>
      <c r="H9" s="62"/>
    </row>
    <row r="10" spans="1:11">
      <c r="B10" s="57" t="s">
        <v>80</v>
      </c>
      <c r="C10" s="58"/>
      <c r="D10" s="58"/>
      <c r="E10" s="59"/>
      <c r="F10" s="63" t="s">
        <v>81</v>
      </c>
      <c r="G10" s="64"/>
      <c r="H10" s="62"/>
    </row>
    <row r="11" spans="1:11">
      <c r="B11" s="65" t="s">
        <v>82</v>
      </c>
      <c r="C11" s="66">
        <f>C9-C10</f>
        <v>0</v>
      </c>
      <c r="D11" s="66">
        <f>D9-D10</f>
        <v>0</v>
      </c>
      <c r="E11" s="66"/>
      <c r="F11" s="67"/>
      <c r="G11" s="67"/>
    </row>
    <row r="12" spans="1:11">
      <c r="B12" s="68" t="s">
        <v>83</v>
      </c>
      <c r="C12" s="69">
        <f>C11-C13</f>
        <v>0</v>
      </c>
      <c r="D12" s="69">
        <f>D11-D13</f>
        <v>0</v>
      </c>
      <c r="E12" s="66"/>
      <c r="F12" s="63" t="s">
        <v>84</v>
      </c>
      <c r="G12" s="64"/>
    </row>
    <row r="13" spans="1:11">
      <c r="B13" s="70" t="s">
        <v>85</v>
      </c>
      <c r="C13" s="67"/>
      <c r="D13" s="67"/>
      <c r="E13" s="66"/>
      <c r="F13" s="67"/>
      <c r="G13" s="67"/>
      <c r="K13" s="71"/>
    </row>
    <row r="14" spans="1:11">
      <c r="C14" s="72"/>
      <c r="D14" s="72"/>
      <c r="E14" s="72"/>
      <c r="F14" s="63" t="s">
        <v>86</v>
      </c>
      <c r="G14" s="64"/>
      <c r="K14" s="73"/>
    </row>
    <row r="15" spans="1:11">
      <c r="B15" s="74" t="s">
        <v>87</v>
      </c>
      <c r="C15" s="75">
        <f>D18</f>
        <v>0</v>
      </c>
      <c r="D15" s="75"/>
      <c r="E15" s="66"/>
      <c r="F15" s="76">
        <v>0.25</v>
      </c>
      <c r="G15" s="76">
        <v>0.33</v>
      </c>
    </row>
    <row r="16" spans="1:11">
      <c r="B16" s="77" t="s">
        <v>69</v>
      </c>
      <c r="C16" s="78"/>
      <c r="D16" s="78"/>
      <c r="E16" s="66"/>
      <c r="G16" s="72"/>
    </row>
    <row r="17" spans="2:7">
      <c r="B17" s="77" t="s">
        <v>88</v>
      </c>
      <c r="C17" s="78"/>
      <c r="D17" s="78"/>
      <c r="E17" s="66"/>
      <c r="G17" s="72"/>
    </row>
    <row r="18" spans="2:7">
      <c r="B18" s="68" t="s">
        <v>89</v>
      </c>
      <c r="C18" s="69">
        <f>C16-C17</f>
        <v>0</v>
      </c>
      <c r="D18" s="69">
        <f>D16-D17</f>
        <v>0</v>
      </c>
      <c r="E18" s="66"/>
      <c r="F18" s="72"/>
      <c r="G18" s="72"/>
    </row>
    <row r="19" spans="2:7">
      <c r="B19" s="65" t="s">
        <v>90</v>
      </c>
      <c r="C19" s="41">
        <v>12</v>
      </c>
      <c r="D19" s="41">
        <v>12</v>
      </c>
      <c r="F19" s="72"/>
      <c r="G19" s="72"/>
    </row>
    <row r="20" spans="2:7">
      <c r="B20" s="74" t="s">
        <v>91</v>
      </c>
      <c r="C20" s="79"/>
      <c r="D20" s="79"/>
      <c r="E20" s="73"/>
      <c r="F20" s="65" t="s">
        <v>92</v>
      </c>
    </row>
    <row r="21" spans="2:7">
      <c r="B21" s="74" t="s">
        <v>93</v>
      </c>
      <c r="C21" s="80"/>
      <c r="D21" s="80"/>
    </row>
    <row r="22" spans="2:7">
      <c r="B22" s="74" t="s">
        <v>94</v>
      </c>
      <c r="C22" s="81"/>
      <c r="D22" s="81"/>
      <c r="E22" s="71"/>
      <c r="F22" s="65" t="s">
        <v>95</v>
      </c>
      <c r="G22" s="72"/>
    </row>
    <row r="23" spans="2:7">
      <c r="B23" s="74" t="s">
        <v>96</v>
      </c>
      <c r="C23" s="80"/>
      <c r="D23" s="80"/>
      <c r="F23" s="82" t="s">
        <v>97</v>
      </c>
    </row>
    <row r="24" spans="2:7">
      <c r="B24" s="74" t="s">
        <v>98</v>
      </c>
      <c r="C24" s="80"/>
      <c r="D24" s="80"/>
      <c r="F24" s="41" t="s">
        <v>99</v>
      </c>
    </row>
    <row r="25" spans="2:7">
      <c r="B25" s="74" t="s">
        <v>100</v>
      </c>
      <c r="C25" s="80"/>
      <c r="D25" s="80"/>
      <c r="F25" s="83" t="s">
        <v>101</v>
      </c>
      <c r="G25" s="83"/>
    </row>
    <row r="26" spans="2:7">
      <c r="B26" s="84" t="s">
        <v>70</v>
      </c>
      <c r="C26" s="69">
        <f>C15+C11/2+C20*C21/C19-C22*C23/C19+C24*C25/C19</f>
        <v>0</v>
      </c>
      <c r="D26" s="69">
        <f>D15+D11/2+D20*D21/D19-D22*D23/D19+D24*D25/D19</f>
        <v>0</v>
      </c>
      <c r="E26" s="66"/>
    </row>
    <row r="27" spans="2:7">
      <c r="C27" s="72"/>
      <c r="D27" s="72"/>
      <c r="E27" s="72"/>
    </row>
    <row r="28" spans="2:7">
      <c r="B28" s="74" t="s">
        <v>102</v>
      </c>
      <c r="C28" s="75">
        <f>D29</f>
        <v>0</v>
      </c>
      <c r="D28" s="75"/>
      <c r="E28" s="66"/>
    </row>
    <row r="29" spans="2:7">
      <c r="B29" s="68" t="s">
        <v>103</v>
      </c>
      <c r="C29" s="69"/>
      <c r="D29" s="69"/>
      <c r="E29" s="66"/>
      <c r="F29" s="72"/>
      <c r="G29" s="72"/>
    </row>
    <row r="30" spans="2:7">
      <c r="B30" s="74" t="s">
        <v>104</v>
      </c>
      <c r="C30" s="85"/>
      <c r="D30" s="98" t="e">
        <f>C30/C28*D28</f>
        <v>#DIV/0!</v>
      </c>
      <c r="E30" s="72"/>
      <c r="F30" s="63" t="s">
        <v>105</v>
      </c>
      <c r="G30" s="64"/>
    </row>
    <row r="31" spans="2:7">
      <c r="B31" s="86" t="s">
        <v>106</v>
      </c>
      <c r="C31" s="67"/>
      <c r="D31" s="67"/>
      <c r="E31" s="87"/>
      <c r="F31" s="88"/>
      <c r="G31" s="89"/>
    </row>
    <row r="32" spans="2:7">
      <c r="B32" s="86" t="s">
        <v>107</v>
      </c>
      <c r="C32" s="90"/>
      <c r="D32" s="90"/>
      <c r="E32" s="87"/>
      <c r="F32" s="91"/>
      <c r="G32" s="91"/>
    </row>
    <row r="33" spans="1:8">
      <c r="B33" s="74" t="s">
        <v>108</v>
      </c>
      <c r="C33" s="85"/>
      <c r="D33" s="85"/>
      <c r="E33" s="72"/>
      <c r="F33" s="65"/>
      <c r="G33" s="72"/>
    </row>
    <row r="34" spans="1:8">
      <c r="B34" s="74" t="s">
        <v>109</v>
      </c>
      <c r="C34" s="92"/>
      <c r="D34" s="92"/>
      <c r="E34" s="72"/>
      <c r="F34" s="65"/>
      <c r="G34" s="72"/>
    </row>
    <row r="35" spans="1:8">
      <c r="B35" s="74" t="s">
        <v>110</v>
      </c>
      <c r="C35" s="85"/>
      <c r="D35" s="85"/>
      <c r="E35" s="72"/>
    </row>
    <row r="36" spans="1:8">
      <c r="B36" s="68" t="s">
        <v>111</v>
      </c>
      <c r="C36" s="69">
        <f>C28+C30+C31*C32/C19-C33*C34/C19-C35</f>
        <v>0</v>
      </c>
      <c r="D36" s="69" t="e">
        <f>D28+D30+D31*D32/D19-D33*D34/D19-D35</f>
        <v>#DIV/0!</v>
      </c>
      <c r="E36" s="66"/>
    </row>
    <row r="37" spans="1:8">
      <c r="B37" s="65" t="s">
        <v>112</v>
      </c>
      <c r="C37" s="66"/>
      <c r="D37" s="66"/>
      <c r="E37" s="66"/>
    </row>
    <row r="38" spans="1:8">
      <c r="B38" s="93" t="s">
        <v>113</v>
      </c>
      <c r="C38" s="66"/>
      <c r="D38" s="66"/>
      <c r="E38" s="66"/>
      <c r="F38" s="65" t="s">
        <v>114</v>
      </c>
    </row>
    <row r="39" spans="1:8">
      <c r="B39" s="94" t="s">
        <v>115</v>
      </c>
      <c r="C39" s="66"/>
      <c r="D39" s="66"/>
      <c r="E39" s="66"/>
      <c r="F39" s="72" t="s">
        <v>116</v>
      </c>
    </row>
    <row r="40" spans="1:8">
      <c r="B40" s="93" t="s">
        <v>117</v>
      </c>
    </row>
    <row r="42" spans="1:8" ht="5.25" customHeight="1" thickBot="1">
      <c r="A42" s="40"/>
      <c r="B42" s="40"/>
      <c r="C42" s="40"/>
      <c r="D42" s="40"/>
      <c r="E42" s="40"/>
      <c r="F42" s="40"/>
      <c r="G42" s="40"/>
      <c r="H42" s="40"/>
    </row>
    <row r="43" spans="1:8" ht="14.4" thickTop="1">
      <c r="A43" s="40"/>
      <c r="B43" s="160" t="s">
        <v>203</v>
      </c>
      <c r="C43" s="162" t="s">
        <v>66</v>
      </c>
      <c r="D43" s="163"/>
      <c r="E43" s="42"/>
      <c r="F43" s="162" t="s">
        <v>7</v>
      </c>
      <c r="G43" s="164"/>
      <c r="H43" s="40"/>
    </row>
    <row r="44" spans="1:8">
      <c r="A44" s="40"/>
      <c r="B44" s="161"/>
      <c r="C44" s="43" t="s">
        <v>67</v>
      </c>
      <c r="D44" s="43" t="s">
        <v>68</v>
      </c>
      <c r="E44" s="44"/>
      <c r="F44" s="43" t="s">
        <v>72</v>
      </c>
      <c r="G44" s="45" t="s">
        <v>73</v>
      </c>
      <c r="H44" s="40"/>
    </row>
    <row r="45" spans="1:8">
      <c r="A45" s="40"/>
      <c r="B45" s="46" t="s">
        <v>74</v>
      </c>
      <c r="C45" s="47" t="e">
        <f>D11/$D$18</f>
        <v>#DIV/0!</v>
      </c>
      <c r="D45" s="47" t="e">
        <f>D11/$D$26</f>
        <v>#DIV/0!</v>
      </c>
      <c r="E45" s="47"/>
      <c r="F45" s="48" t="e">
        <f>D11/$D$36</f>
        <v>#DIV/0!</v>
      </c>
      <c r="G45" s="49" t="e">
        <f>(D11+(G11-G13)*(1-G15))/($D$36+G31*G32/D19)</f>
        <v>#DIV/0!</v>
      </c>
      <c r="H45" s="40"/>
    </row>
    <row r="46" spans="1:8" ht="14.4" thickBot="1">
      <c r="A46" s="40"/>
      <c r="B46" s="50" t="s">
        <v>75</v>
      </c>
      <c r="C46" s="51" t="e">
        <f>D12/$D$18</f>
        <v>#DIV/0!</v>
      </c>
      <c r="D46" s="51" t="e">
        <f>D12/$D$26</f>
        <v>#DIV/0!</v>
      </c>
      <c r="E46" s="51"/>
      <c r="F46" s="52" t="e">
        <f>D12/$D$36</f>
        <v>#DIV/0!</v>
      </c>
      <c r="G46" s="53" t="e">
        <f>(D12+(G11-G13)*(1-G15))/($D$36+G31*G32/D19)</f>
        <v>#DIV/0!</v>
      </c>
      <c r="H46" s="40"/>
    </row>
    <row r="47" spans="1:8" ht="5.25" customHeight="1" thickTop="1">
      <c r="A47" s="40"/>
      <c r="B47" s="40"/>
      <c r="C47" s="40"/>
      <c r="D47" s="40"/>
      <c r="E47" s="40"/>
      <c r="F47" s="40"/>
      <c r="G47" s="40"/>
      <c r="H47" s="40"/>
    </row>
    <row r="49" spans="2:7">
      <c r="C49" s="95"/>
      <c r="D49" s="95"/>
      <c r="E49" s="95"/>
      <c r="F49" s="96"/>
      <c r="G49" s="96"/>
    </row>
    <row r="50" spans="2:7">
      <c r="B50" s="99" t="s">
        <v>118</v>
      </c>
      <c r="C50" s="95"/>
      <c r="D50" s="95"/>
      <c r="E50" s="95"/>
      <c r="F50" s="96"/>
      <c r="G50" s="96"/>
    </row>
    <row r="51" spans="2:7">
      <c r="B51" s="100" t="s">
        <v>119</v>
      </c>
      <c r="C51" s="95"/>
      <c r="D51" s="95"/>
      <c r="E51" s="95"/>
      <c r="F51" s="96"/>
      <c r="G51" s="96"/>
    </row>
    <row r="52" spans="2:7">
      <c r="B52" s="100" t="s">
        <v>120</v>
      </c>
      <c r="C52" s="95"/>
      <c r="D52" s="95"/>
      <c r="E52" s="95"/>
      <c r="F52" s="96"/>
      <c r="G52" s="96"/>
    </row>
    <row r="53" spans="2:7">
      <c r="C53" s="95"/>
      <c r="D53" s="95"/>
      <c r="E53" s="95"/>
      <c r="F53" s="96"/>
      <c r="G53" s="96"/>
    </row>
    <row r="54" spans="2:7">
      <c r="B54" s="100" t="s">
        <v>121</v>
      </c>
      <c r="C54" s="95"/>
      <c r="D54" s="95"/>
      <c r="E54" s="95"/>
      <c r="F54" s="96"/>
      <c r="G54" s="96"/>
    </row>
    <row r="55" spans="2:7">
      <c r="B55" s="100" t="s">
        <v>122</v>
      </c>
      <c r="C55" s="95"/>
      <c r="D55" s="95"/>
      <c r="E55" s="95"/>
      <c r="F55" s="96"/>
      <c r="G55" s="96"/>
    </row>
    <row r="56" spans="2:7">
      <c r="B56" s="100" t="s">
        <v>123</v>
      </c>
    </row>
    <row r="57" spans="2:7">
      <c r="B57" s="101"/>
    </row>
    <row r="58" spans="2:7">
      <c r="B58" s="100" t="s">
        <v>124</v>
      </c>
    </row>
    <row r="60" spans="2:7">
      <c r="B60" s="100" t="s">
        <v>125</v>
      </c>
    </row>
  </sheetData>
  <mergeCells count="6">
    <mergeCell ref="B2:B3"/>
    <mergeCell ref="C2:D2"/>
    <mergeCell ref="F2:G2"/>
    <mergeCell ref="B43:B44"/>
    <mergeCell ref="C43:D43"/>
    <mergeCell ref="F43:G43"/>
  </mergeCells>
  <phoneticPr fontId="15" type="noConversion"/>
  <printOptions horizontalCentered="1" verticalCentered="1"/>
  <pageMargins left="0.51181102362204722" right="0.43307086614173229" top="0.85" bottom="0.27" header="0.48" footer="0.17"/>
  <pageSetup paperSize="9" orientation="landscape" cellComments="asDisplayed" r:id="rId1"/>
  <headerFooter alignWithMargins="0">
    <oddHeader xml:space="preserve">&amp;C&amp;"宋体,加粗"&amp;14EPS-ROE&amp;R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表头（请先填写）</vt:lpstr>
      <vt:lpstr>审计程序S15</vt:lpstr>
      <vt:lpstr>审定表S15-1</vt:lpstr>
      <vt:lpstr>基本每股收益计算表S15-2</vt:lpstr>
      <vt:lpstr>稀释每股收益计算表S15-3</vt:lpstr>
      <vt:lpstr>净资产收益率计算S15-4</vt:lpstr>
      <vt:lpstr>'净资产收益率计算S15-4'!Print_Area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Luo Yiqing 罗旖晴</cp:lastModifiedBy>
  <cp:lastPrinted>2009-10-05T12:22:16Z</cp:lastPrinted>
  <dcterms:created xsi:type="dcterms:W3CDTF">2007-05-20T08:51:05Z</dcterms:created>
  <dcterms:modified xsi:type="dcterms:W3CDTF">2023-12-04T02:19:34Z</dcterms:modified>
</cp:coreProperties>
</file>